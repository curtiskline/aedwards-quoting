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1.bin" ContentType="application/vnd.ms-office.activeX"/>
  <Override PartName="/xl/activeX/activeX2.bin" ContentType="application/vnd.ms-office.activeX"/>
  <Override PartName="/xl/activeX/activeX3.bin" ContentType="application/vnd.ms-office.activeX"/>
  <Override PartName="/xl/activeX/activeX4.bin" ContentType="application/vnd.ms-office.activeX"/>
  <Override PartName="/xl/activeX/activeX5.bin" ContentType="application/vnd.ms-office.activeX"/>
  <Override PartName="/xl/activeX/activeX6.bin" ContentType="application/vnd.ms-office.activeX"/>
  <Override PartName="/xl/activeX/activeX7.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00000000-0000-0000-0000-000000000000}"/>
  <workbookPr codeName="ThisWorkbook"/>
  <mc:AlternateContent xmlns:mc="http://schemas.openxmlformats.org/markup-compatibility/2006">
    <mc:Choice Requires="x15">
      <x15ac:absPath xmlns:x15ac="http://schemas.microsoft.com/office/spreadsheetml/2010/11/ac" url="https://allanedwardstulsa.sharepoint.com/sites/AllanEdwards2023/Sales  Marketing/Engineering/Composite Systems/Composite Calculator/"/>
    </mc:Choice>
  </mc:AlternateContent>
  <xr:revisionPtr revIDLastSave="12445" documentId="13_ncr:1_{B3E01F30-E6BA-4050-9BD0-B5B5F4EC6D15}" xr6:coauthVersionLast="47" xr6:coauthVersionMax="47" xr10:uidLastSave="{B5F7C2B8-6ECB-4ADA-9242-E22BA27AA934}"/>
  <bookViews>
    <workbookView xWindow="-120" yWindow="-120" windowWidth="29040" windowHeight="15720" tabRatio="831" firstSheet="8" activeTab="7" xr2:uid="{00000000-000D-0000-FFFF-FFFF00000000}"/>
  </bookViews>
  <sheets>
    <sheet name="Cover Page" sheetId="8" r:id="rId1"/>
    <sheet name="Main" sheetId="10" r:id="rId2"/>
    <sheet name="Corrosion" sheetId="1" r:id="rId3"/>
    <sheet name="Corrosion Calculations" sheetId="2" r:id="rId4"/>
    <sheet name="Mechanical" sheetId="11" r:id="rId5"/>
    <sheet name="Mechanical Calculations" sheetId="12" r:id="rId6"/>
    <sheet name="Materials" sheetId="26" r:id="rId7"/>
    <sheet name="MechCarbonPrice" sheetId="15" r:id="rId8"/>
    <sheet name="Wheel Count Calculator" sheetId="54" r:id="rId9"/>
    <sheet name="Clock Calculator" sheetId="56" r:id="rId10"/>
    <sheet name="Fabric Calc" sheetId="27" r:id="rId11"/>
    <sheet name="Fabric Calc (Simple) (WIP)" sheetId="35" r:id="rId12"/>
    <sheet name="IW Calc" sheetId="22" r:id="rId13"/>
    <sheet name="IW Calc 2" sheetId="57" r:id="rId14"/>
    <sheet name="IW Calc (Simple)" sheetId="23" r:id="rId15"/>
    <sheet name="Spiral wrap calc" sheetId="20" state="hidden" r:id="rId16"/>
    <sheet name="(Fabric) (Expanded) (X and 2X)" sheetId="50" r:id="rId17"/>
    <sheet name="BOM calc" sheetId="16" r:id="rId18"/>
    <sheet name="BOM" sheetId="21" r:id="rId19"/>
    <sheet name="Wrinkle" sheetId="13" state="veryHidden" r:id="rId20"/>
    <sheet name="Wrinkle Calculations" sheetId="14" state="veryHidden" r:id="rId21"/>
    <sheet name="OW Variables" sheetId="4" r:id="rId22"/>
    <sheet name="Cyclic Loading" sheetId="53" r:id="rId23"/>
    <sheet name="Calculator Ideas" sheetId="17" r:id="rId24"/>
    <sheet name="BW" sheetId="55" r:id="rId25"/>
    <sheet name="Girth Weld Calc (GW)" sheetId="29" r:id="rId26"/>
    <sheet name="(GW) (Putty)" sheetId="41" r:id="rId27"/>
    <sheet name="(GW) (IW) (Full) (Combo)" sheetId="32" r:id="rId28"/>
    <sheet name="(GW) (IW) (Full) (No Rules)" sheetId="49" r:id="rId29"/>
    <sheet name="(GW) (IW) (Cut)" sheetId="46" r:id="rId30"/>
    <sheet name="(GW) (IW)" sheetId="47" r:id="rId31"/>
    <sheet name="IW Simple (Girth Weld)" sheetId="33" r:id="rId32"/>
    <sheet name="(GW) (H) (Cut)" sheetId="42" r:id="rId33"/>
    <sheet name="(GW) (H) (Full)" sheetId="43" r:id="rId34"/>
    <sheet name="(GW) (H) (Only)" sheetId="45" r:id="rId35"/>
    <sheet name="(GW) (H)" sheetId="44" r:id="rId36"/>
    <sheet name="(GW) (A) (Full)" sheetId="39" r:id="rId37"/>
    <sheet name="(GW) (A) (Cut)" sheetId="38" r:id="rId38"/>
    <sheet name="(GW) (A)" sheetId="40" r:id="rId39"/>
    <sheet name="Girth Weld (Hoop and Axial) WIP" sheetId="37" r:id="rId40"/>
  </sheets>
  <definedNames>
    <definedName name="_xlnm._FilterDatabase" localSheetId="18" hidden="1">BOM!$M$19:$N$27</definedName>
    <definedName name="_xlnm._FilterDatabase" localSheetId="17" hidden="1">'BOM calc'!$D$2:$E$10</definedName>
    <definedName name="_xlnm._FilterDatabase" localSheetId="1" hidden="1">Main!$F$4:$H$4</definedName>
    <definedName name="_xlnm._FilterDatabase" localSheetId="4" hidden="1">MechCarbonPrice!$F$9:$F$36</definedName>
    <definedName name="_xlpm.a" hidden="1" xlm="1">#NAME?</definedName>
    <definedName name="_xlpm.above1" hidden="1" xlm="1">#NAME?</definedName>
    <definedName name="_xlpm.above2" hidden="1" xlm="1">#NAME?</definedName>
    <definedName name="_xlpm.allLayerCounts" hidden="1" xlm="1">#NAME?</definedName>
    <definedName name="_xlpm.allowCols" hidden="1" xlm="1">#NAME?</definedName>
    <definedName name="_xlpm.allTypes" hidden="1" xlm="1">#NAME?</definedName>
    <definedName name="_xlpm.axialAllSame" hidden="1" xlm="1">#NAME?</definedName>
    <definedName name="_xlpm.axialChoice" hidden="1" xlm="1">#NAME?</definedName>
    <definedName name="_xlpm.axialNames" hidden="1" xlm="1">#NAME?</definedName>
    <definedName name="_xlpm.axialNormal" hidden="1" xlm="1">#NAME?</definedName>
    <definedName name="_xlpm.axialOneRow" hidden="1" xlm="1">#NAME?</definedName>
    <definedName name="_xlpm.axialRaw" hidden="1" xlm="1">#NAME?</definedName>
    <definedName name="_xlpm.b" hidden="1" xlm="1">#NAME?</definedName>
    <definedName name="_xlpm.blankRow" hidden="1" xlm="1">#NAME?</definedName>
    <definedName name="_xlpm.blk" hidden="1" xlm="1">#NAME?</definedName>
    <definedName name="_xlpm.blockNum" hidden="1" xlm="1">#NAME?</definedName>
    <definedName name="_xlpm.body" hidden="1" xlm="1">#NAME?</definedName>
    <definedName name="_xlpm.c" hidden="1" xlm="1">#NAME?</definedName>
    <definedName name="_xlpm.cleaned" hidden="1" xlm="1">#NAME?</definedName>
    <definedName name="_xlpm.cnt" hidden="1" xlm="1">#NAME?</definedName>
    <definedName name="_xlpm.colBlock" hidden="1" xlm="1">#NAME?</definedName>
    <definedName name="_xlpm.colNum" hidden="1" xlm="1">#NAME?</definedName>
    <definedName name="_xlpm.cols" hidden="1" xlm="1">#NAME?</definedName>
    <definedName name="_xlpm.completedTable" hidden="1" xlm="1">#NAME?</definedName>
    <definedName name="_xlpm.d" hidden="1" xlm="1">#NAME?</definedName>
    <definedName name="_xlpm.data" hidden="1" xlm="1">#NAME?</definedName>
    <definedName name="_xlpm.firstValue" hidden="1" xlm="1">#NAME?</definedName>
    <definedName name="_xlpm.fullCount" hidden="1" xlm="1">#NAME?</definedName>
    <definedName name="_xlpm.fullLabel" hidden="1" xlm="1">#NAME?</definedName>
    <definedName name="_xlpm.fullName" hidden="1" xlm="1">#NAME?</definedName>
    <definedName name="_xlpm.getNames" hidden="1" xlm="1">#NAME?</definedName>
    <definedName name="_xlpm.hoopAllSame" hidden="1" xlm="1">#NAME?</definedName>
    <definedName name="_xlpm.hoopChoice" hidden="1" xlm="1">#NAME?</definedName>
    <definedName name="_xlpm.hoopNames" hidden="1" xlm="1">#NAME?</definedName>
    <definedName name="_xlpm.hoopNormal" hidden="1" xlm="1">#NAME?</definedName>
    <definedName name="_xlpm.hoopOneRow" hidden="1" xlm="1">#NAME?</definedName>
    <definedName name="_xlpm.hoopRaw" hidden="1" xlm="1">#NAME?</definedName>
    <definedName name="_xlpm.i" hidden="1" xlm="1">#NAME?</definedName>
    <definedName name="_xlpm.isSecondCell" hidden="1" xlm="1">#NAME?</definedName>
    <definedName name="_xlpm.labelColumn" hidden="1" xlm="1">#NAME?</definedName>
    <definedName name="_xlpm.layerCount" hidden="1" xlm="1">#NAME?</definedName>
    <definedName name="_xlpm.layerCounts" hidden="1" xlm="1">#NAME?</definedName>
    <definedName name="_xlpm.leftName" hidden="1" xlm="1">#NAME?</definedName>
    <definedName name="_xlpm.leftOver" hidden="1" xlm="1">#NAME?</definedName>
    <definedName name="_xlpm.maxCount" hidden="1" xlm="1">#NAME?</definedName>
    <definedName name="_xlpm.maxSections" hidden="1" xlm="1">#NAME?</definedName>
    <definedName name="_xlpm.maxTableRows" hidden="1" xlm="1">#NAME?</definedName>
    <definedName name="_xlpm.n" hidden="1" xlm="1">#NAME?</definedName>
    <definedName name="_xlpm.o" hidden="1" xlm="1">#NAME?</definedName>
    <definedName name="_xlpm.occurrence" hidden="1" xlm="1">#NAME?</definedName>
    <definedName name="_xlpm.open" hidden="1" xlm="1">#NAME?</definedName>
    <definedName name="_xlpm.openCount" hidden="1" xlm="1">#NAME?</definedName>
    <definedName name="_xlpm.output" hidden="1" xlm="1">#NAME?</definedName>
    <definedName name="_xlpm.p" hidden="1" xlm="1">#NAME?</definedName>
    <definedName name="_xlpm.packedTable" hidden="1" xlm="1">#NAME?</definedName>
    <definedName name="_xlpm.perNum" hidden="1" xlm="1">#NAME?</definedName>
    <definedName name="_xlpm.r" hidden="1" xlm="1">#NAME?</definedName>
    <definedName name="_xlpm.result" hidden="1" xlm="1">#NAME?</definedName>
    <definedName name="_xlpm.rowInCol" hidden="1" xlm="1">#NAME?</definedName>
    <definedName name="_xlpm.rowOne" hidden="1" xlm="1">#NAME?</definedName>
    <definedName name="_xlpm.rowOneMain" hidden="1" xlm="1">#NAME?</definedName>
    <definedName name="_xlpm.rowsPerCol" hidden="1" xlm="1">#NAME?</definedName>
    <definedName name="_xlpm.rowThree" hidden="1" xlm="1">#NAME?</definedName>
    <definedName name="_xlpm.rowTwo" hidden="1" xlm="1">#NAME?</definedName>
    <definedName name="_xlpm.rowTwoMain" hidden="1" xlm="1">#NAME?</definedName>
    <definedName name="_xlpm.runningLayers" hidden="1" xlm="1">#NAME?</definedName>
    <definedName name="_xlpm.runningTotal" hidden="1" xlm="1">#NAME?</definedName>
    <definedName name="_xlpm.s" hidden="1" xlm="1">#NAME?</definedName>
    <definedName name="_xlpm.sectionCount" hidden="1" xlm="1">#NAME?</definedName>
    <definedName name="_xlpm.sectionLayers" hidden="1" xlm="1">#NAME?</definedName>
    <definedName name="_xlpm.sectionNumbers" hidden="1" xlm="1">#NAME?</definedName>
    <definedName name="_xlpm.selectedTable" hidden="1" xlm="1">#NAME?</definedName>
    <definedName name="_xlpm.tableOrder" hidden="1" xlm="1">#NAME?</definedName>
    <definedName name="_xlpm.tableType" hidden="1" xlm="1">#NAME?</definedName>
    <definedName name="_xlpm.tbl" hidden="1" xlm="1">#NAME?</definedName>
    <definedName name="_xlpm.total" hidden="1" xlm="1">#NAME?</definedName>
    <definedName name="_xlpm.v" hidden="1" xlm="1">#NAME?</definedName>
    <definedName name="_xlpm.x" hidden="1" xlm="1">#NAME?</definedName>
    <definedName name="_xlpm.y" hidden="1" xlm="1">#NAME?</definedName>
    <definedName name="InstallationDiagram" localSheetId="1">INDIRECT(ADDRESS(2-1+MATCH(Main!#REF!,#REF!, 0), 2,,,"Diagrams"))</definedName>
    <definedName name="InstallationDiagram" localSheetId="4">INDIRECT(ADDRESS(2-1+MATCH(Mechanical!$C$32,#REF!, 0), 2,,,"Diagrams"))</definedName>
    <definedName name="InstallationDiagram" localSheetId="19">INDIRECT(ADDRESS(2-1+MATCH(Wrinkle!$C$37,#REF!, 0), 2,,,"Diagrams"))</definedName>
    <definedName name="InstallationDiagram" localSheetId="20">INDIRECT(ADDRESS(2-1+MATCH(#REF!,#REF!, 0), 2,,,"Diagrams"))</definedName>
    <definedName name="InstallationDiagram">INDIRECT(ADDRESS(2-1+MATCH(Corrosion!$C$33,#REF!, 0), 2,,,"Diagrams"))</definedName>
    <definedName name="_xlnm.Print_Area" localSheetId="3">'Corrosion Calculations'!$A$1:$Q$76</definedName>
    <definedName name="_xlnm.Print_Area" localSheetId="0">'Cover Page'!$A$1:$J$43</definedName>
    <definedName name="_xlnm.Print_Area" localSheetId="5">'Mechanical Calculations'!$A$1:$R$72</definedName>
    <definedName name="_xlnm.Print_Area" localSheetId="20">'Wrinkle Calculations'!$A$1:$R$86</definedName>
    <definedName name="_xlnm.Print_Titles" localSheetId="3">'Corrosion Calculations'!$1:$7</definedName>
    <definedName name="_xlnm.Print_Titles" localSheetId="5">'Mechanical Calculations'!$1:$7</definedName>
  </definedNames>
  <calcPr calcId="191028"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9" i="29" l="1"/>
  <c r="O52" i="29"/>
  <c r="P50" i="29"/>
  <c r="P51" i="29" s="1"/>
  <c r="P52" i="29" s="1"/>
  <c r="N49" i="29"/>
  <c r="N50" i="29" s="1"/>
  <c r="N51" i="29" s="1"/>
  <c r="N52" i="29" s="1"/>
  <c r="O49" i="29" s="1"/>
  <c r="O50" i="29" s="1"/>
  <c r="O51" i="29" s="1"/>
  <c r="P44" i="29"/>
  <c r="O44" i="29"/>
  <c r="N44" i="29"/>
  <c r="P42" i="29"/>
  <c r="U46" i="29"/>
  <c r="U43" i="29"/>
  <c r="U44" i="29"/>
  <c r="U45" i="29"/>
  <c r="T46" i="29"/>
  <c r="T45" i="29"/>
  <c r="T44" i="29"/>
  <c r="T43" i="29"/>
  <c r="S45" i="29"/>
  <c r="S46" i="29"/>
  <c r="S44" i="29"/>
  <c r="S43" i="29"/>
  <c r="T38" i="29"/>
  <c r="U38" i="29"/>
  <c r="S38" i="29"/>
  <c r="U36" i="29"/>
  <c r="I18" i="15"/>
  <c r="I16" i="15"/>
  <c r="I17" i="15"/>
  <c r="F18" i="15"/>
  <c r="F17" i="15"/>
  <c r="F16" i="15"/>
  <c r="CC112" i="57"/>
  <c r="S16" i="1"/>
  <c r="S15" i="1"/>
  <c r="S13" i="1"/>
  <c r="S6" i="1"/>
  <c r="S5" i="1"/>
  <c r="S4" i="1"/>
  <c r="J10" i="2" s="1"/>
  <c r="J15" i="2"/>
  <c r="J12" i="2"/>
  <c r="J13" i="2"/>
  <c r="E8" i="1" s="1"/>
  <c r="G8" i="1" s="1"/>
  <c r="J14" i="2"/>
  <c r="J18" i="2"/>
  <c r="H4" i="1"/>
  <c r="H5" i="1"/>
  <c r="CD113" i="57"/>
  <c r="CD112" i="57"/>
  <c r="CD111" i="57"/>
  <c r="CC111" i="57"/>
  <c r="BY112" i="57"/>
  <c r="BY113" i="57"/>
  <c r="BY111" i="57"/>
  <c r="BZ113" i="57"/>
  <c r="BZ112" i="57"/>
  <c r="BZ111" i="57"/>
  <c r="D4" i="57"/>
  <c r="L95" i="57"/>
  <c r="M95" i="57"/>
  <c r="L97" i="57"/>
  <c r="M97" i="57"/>
  <c r="AO40" i="57"/>
  <c r="AP40" i="57" s="1"/>
  <c r="AO26" i="57"/>
  <c r="AP26" i="57" s="1"/>
  <c r="N19" i="57"/>
  <c r="F19" i="57"/>
  <c r="E19" i="57"/>
  <c r="D19" i="57"/>
  <c r="HT18" i="57"/>
  <c r="HJ18" i="57"/>
  <c r="HT17" i="57"/>
  <c r="HJ17" i="57"/>
  <c r="F17" i="57"/>
  <c r="E17" i="57"/>
  <c r="D17" i="57"/>
  <c r="F15" i="57"/>
  <c r="E15" i="57"/>
  <c r="D15" i="57"/>
  <c r="HT13" i="57"/>
  <c r="HR13" i="57"/>
  <c r="HP13" i="57"/>
  <c r="HN13" i="57"/>
  <c r="HJ13" i="57"/>
  <c r="HH13" i="57"/>
  <c r="HF13" i="57"/>
  <c r="HD13" i="57"/>
  <c r="AO12" i="57"/>
  <c r="HN10" i="57"/>
  <c r="IC10" i="57" s="1"/>
  <c r="HD10" i="57"/>
  <c r="HY10" i="57" s="1"/>
  <c r="CR4" i="57"/>
  <c r="CQ4" i="57"/>
  <c r="BN4" i="57"/>
  <c r="BM4" i="57"/>
  <c r="AO26" i="46"/>
  <c r="AO12" i="46"/>
  <c r="AH15" i="46"/>
  <c r="AH17" i="46"/>
  <c r="AH19" i="46"/>
  <c r="N19" i="46"/>
  <c r="D4" i="46"/>
  <c r="C6" i="15"/>
  <c r="D6" i="15"/>
  <c r="B9" i="16" s="1"/>
  <c r="R25" i="54"/>
  <c r="R16" i="54"/>
  <c r="R18" i="54"/>
  <c r="R20" i="54"/>
  <c r="ES11" i="54"/>
  <c r="ES10" i="54"/>
  <c r="EQ10" i="54"/>
  <c r="EO11" i="54"/>
  <c r="EO10" i="54"/>
  <c r="EM11" i="54"/>
  <c r="EM10" i="54"/>
  <c r="DA10" i="54"/>
  <c r="DC10" i="54"/>
  <c r="DE10" i="54"/>
  <c r="DG10" i="54"/>
  <c r="DI10" i="54"/>
  <c r="DK10" i="54"/>
  <c r="DM10" i="54"/>
  <c r="DO10" i="54"/>
  <c r="DQ10" i="54"/>
  <c r="DS10" i="54"/>
  <c r="DU10" i="54"/>
  <c r="DW10" i="54"/>
  <c r="DY10" i="54"/>
  <c r="EA10" i="54"/>
  <c r="EC10" i="54"/>
  <c r="EE10" i="54"/>
  <c r="EG10" i="54"/>
  <c r="EI10" i="54"/>
  <c r="EK10" i="54"/>
  <c r="EU10" i="54"/>
  <c r="DA11" i="54"/>
  <c r="DC11" i="54"/>
  <c r="DE11" i="54"/>
  <c r="DG11" i="54"/>
  <c r="DI11" i="54"/>
  <c r="DK11" i="54"/>
  <c r="DM11" i="54"/>
  <c r="DO11" i="54"/>
  <c r="DQ11" i="54"/>
  <c r="DS11" i="54"/>
  <c r="DU11" i="54"/>
  <c r="DW11" i="54"/>
  <c r="DY11" i="54"/>
  <c r="EA11" i="54"/>
  <c r="EC11" i="54"/>
  <c r="EE11" i="54"/>
  <c r="EG11" i="54"/>
  <c r="EI11" i="54"/>
  <c r="EK11" i="54"/>
  <c r="EQ11" i="54"/>
  <c r="EU11" i="54"/>
  <c r="CY11" i="54"/>
  <c r="CY10" i="54"/>
  <c r="CW11" i="54"/>
  <c r="CW10" i="54"/>
  <c r="CU11" i="54"/>
  <c r="CU10" i="54"/>
  <c r="CS11" i="54"/>
  <c r="CS10" i="54"/>
  <c r="CQ11" i="54"/>
  <c r="CQ10" i="54"/>
  <c r="CO11" i="54"/>
  <c r="CO10" i="54"/>
  <c r="FE10" i="54"/>
  <c r="FA6" i="54"/>
  <c r="FA8" i="54"/>
  <c r="FA10" i="54" s="1"/>
  <c r="FA16" i="54" s="1"/>
  <c r="FE23" i="54"/>
  <c r="FE25" i="54" s="1"/>
  <c r="FE16" i="54"/>
  <c r="CP25" i="54"/>
  <c r="CP31" i="54" s="1"/>
  <c r="CS70" i="54"/>
  <c r="CS82" i="54" s="1"/>
  <c r="CU70" i="54"/>
  <c r="CU82" i="54" s="1"/>
  <c r="CW70" i="54"/>
  <c r="CW82" i="54" s="1"/>
  <c r="CY70" i="54"/>
  <c r="CY82" i="54" s="1"/>
  <c r="DA70" i="54"/>
  <c r="DA82" i="54" s="1"/>
  <c r="DC70" i="54"/>
  <c r="DC82" i="54" s="1"/>
  <c r="DE70" i="54"/>
  <c r="DE82" i="54" s="1"/>
  <c r="DG70" i="54"/>
  <c r="DG82" i="54" s="1"/>
  <c r="DI70" i="54"/>
  <c r="DI82" i="54" s="1"/>
  <c r="DK70" i="54"/>
  <c r="DK82" i="54" s="1"/>
  <c r="DM70" i="54"/>
  <c r="DM82" i="54" s="1"/>
  <c r="DO70" i="54"/>
  <c r="DO82" i="54" s="1"/>
  <c r="DQ70" i="54"/>
  <c r="DQ82" i="54" s="1"/>
  <c r="DS70" i="54"/>
  <c r="DS82" i="54" s="1"/>
  <c r="DU70" i="54"/>
  <c r="DU82" i="54" s="1"/>
  <c r="DW70" i="54"/>
  <c r="DW82" i="54" s="1"/>
  <c r="DY70" i="54"/>
  <c r="DY82" i="54" s="1"/>
  <c r="EA70" i="54"/>
  <c r="EA82" i="54" s="1"/>
  <c r="EC70" i="54"/>
  <c r="EC82" i="54" s="1"/>
  <c r="EE70" i="54"/>
  <c r="EE82" i="54" s="1"/>
  <c r="EG70" i="54"/>
  <c r="EG82" i="54" s="1"/>
  <c r="EI70" i="54"/>
  <c r="EI82" i="54" s="1"/>
  <c r="EK70" i="54"/>
  <c r="EK82" i="54" s="1"/>
  <c r="EM70" i="54"/>
  <c r="EM82" i="54" s="1"/>
  <c r="EO70" i="54"/>
  <c r="EO82" i="54" s="1"/>
  <c r="EQ70" i="54"/>
  <c r="EQ82" i="54" s="1"/>
  <c r="ES70" i="54"/>
  <c r="ES82" i="54" s="1"/>
  <c r="EU70" i="54"/>
  <c r="EU82" i="54" s="1"/>
  <c r="CQ70" i="54"/>
  <c r="CQ82" i="54" s="1"/>
  <c r="CO70" i="54"/>
  <c r="EU67" i="54"/>
  <c r="ES67" i="54"/>
  <c r="CQ67" i="54"/>
  <c r="CS67" i="54"/>
  <c r="CU67" i="54"/>
  <c r="CW67" i="54"/>
  <c r="CY67" i="54"/>
  <c r="DA67" i="54"/>
  <c r="DC67" i="54"/>
  <c r="DE67" i="54"/>
  <c r="DG67" i="54"/>
  <c r="DI67" i="54"/>
  <c r="DK67" i="54"/>
  <c r="DM67" i="54"/>
  <c r="DO67" i="54"/>
  <c r="DQ67" i="54"/>
  <c r="DS67" i="54"/>
  <c r="DU67" i="54"/>
  <c r="DW67" i="54"/>
  <c r="DY67" i="54"/>
  <c r="EA67" i="54"/>
  <c r="EC67" i="54"/>
  <c r="EE67" i="54"/>
  <c r="EG67" i="54"/>
  <c r="EI67" i="54"/>
  <c r="EK67" i="54"/>
  <c r="EM67" i="54"/>
  <c r="EO67" i="54"/>
  <c r="EQ67" i="54"/>
  <c r="CO67" i="54"/>
  <c r="ET46" i="54"/>
  <c r="ET25" i="54"/>
  <c r="ER46" i="54"/>
  <c r="ER25" i="54"/>
  <c r="EP46" i="54"/>
  <c r="EP25" i="54"/>
  <c r="EN46" i="54"/>
  <c r="EN25" i="54"/>
  <c r="EL46" i="54"/>
  <c r="EL25" i="54"/>
  <c r="EJ46" i="54"/>
  <c r="EJ25" i="54"/>
  <c r="EH46" i="54"/>
  <c r="EH25" i="54"/>
  <c r="EF46" i="54"/>
  <c r="EF25" i="54"/>
  <c r="ED46" i="54"/>
  <c r="ED25" i="54"/>
  <c r="EB46" i="54"/>
  <c r="EB25" i="54"/>
  <c r="DZ46" i="54"/>
  <c r="DZ25" i="54"/>
  <c r="DX46" i="54"/>
  <c r="DX25" i="54"/>
  <c r="DV46" i="54"/>
  <c r="DV25" i="54"/>
  <c r="DT46" i="54"/>
  <c r="DT25" i="54"/>
  <c r="DR46" i="54"/>
  <c r="DR25" i="54"/>
  <c r="DP46" i="54"/>
  <c r="DP25" i="54"/>
  <c r="DN46" i="54"/>
  <c r="DN25" i="54"/>
  <c r="DL46" i="54"/>
  <c r="DL25" i="54"/>
  <c r="DJ46" i="54"/>
  <c r="DJ25" i="54"/>
  <c r="DH46" i="54"/>
  <c r="DH25" i="54"/>
  <c r="DF46" i="54"/>
  <c r="DF25" i="54"/>
  <c r="DD46" i="54"/>
  <c r="DD25" i="54"/>
  <c r="DB46" i="54"/>
  <c r="DB25" i="54"/>
  <c r="CZ46" i="54"/>
  <c r="CZ25" i="54"/>
  <c r="CX46" i="54"/>
  <c r="CX25" i="54"/>
  <c r="CV46" i="54"/>
  <c r="CV25" i="54"/>
  <c r="CT46" i="54"/>
  <c r="CT25" i="54"/>
  <c r="CR46" i="54"/>
  <c r="CR25" i="54"/>
  <c r="CP46" i="54"/>
  <c r="CP59" i="54"/>
  <c r="CP61" i="54" s="1"/>
  <c r="CP52" i="54"/>
  <c r="CP38" i="54"/>
  <c r="CP40" i="54" s="1"/>
  <c r="CP42" i="54" s="1"/>
  <c r="CQ21" i="54"/>
  <c r="CS21" i="54"/>
  <c r="CU21" i="54"/>
  <c r="CW21" i="54"/>
  <c r="CY21" i="54"/>
  <c r="DA21" i="54"/>
  <c r="DC21" i="54"/>
  <c r="DE21" i="54"/>
  <c r="DG21" i="54"/>
  <c r="DI21" i="54"/>
  <c r="DK21" i="54"/>
  <c r="DM21" i="54"/>
  <c r="DO21" i="54"/>
  <c r="DQ21" i="54"/>
  <c r="DS21" i="54"/>
  <c r="DU21" i="54"/>
  <c r="DW21" i="54"/>
  <c r="DY21" i="54"/>
  <c r="EA21" i="54"/>
  <c r="EC21" i="54"/>
  <c r="EE21" i="54"/>
  <c r="EG21" i="54"/>
  <c r="EI21" i="54"/>
  <c r="EK21" i="54"/>
  <c r="EM21" i="54"/>
  <c r="EO21" i="54"/>
  <c r="EQ21" i="54"/>
  <c r="ES21" i="54"/>
  <c r="EU21" i="54"/>
  <c r="ET49" i="54" s="1"/>
  <c r="CO21" i="54"/>
  <c r="CP28" i="54" s="1"/>
  <c r="V25" i="54"/>
  <c r="R9" i="54"/>
  <c r="H2" i="54"/>
  <c r="N13" i="54"/>
  <c r="N11" i="54"/>
  <c r="K16" i="54"/>
  <c r="K18" i="54" s="1"/>
  <c r="K20" i="54" s="1"/>
  <c r="N14" i="54"/>
  <c r="D289" i="54"/>
  <c r="I330" i="54"/>
  <c r="L14" i="56"/>
  <c r="H14" i="56"/>
  <c r="D14" i="56"/>
  <c r="BE43" i="56"/>
  <c r="BA43" i="56"/>
  <c r="BI43" i="56"/>
  <c r="BB6" i="56"/>
  <c r="BE3" i="56"/>
  <c r="BE2" i="56"/>
  <c r="BD3" i="56"/>
  <c r="BD2" i="56"/>
  <c r="BC3" i="56"/>
  <c r="BC2" i="56"/>
  <c r="U35" i="56"/>
  <c r="U29" i="56"/>
  <c r="Q11" i="56"/>
  <c r="Q13" i="56" s="1"/>
  <c r="S15" i="56"/>
  <c r="S19" i="56"/>
  <c r="S21" i="56" s="1"/>
  <c r="S23" i="56" s="1"/>
  <c r="BB8" i="56"/>
  <c r="BB23" i="56"/>
  <c r="BA10" i="56"/>
  <c r="BD10" i="56"/>
  <c r="AZ13" i="56"/>
  <c r="BA13" i="56"/>
  <c r="BC13" i="56"/>
  <c r="BD13" i="56"/>
  <c r="AZ15" i="56"/>
  <c r="BC15" i="56"/>
  <c r="L36" i="56"/>
  <c r="J36" i="56"/>
  <c r="H36" i="56"/>
  <c r="F36" i="56"/>
  <c r="D36" i="56"/>
  <c r="B36" i="56"/>
  <c r="B37" i="56"/>
  <c r="J31" i="56"/>
  <c r="D31" i="56"/>
  <c r="BK102" i="56"/>
  <c r="BT102" i="56" s="1"/>
  <c r="BK100" i="56"/>
  <c r="BT100" i="56" s="1"/>
  <c r="BJ100" i="56"/>
  <c r="BS100" i="56" s="1"/>
  <c r="BU110" i="56"/>
  <c r="BL110" i="56"/>
  <c r="BU108" i="56"/>
  <c r="BU112" i="56" s="1"/>
  <c r="BL108" i="56"/>
  <c r="BL112" i="56" s="1"/>
  <c r="BU106" i="56"/>
  <c r="BL106" i="56"/>
  <c r="BS103" i="56"/>
  <c r="BJ103" i="56"/>
  <c r="BW101" i="56" s="1"/>
  <c r="BS105" i="56"/>
  <c r="BJ105" i="56"/>
  <c r="BL15" i="56"/>
  <c r="BL17" i="56" s="1"/>
  <c r="BK55" i="56"/>
  <c r="BJ56" i="56" s="1"/>
  <c r="BT55" i="56"/>
  <c r="BT53" i="56"/>
  <c r="BS53" i="56"/>
  <c r="BU63" i="56"/>
  <c r="BU61" i="56"/>
  <c r="BU65" i="56" s="1"/>
  <c r="BU59" i="56"/>
  <c r="BS56" i="56"/>
  <c r="BS58" i="56"/>
  <c r="BK53" i="56"/>
  <c r="BJ53" i="56"/>
  <c r="BJ58" i="56" s="1"/>
  <c r="BL63" i="56"/>
  <c r="BL61" i="56"/>
  <c r="BL65" i="56" s="1"/>
  <c r="BL59" i="56"/>
  <c r="BK9" i="56"/>
  <c r="BJ9" i="56"/>
  <c r="BB21" i="56"/>
  <c r="BF21" i="56"/>
  <c r="BK11" i="56"/>
  <c r="BJ12" i="56" s="1"/>
  <c r="BW54" i="56" s="1"/>
  <c r="AZ17" i="56"/>
  <c r="AZ19" i="56"/>
  <c r="BL19" i="56"/>
  <c r="BJ14" i="56"/>
  <c r="I33" i="56"/>
  <c r="BC17" i="56"/>
  <c r="BC19" i="56"/>
  <c r="BB25" i="56" s="1"/>
  <c r="BB27" i="56" s="1"/>
  <c r="BB29" i="56" s="1"/>
  <c r="J32" i="56"/>
  <c r="D32" i="56"/>
  <c r="E33" i="56"/>
  <c r="AH9" i="56" s="1"/>
  <c r="V16" i="54"/>
  <c r="V18" i="54" s="1"/>
  <c r="V9" i="54"/>
  <c r="K416" i="53"/>
  <c r="K341" i="53"/>
  <c r="P335" i="53"/>
  <c r="AQ476" i="53"/>
  <c r="BF356" i="53"/>
  <c r="BF354" i="53"/>
  <c r="BF360" i="53"/>
  <c r="O343" i="53" s="1"/>
  <c r="BF358" i="53"/>
  <c r="O341" i="53" s="1"/>
  <c r="BF352" i="53"/>
  <c r="O339" i="53" s="1"/>
  <c r="BF350" i="53"/>
  <c r="O337" i="53" s="1"/>
  <c r="BF348" i="53"/>
  <c r="O335" i="53" s="1"/>
  <c r="BG348" i="53"/>
  <c r="AU382" i="53"/>
  <c r="AZ350" i="53" s="1"/>
  <c r="AU392" i="53"/>
  <c r="AZ352" i="53" s="1"/>
  <c r="AU402" i="53"/>
  <c r="AZ354" i="53" s="1"/>
  <c r="BG350" i="53" s="1"/>
  <c r="P337" i="53" s="1"/>
  <c r="AU422" i="53"/>
  <c r="AZ356" i="53" s="1"/>
  <c r="AU432" i="53"/>
  <c r="AZ358" i="53" s="1"/>
  <c r="AU442" i="53"/>
  <c r="AZ360" i="53" s="1"/>
  <c r="BG352" i="53" s="1"/>
  <c r="P339" i="53" s="1"/>
  <c r="AU474" i="53"/>
  <c r="AZ362" i="53" s="1"/>
  <c r="AU484" i="53"/>
  <c r="AZ364" i="53" s="1"/>
  <c r="BG354" i="53" s="1"/>
  <c r="AU494" i="53"/>
  <c r="AZ366" i="53" s="1"/>
  <c r="BG356" i="53" s="1"/>
  <c r="AU505" i="53"/>
  <c r="AZ368" i="53" s="1"/>
  <c r="BG358" i="53" s="1"/>
  <c r="P341" i="53" s="1"/>
  <c r="AU515" i="53"/>
  <c r="AZ370" i="53" s="1"/>
  <c r="BG360" i="53" s="1"/>
  <c r="P343" i="53" s="1"/>
  <c r="AV354" i="53"/>
  <c r="BA348" i="53" s="1"/>
  <c r="BH348" i="53" s="1"/>
  <c r="Q335" i="53" s="1"/>
  <c r="AW382" i="53"/>
  <c r="BB350" i="53" s="1"/>
  <c r="AW392" i="53"/>
  <c r="BB352" i="53" s="1"/>
  <c r="AW402" i="53"/>
  <c r="BB354" i="53" s="1"/>
  <c r="BI350" i="53" s="1"/>
  <c r="R337" i="53" s="1"/>
  <c r="AW422" i="53"/>
  <c r="BB356" i="53" s="1"/>
  <c r="AW432" i="53"/>
  <c r="BB358" i="53" s="1"/>
  <c r="AW442" i="53"/>
  <c r="BB360" i="53" s="1"/>
  <c r="BI352" i="53" s="1"/>
  <c r="R339" i="53" s="1"/>
  <c r="AW474" i="53"/>
  <c r="BB362" i="53" s="1"/>
  <c r="AW505" i="53"/>
  <c r="BB368" i="53" s="1"/>
  <c r="BI358" i="53" s="1"/>
  <c r="R341" i="53" s="1"/>
  <c r="AW515" i="53"/>
  <c r="BB370" i="53" s="1"/>
  <c r="BI360" i="53" s="1"/>
  <c r="R343" i="53" s="1"/>
  <c r="K478" i="53"/>
  <c r="K486" i="53" s="1"/>
  <c r="AF413" i="53"/>
  <c r="AF316" i="53"/>
  <c r="AG316" i="53"/>
  <c r="AH316" i="53"/>
  <c r="AI316" i="53"/>
  <c r="AJ316" i="53"/>
  <c r="AK316" i="53"/>
  <c r="AL316" i="53"/>
  <c r="AF317" i="53"/>
  <c r="AG317" i="53"/>
  <c r="AH317" i="53"/>
  <c r="AI317" i="53"/>
  <c r="AJ317" i="53"/>
  <c r="AK317" i="53"/>
  <c r="AL317" i="53"/>
  <c r="AF318" i="53"/>
  <c r="AG318" i="53"/>
  <c r="AH318" i="53"/>
  <c r="AI318" i="53"/>
  <c r="AJ318" i="53"/>
  <c r="AK318" i="53"/>
  <c r="AL318" i="53"/>
  <c r="AF568" i="53"/>
  <c r="AF455" i="53"/>
  <c r="AI305" i="53"/>
  <c r="AF281" i="53"/>
  <c r="AG281" i="53"/>
  <c r="AH281" i="53"/>
  <c r="AI281" i="53"/>
  <c r="AJ281" i="53"/>
  <c r="AK281" i="53"/>
  <c r="AL281" i="53"/>
  <c r="AF282" i="53"/>
  <c r="AG282" i="53"/>
  <c r="AH282" i="53"/>
  <c r="AI282" i="53"/>
  <c r="AJ282" i="53"/>
  <c r="AL282" i="53"/>
  <c r="AF283" i="53"/>
  <c r="AG283" i="53"/>
  <c r="AH283" i="53"/>
  <c r="AI283" i="53"/>
  <c r="AJ283" i="53"/>
  <c r="AK283" i="53"/>
  <c r="AL283" i="53"/>
  <c r="AF284" i="53"/>
  <c r="AG284" i="53"/>
  <c r="AH284" i="53"/>
  <c r="AI284" i="53"/>
  <c r="AJ284" i="53"/>
  <c r="AL284" i="53"/>
  <c r="AF285" i="53"/>
  <c r="AG285" i="53"/>
  <c r="AH285" i="53"/>
  <c r="AI285" i="53"/>
  <c r="AJ285" i="53"/>
  <c r="AK285" i="53"/>
  <c r="AL285" i="53"/>
  <c r="AF286" i="53"/>
  <c r="AG286" i="53"/>
  <c r="AH286" i="53"/>
  <c r="AI286" i="53"/>
  <c r="AJ286" i="53"/>
  <c r="AK286" i="53"/>
  <c r="AL286" i="53"/>
  <c r="AF287" i="53"/>
  <c r="AG287" i="53"/>
  <c r="AH287" i="53"/>
  <c r="AJ287" i="53"/>
  <c r="AK287" i="53"/>
  <c r="AL287" i="53"/>
  <c r="AF288" i="53"/>
  <c r="AG288" i="53"/>
  <c r="AH288" i="53"/>
  <c r="AI288" i="53"/>
  <c r="AJ288" i="53"/>
  <c r="AK288" i="53"/>
  <c r="AL288" i="53"/>
  <c r="AF289" i="53"/>
  <c r="AG289" i="53"/>
  <c r="AH289" i="53"/>
  <c r="AJ289" i="53"/>
  <c r="AL289" i="53"/>
  <c r="AF290" i="53"/>
  <c r="AG290" i="53"/>
  <c r="AH290" i="53"/>
  <c r="AI290" i="53"/>
  <c r="AJ290" i="53"/>
  <c r="AK290" i="53"/>
  <c r="AL290" i="53"/>
  <c r="AF291" i="53"/>
  <c r="AG291" i="53"/>
  <c r="AH291" i="53"/>
  <c r="AI291" i="53"/>
  <c r="AJ291" i="53"/>
  <c r="AK291" i="53"/>
  <c r="AL291" i="53"/>
  <c r="AF292" i="53"/>
  <c r="AG292" i="53"/>
  <c r="AH292" i="53"/>
  <c r="AJ292" i="53"/>
  <c r="AK292" i="53"/>
  <c r="AL292" i="53"/>
  <c r="AF293" i="53"/>
  <c r="AG293" i="53"/>
  <c r="AH293" i="53"/>
  <c r="AI293" i="53"/>
  <c r="AJ293" i="53"/>
  <c r="AK293" i="53"/>
  <c r="AL293" i="53"/>
  <c r="AF294" i="53"/>
  <c r="AG294" i="53"/>
  <c r="AH294" i="53"/>
  <c r="AI294" i="53"/>
  <c r="AJ294" i="53"/>
  <c r="AK294" i="53"/>
  <c r="AL294" i="53"/>
  <c r="AF295" i="53"/>
  <c r="AG295" i="53"/>
  <c r="AH295" i="53"/>
  <c r="AJ295" i="53"/>
  <c r="AK295" i="53"/>
  <c r="AL295" i="53"/>
  <c r="AF296" i="53"/>
  <c r="AG296" i="53"/>
  <c r="AH296" i="53"/>
  <c r="AI296" i="53"/>
  <c r="AJ296" i="53"/>
  <c r="AK296" i="53"/>
  <c r="AL296" i="53"/>
  <c r="AF297" i="53"/>
  <c r="AG297" i="53"/>
  <c r="AH297" i="53"/>
  <c r="AI297" i="53"/>
  <c r="AJ297" i="53"/>
  <c r="AL297" i="53"/>
  <c r="AF298" i="53"/>
  <c r="AG298" i="53"/>
  <c r="AH298" i="53"/>
  <c r="AI298" i="53"/>
  <c r="AJ298" i="53"/>
  <c r="AK298" i="53"/>
  <c r="AL298" i="53"/>
  <c r="AF299" i="53"/>
  <c r="AG299" i="53"/>
  <c r="AH299" i="53"/>
  <c r="AI299" i="53"/>
  <c r="AI371" i="53" s="1"/>
  <c r="AJ299" i="53"/>
  <c r="AL299" i="53"/>
  <c r="AF300" i="53"/>
  <c r="AG300" i="53"/>
  <c r="AH300" i="53"/>
  <c r="AI300" i="53"/>
  <c r="AJ300" i="53"/>
  <c r="AK300" i="53"/>
  <c r="AL300" i="53"/>
  <c r="AF301" i="53"/>
  <c r="AG301" i="53"/>
  <c r="AH301" i="53"/>
  <c r="AI301" i="53"/>
  <c r="AJ301" i="53"/>
  <c r="AL301" i="53"/>
  <c r="AF302" i="53"/>
  <c r="AG302" i="53"/>
  <c r="AH302" i="53"/>
  <c r="AI302" i="53"/>
  <c r="AJ302" i="53"/>
  <c r="AK302" i="53"/>
  <c r="AL302" i="53"/>
  <c r="AF303" i="53"/>
  <c r="AG303" i="53"/>
  <c r="AH303" i="53"/>
  <c r="AI303" i="53"/>
  <c r="AJ303" i="53"/>
  <c r="AK303" i="53"/>
  <c r="AL303" i="53"/>
  <c r="AF304" i="53"/>
  <c r="AG304" i="53"/>
  <c r="AH304" i="53"/>
  <c r="AI304" i="53"/>
  <c r="AJ304" i="53"/>
  <c r="AK304" i="53"/>
  <c r="AL304" i="53"/>
  <c r="AF305" i="53"/>
  <c r="AG305" i="53"/>
  <c r="AH305" i="53"/>
  <c r="AJ305" i="53"/>
  <c r="AK305" i="53"/>
  <c r="AL305" i="53"/>
  <c r="AF306" i="53"/>
  <c r="AG306" i="53"/>
  <c r="AH306" i="53"/>
  <c r="AI306" i="53"/>
  <c r="AJ306" i="53"/>
  <c r="AK306" i="53"/>
  <c r="AL306" i="53"/>
  <c r="AF307" i="53"/>
  <c r="AG307" i="53"/>
  <c r="AH307" i="53"/>
  <c r="AI307" i="53"/>
  <c r="AJ307" i="53"/>
  <c r="AL307" i="53"/>
  <c r="AF308" i="53"/>
  <c r="AG308" i="53"/>
  <c r="AH308" i="53"/>
  <c r="AI308" i="53"/>
  <c r="AJ308" i="53"/>
  <c r="AK308" i="53"/>
  <c r="AL308" i="53"/>
  <c r="AF309" i="53"/>
  <c r="AG309" i="53"/>
  <c r="AH309" i="53"/>
  <c r="AI309" i="53"/>
  <c r="AJ309" i="53"/>
  <c r="AK309" i="53"/>
  <c r="AL309" i="53"/>
  <c r="AF310" i="53"/>
  <c r="AG310" i="53"/>
  <c r="AH310" i="53"/>
  <c r="AI310" i="53"/>
  <c r="AJ310" i="53"/>
  <c r="AK310" i="53"/>
  <c r="AL310" i="53"/>
  <c r="AF311" i="53"/>
  <c r="AG311" i="53"/>
  <c r="AH311" i="53"/>
  <c r="AI311" i="53"/>
  <c r="AJ311" i="53"/>
  <c r="AK311" i="53"/>
  <c r="AL311" i="53"/>
  <c r="AF312" i="53"/>
  <c r="AG312" i="53"/>
  <c r="AH312" i="53"/>
  <c r="AI312" i="53"/>
  <c r="AJ312" i="53"/>
  <c r="AK312" i="53"/>
  <c r="AL312" i="53"/>
  <c r="AF313" i="53"/>
  <c r="AG313" i="53"/>
  <c r="AH313" i="53"/>
  <c r="AI313" i="53"/>
  <c r="AJ313" i="53"/>
  <c r="AK313" i="53"/>
  <c r="AL313" i="53"/>
  <c r="AF314" i="53"/>
  <c r="AG314" i="53"/>
  <c r="AH314" i="53"/>
  <c r="AI314" i="53"/>
  <c r="AJ314" i="53"/>
  <c r="AK314" i="53"/>
  <c r="AL314" i="53"/>
  <c r="AF315" i="53"/>
  <c r="AG315" i="53"/>
  <c r="AH315" i="53"/>
  <c r="AI315" i="53"/>
  <c r="AJ315" i="53"/>
  <c r="AK315" i="53"/>
  <c r="AL315" i="53"/>
  <c r="AF319" i="53"/>
  <c r="AG319" i="53"/>
  <c r="AH319" i="53"/>
  <c r="AI319" i="53"/>
  <c r="AJ319" i="53"/>
  <c r="AK319" i="53"/>
  <c r="AL319" i="53"/>
  <c r="AF320" i="53"/>
  <c r="AG320" i="53"/>
  <c r="AH320" i="53"/>
  <c r="AI320" i="53"/>
  <c r="AJ320" i="53"/>
  <c r="AK320" i="53"/>
  <c r="AL320" i="53"/>
  <c r="AF321" i="53"/>
  <c r="AG321" i="53"/>
  <c r="AH321" i="53"/>
  <c r="AI321" i="53"/>
  <c r="AJ321" i="53"/>
  <c r="AL321" i="53"/>
  <c r="AF322" i="53"/>
  <c r="AG322" i="53"/>
  <c r="AH322" i="53"/>
  <c r="AI322" i="53"/>
  <c r="AJ322" i="53"/>
  <c r="AK322" i="53"/>
  <c r="AL322" i="53"/>
  <c r="AF323" i="53"/>
  <c r="AG323" i="53"/>
  <c r="AH323" i="53"/>
  <c r="AI323" i="53"/>
  <c r="AJ323" i="53"/>
  <c r="AL323" i="53"/>
  <c r="AF324" i="53"/>
  <c r="AG324" i="53"/>
  <c r="AH324" i="53"/>
  <c r="AI324" i="53"/>
  <c r="AJ324" i="53"/>
  <c r="AK324" i="53"/>
  <c r="AL324" i="53"/>
  <c r="AF325" i="53"/>
  <c r="AG325" i="53"/>
  <c r="AH325" i="53"/>
  <c r="AI325" i="53"/>
  <c r="AJ325" i="53"/>
  <c r="AL325" i="53"/>
  <c r="AF326" i="53"/>
  <c r="AG326" i="53"/>
  <c r="AH326" i="53"/>
  <c r="AI326" i="53"/>
  <c r="AJ326" i="53"/>
  <c r="AK326" i="53"/>
  <c r="AL326" i="53"/>
  <c r="AF327" i="53"/>
  <c r="AG327" i="53"/>
  <c r="AH327" i="53"/>
  <c r="AI327" i="53"/>
  <c r="AJ327" i="53"/>
  <c r="AL327" i="53"/>
  <c r="AF328" i="53"/>
  <c r="AG328" i="53"/>
  <c r="AH328" i="53"/>
  <c r="AI328" i="53"/>
  <c r="AJ328" i="53"/>
  <c r="AK328" i="53"/>
  <c r="AL328" i="53"/>
  <c r="AF329" i="53"/>
  <c r="AG329" i="53"/>
  <c r="AH329" i="53"/>
  <c r="AI329" i="53"/>
  <c r="AJ329" i="53"/>
  <c r="AK329" i="53"/>
  <c r="AL329" i="53"/>
  <c r="AF330" i="53"/>
  <c r="AG330" i="53"/>
  <c r="AH330" i="53"/>
  <c r="AI330" i="53"/>
  <c r="AJ330" i="53"/>
  <c r="AK330" i="53"/>
  <c r="AL330" i="53"/>
  <c r="AF331" i="53"/>
  <c r="AG331" i="53"/>
  <c r="AH331" i="53"/>
  <c r="AI331" i="53"/>
  <c r="AJ331" i="53"/>
  <c r="AK331" i="53"/>
  <c r="AL331" i="53"/>
  <c r="AF332" i="53"/>
  <c r="AG332" i="53"/>
  <c r="AH332" i="53"/>
  <c r="AI332" i="53"/>
  <c r="AJ332" i="53"/>
  <c r="AK332" i="53"/>
  <c r="AL332" i="53"/>
  <c r="AF333" i="53"/>
  <c r="AG333" i="53"/>
  <c r="AH333" i="53"/>
  <c r="AI333" i="53"/>
  <c r="AJ333" i="53"/>
  <c r="AK333" i="53"/>
  <c r="AL333" i="53"/>
  <c r="AG280" i="53"/>
  <c r="AH280" i="53"/>
  <c r="AI280" i="53"/>
  <c r="AJ280" i="53"/>
  <c r="AL280" i="53"/>
  <c r="AF280" i="53"/>
  <c r="K644" i="53"/>
  <c r="K646" i="53" s="1"/>
  <c r="K587" i="53"/>
  <c r="X389" i="53"/>
  <c r="X365" i="53"/>
  <c r="X360" i="53"/>
  <c r="X379" i="53"/>
  <c r="X385" i="53"/>
  <c r="X384" i="53"/>
  <c r="X378" i="53"/>
  <c r="X377" i="53"/>
  <c r="X344" i="53"/>
  <c r="X343" i="53"/>
  <c r="Y343" i="53"/>
  <c r="X373" i="53"/>
  <c r="X372" i="53"/>
  <c r="N618" i="53"/>
  <c r="X364" i="53"/>
  <c r="X359" i="53"/>
  <c r="X363" i="53"/>
  <c r="X358" i="53"/>
  <c r="X353" i="53"/>
  <c r="X340" i="53"/>
  <c r="X352" i="53"/>
  <c r="X339" i="53"/>
  <c r="X336" i="53"/>
  <c r="Z336" i="53"/>
  <c r="F2" i="53"/>
  <c r="K571" i="53"/>
  <c r="K569" i="53"/>
  <c r="K573" i="53" s="1"/>
  <c r="G281" i="53"/>
  <c r="G280" i="53"/>
  <c r="K355" i="53"/>
  <c r="K430" i="53"/>
  <c r="K426" i="53"/>
  <c r="K428" i="53" s="1"/>
  <c r="K432" i="53" s="1"/>
  <c r="K476" i="53"/>
  <c r="K357" i="53"/>
  <c r="K295" i="53"/>
  <c r="K344" i="53"/>
  <c r="K292" i="53"/>
  <c r="K287" i="53"/>
  <c r="H291" i="54"/>
  <c r="D291" i="54"/>
  <c r="H289" i="54"/>
  <c r="P330" i="54" s="1"/>
  <c r="C548" i="54"/>
  <c r="Q548" i="54"/>
  <c r="Q572" i="54"/>
  <c r="P572" i="54"/>
  <c r="H116" i="54"/>
  <c r="G116" i="54"/>
  <c r="AA151" i="54"/>
  <c r="X151" i="54"/>
  <c r="H660" i="54"/>
  <c r="H658" i="54"/>
  <c r="H615" i="54"/>
  <c r="H613" i="54"/>
  <c r="AL548" i="54"/>
  <c r="AH548" i="54"/>
  <c r="AL561" i="54"/>
  <c r="AL563" i="54" s="1"/>
  <c r="AH561" i="54"/>
  <c r="AH563" i="54" s="1"/>
  <c r="AH565" i="54" s="1"/>
  <c r="AL554" i="54"/>
  <c r="AH554" i="54"/>
  <c r="L151" i="54"/>
  <c r="G151" i="54"/>
  <c r="U151" i="54"/>
  <c r="R151" i="54"/>
  <c r="O151" i="54"/>
  <c r="D311" i="54"/>
  <c r="G8" i="54"/>
  <c r="P116" i="54" s="1"/>
  <c r="G7" i="54"/>
  <c r="C572" i="54"/>
  <c r="AZ121" i="54"/>
  <c r="AR121" i="54"/>
  <c r="AX160" i="54"/>
  <c r="AT160" i="54"/>
  <c r="AR150" i="54"/>
  <c r="AZ150" i="54"/>
  <c r="AV150" i="54"/>
  <c r="AX140" i="54"/>
  <c r="AT140" i="54"/>
  <c r="AX111" i="54"/>
  <c r="E95" i="54" s="1"/>
  <c r="E650" i="54" s="1"/>
  <c r="AT111" i="54"/>
  <c r="P336" i="54"/>
  <c r="I336" i="54"/>
  <c r="H311" i="54"/>
  <c r="T296" i="54" s="1"/>
  <c r="N296" i="54"/>
  <c r="H302" i="54"/>
  <c r="D302" i="54"/>
  <c r="H295" i="54"/>
  <c r="D295" i="54"/>
  <c r="H297" i="54"/>
  <c r="H299" i="54" s="1"/>
  <c r="H304" i="54"/>
  <c r="D304" i="54"/>
  <c r="D306" i="54" s="1"/>
  <c r="F23" i="53"/>
  <c r="CF37" i="57" l="1"/>
  <c r="BB37" i="57"/>
  <c r="CF23" i="57"/>
  <c r="BB23" i="57"/>
  <c r="AH15" i="57"/>
  <c r="AH17" i="57"/>
  <c r="AH19" i="57"/>
  <c r="CD37" i="57"/>
  <c r="CD36" i="57"/>
  <c r="CD35" i="57"/>
  <c r="CD34" i="57"/>
  <c r="CD33" i="57"/>
  <c r="CA33" i="57"/>
  <c r="BY33" i="57"/>
  <c r="BW33" i="57"/>
  <c r="CA32" i="57"/>
  <c r="BY32" i="57"/>
  <c r="BW32" i="57"/>
  <c r="CA31" i="57"/>
  <c r="BY31" i="57"/>
  <c r="BW31" i="57"/>
  <c r="CD30" i="57"/>
  <c r="CC30" i="57"/>
  <c r="CA30" i="57"/>
  <c r="BY30" i="57"/>
  <c r="BW30" i="57"/>
  <c r="CD29" i="57"/>
  <c r="CC29" i="57"/>
  <c r="CA29" i="57"/>
  <c r="BY29" i="57"/>
  <c r="BW29" i="57"/>
  <c r="CC28" i="57"/>
  <c r="CA28" i="57"/>
  <c r="BY28" i="57"/>
  <c r="BW28" i="57"/>
  <c r="BW26" i="57"/>
  <c r="CG5" i="57" s="1"/>
  <c r="CK5" i="57" s="1"/>
  <c r="AQ40" i="57"/>
  <c r="FA23" i="54"/>
  <c r="FA25" i="54" s="1"/>
  <c r="FA27" i="54" s="1"/>
  <c r="FE18" i="54"/>
  <c r="FE20" i="54" s="1"/>
  <c r="FE27" i="54"/>
  <c r="FC29" i="54" s="1"/>
  <c r="FC32" i="54" s="1"/>
  <c r="FC34" i="54" s="1"/>
  <c r="CN72" i="54"/>
  <c r="CO82" i="54"/>
  <c r="CP84" i="54" s="1"/>
  <c r="CV67" i="54"/>
  <c r="CV63" i="54"/>
  <c r="CX67" i="54"/>
  <c r="CX63" i="54"/>
  <c r="CZ67" i="54"/>
  <c r="CZ63" i="54"/>
  <c r="DB67" i="54"/>
  <c r="DB63" i="54"/>
  <c r="DD67" i="54"/>
  <c r="DD63" i="54"/>
  <c r="DF67" i="54"/>
  <c r="DF63" i="54"/>
  <c r="DH67" i="54"/>
  <c r="DH63" i="54"/>
  <c r="DJ67" i="54"/>
  <c r="DJ63" i="54"/>
  <c r="DL67" i="54"/>
  <c r="DL63" i="54"/>
  <c r="DN67" i="54"/>
  <c r="DN63" i="54"/>
  <c r="DP67" i="54"/>
  <c r="DP63" i="54"/>
  <c r="DR67" i="54"/>
  <c r="DR63" i="54"/>
  <c r="DT67" i="54"/>
  <c r="DT63" i="54"/>
  <c r="DV67" i="54"/>
  <c r="DV63" i="54"/>
  <c r="DX67" i="54"/>
  <c r="DX63" i="54"/>
  <c r="DZ67" i="54"/>
  <c r="DZ63" i="54"/>
  <c r="EB67" i="54"/>
  <c r="EB63" i="54"/>
  <c r="ED67" i="54"/>
  <c r="ED63" i="54"/>
  <c r="EF67" i="54"/>
  <c r="EF63" i="54"/>
  <c r="EH67" i="54"/>
  <c r="EH63" i="54"/>
  <c r="EJ67" i="54"/>
  <c r="EJ63" i="54"/>
  <c r="EL67" i="54"/>
  <c r="EL63" i="54"/>
  <c r="EN67" i="54"/>
  <c r="EN63" i="54"/>
  <c r="EP67" i="54"/>
  <c r="EP63" i="54"/>
  <c r="ER67" i="54"/>
  <c r="ER63" i="54"/>
  <c r="ET67" i="54"/>
  <c r="ET63" i="54"/>
  <c r="ET28" i="54"/>
  <c r="ER49" i="54"/>
  <c r="ER28" i="54"/>
  <c r="EP49" i="54"/>
  <c r="EP28" i="54"/>
  <c r="EN49" i="54"/>
  <c r="EN28" i="54"/>
  <c r="EL49" i="54"/>
  <c r="EL28" i="54"/>
  <c r="EJ49" i="54"/>
  <c r="EJ28" i="54"/>
  <c r="EH49" i="54"/>
  <c r="EH28" i="54"/>
  <c r="EF49" i="54"/>
  <c r="EF28" i="54"/>
  <c r="ED49" i="54"/>
  <c r="ED28" i="54"/>
  <c r="EB49" i="54"/>
  <c r="EB28" i="54"/>
  <c r="DZ49" i="54"/>
  <c r="DZ28" i="54"/>
  <c r="DX49" i="54"/>
  <c r="DX28" i="54"/>
  <c r="DV49" i="54"/>
  <c r="DV28" i="54"/>
  <c r="DT49" i="54"/>
  <c r="DT28" i="54"/>
  <c r="DR49" i="54"/>
  <c r="DR28" i="54"/>
  <c r="DP49" i="54"/>
  <c r="DP28" i="54"/>
  <c r="DN49" i="54"/>
  <c r="DN28" i="54"/>
  <c r="DL49" i="54"/>
  <c r="DL28" i="54"/>
  <c r="DJ49" i="54"/>
  <c r="DJ28" i="54"/>
  <c r="DH49" i="54"/>
  <c r="DH28" i="54"/>
  <c r="DF49" i="54"/>
  <c r="DF28" i="54"/>
  <c r="DD49" i="54"/>
  <c r="DD28" i="54"/>
  <c r="DB49" i="54"/>
  <c r="DB28" i="54"/>
  <c r="CZ49" i="54"/>
  <c r="CZ28" i="54"/>
  <c r="CX49" i="54"/>
  <c r="CX28" i="54"/>
  <c r="CV49" i="54"/>
  <c r="CV28" i="54"/>
  <c r="CT49" i="54"/>
  <c r="CT28" i="54"/>
  <c r="CR49" i="54"/>
  <c r="CP49" i="54"/>
  <c r="CR28" i="54"/>
  <c r="ET38" i="54"/>
  <c r="ET40" i="54" s="1"/>
  <c r="ET42" i="54" s="1"/>
  <c r="ET31" i="54"/>
  <c r="ET59" i="54"/>
  <c r="ET61" i="54" s="1"/>
  <c r="ET52" i="54"/>
  <c r="ET54" i="54" s="1"/>
  <c r="ET56" i="54" s="1"/>
  <c r="ER38" i="54"/>
  <c r="ER40" i="54" s="1"/>
  <c r="ER42" i="54" s="1"/>
  <c r="ER31" i="54"/>
  <c r="ER59" i="54"/>
  <c r="ER61" i="54" s="1"/>
  <c r="ER52" i="54"/>
  <c r="ER54" i="54" s="1"/>
  <c r="ER56" i="54" s="1"/>
  <c r="EP38" i="54"/>
  <c r="EP40" i="54" s="1"/>
  <c r="EP42" i="54" s="1"/>
  <c r="EP31" i="54"/>
  <c r="EP59" i="54"/>
  <c r="EP61" i="54" s="1"/>
  <c r="EP52" i="54"/>
  <c r="EP54" i="54" s="1"/>
  <c r="EP56" i="54" s="1"/>
  <c r="EN38" i="54"/>
  <c r="EN40" i="54" s="1"/>
  <c r="EN42" i="54" s="1"/>
  <c r="EN31" i="54"/>
  <c r="EN59" i="54"/>
  <c r="EN61" i="54" s="1"/>
  <c r="EN52" i="54"/>
  <c r="EN54" i="54" s="1"/>
  <c r="EN56" i="54" s="1"/>
  <c r="EL38" i="54"/>
  <c r="EL40" i="54" s="1"/>
  <c r="EL42" i="54" s="1"/>
  <c r="EL31" i="54"/>
  <c r="EL59" i="54"/>
  <c r="EL61" i="54" s="1"/>
  <c r="EL52" i="54"/>
  <c r="EL54" i="54" s="1"/>
  <c r="EL56" i="54" s="1"/>
  <c r="EJ38" i="54"/>
  <c r="EJ40" i="54" s="1"/>
  <c r="EJ42" i="54" s="1"/>
  <c r="EJ31" i="54"/>
  <c r="EJ59" i="54"/>
  <c r="EJ61" i="54" s="1"/>
  <c r="EJ52" i="54"/>
  <c r="EJ54" i="54" s="1"/>
  <c r="EJ56" i="54" s="1"/>
  <c r="EH38" i="54"/>
  <c r="EH40" i="54" s="1"/>
  <c r="EH42" i="54" s="1"/>
  <c r="EH31" i="54"/>
  <c r="EH59" i="54"/>
  <c r="EH61" i="54" s="1"/>
  <c r="EH52" i="54"/>
  <c r="EH54" i="54" s="1"/>
  <c r="EH56" i="54" s="1"/>
  <c r="EF38" i="54"/>
  <c r="EF40" i="54" s="1"/>
  <c r="EF42" i="54" s="1"/>
  <c r="EF31" i="54"/>
  <c r="EF59" i="54"/>
  <c r="EF61" i="54" s="1"/>
  <c r="EF52" i="54"/>
  <c r="EF54" i="54" s="1"/>
  <c r="EF56" i="54" s="1"/>
  <c r="ED38" i="54"/>
  <c r="ED40" i="54" s="1"/>
  <c r="ED42" i="54" s="1"/>
  <c r="ED31" i="54"/>
  <c r="ED59" i="54"/>
  <c r="ED61" i="54" s="1"/>
  <c r="ED52" i="54"/>
  <c r="ED54" i="54" s="1"/>
  <c r="ED56" i="54" s="1"/>
  <c r="EB38" i="54"/>
  <c r="EB40" i="54" s="1"/>
  <c r="EB42" i="54" s="1"/>
  <c r="EB31" i="54"/>
  <c r="EB59" i="54"/>
  <c r="EB61" i="54" s="1"/>
  <c r="EB52" i="54"/>
  <c r="EB54" i="54" s="1"/>
  <c r="EB56" i="54" s="1"/>
  <c r="DZ38" i="54"/>
  <c r="DZ40" i="54" s="1"/>
  <c r="DZ42" i="54" s="1"/>
  <c r="DZ31" i="54"/>
  <c r="DZ59" i="54"/>
  <c r="DZ61" i="54" s="1"/>
  <c r="DZ52" i="54"/>
  <c r="DZ54" i="54" s="1"/>
  <c r="DZ56" i="54" s="1"/>
  <c r="DX38" i="54"/>
  <c r="DX40" i="54" s="1"/>
  <c r="DX42" i="54" s="1"/>
  <c r="DX31" i="54"/>
  <c r="DX59" i="54"/>
  <c r="DX61" i="54" s="1"/>
  <c r="DX52" i="54"/>
  <c r="DX54" i="54" s="1"/>
  <c r="DX56" i="54" s="1"/>
  <c r="DV38" i="54"/>
  <c r="DV40" i="54" s="1"/>
  <c r="DV42" i="54" s="1"/>
  <c r="DV31" i="54"/>
  <c r="DV59" i="54"/>
  <c r="DV61" i="54" s="1"/>
  <c r="DV52" i="54"/>
  <c r="DV54" i="54" s="1"/>
  <c r="DV56" i="54" s="1"/>
  <c r="DT38" i="54"/>
  <c r="DT40" i="54" s="1"/>
  <c r="DT42" i="54" s="1"/>
  <c r="DT31" i="54"/>
  <c r="DT59" i="54"/>
  <c r="DT61" i="54" s="1"/>
  <c r="DT52" i="54"/>
  <c r="DT54" i="54" s="1"/>
  <c r="DT56" i="54" s="1"/>
  <c r="DR38" i="54"/>
  <c r="DR40" i="54" s="1"/>
  <c r="DR42" i="54" s="1"/>
  <c r="DR31" i="54"/>
  <c r="DR59" i="54"/>
  <c r="DR61" i="54" s="1"/>
  <c r="DR52" i="54"/>
  <c r="DR54" i="54" s="1"/>
  <c r="DR56" i="54" s="1"/>
  <c r="DP38" i="54"/>
  <c r="DP40" i="54" s="1"/>
  <c r="DP42" i="54" s="1"/>
  <c r="DP31" i="54"/>
  <c r="DP59" i="54"/>
  <c r="DP61" i="54" s="1"/>
  <c r="DP52" i="54"/>
  <c r="DP54" i="54" s="1"/>
  <c r="DP56" i="54" s="1"/>
  <c r="DN38" i="54"/>
  <c r="DN40" i="54" s="1"/>
  <c r="DN42" i="54" s="1"/>
  <c r="DN31" i="54"/>
  <c r="DN59" i="54"/>
  <c r="DN61" i="54" s="1"/>
  <c r="DN52" i="54"/>
  <c r="DN54" i="54" s="1"/>
  <c r="DN56" i="54" s="1"/>
  <c r="DL38" i="54"/>
  <c r="DL40" i="54" s="1"/>
  <c r="DL42" i="54" s="1"/>
  <c r="DL31" i="54"/>
  <c r="DL59" i="54"/>
  <c r="DL61" i="54" s="1"/>
  <c r="DL52" i="54"/>
  <c r="DL54" i="54" s="1"/>
  <c r="DL56" i="54" s="1"/>
  <c r="DJ38" i="54"/>
  <c r="DJ40" i="54" s="1"/>
  <c r="DJ42" i="54" s="1"/>
  <c r="DJ31" i="54"/>
  <c r="DJ59" i="54"/>
  <c r="DJ61" i="54" s="1"/>
  <c r="DJ52" i="54"/>
  <c r="DJ54" i="54" s="1"/>
  <c r="DJ56" i="54" s="1"/>
  <c r="DH38" i="54"/>
  <c r="DH40" i="54" s="1"/>
  <c r="DH42" i="54" s="1"/>
  <c r="DH31" i="54"/>
  <c r="DH59" i="54"/>
  <c r="DH61" i="54" s="1"/>
  <c r="DH52" i="54"/>
  <c r="DH54" i="54" s="1"/>
  <c r="DH56" i="54" s="1"/>
  <c r="DF38" i="54"/>
  <c r="DF40" i="54" s="1"/>
  <c r="DF42" i="54" s="1"/>
  <c r="DF31" i="54"/>
  <c r="DF59" i="54"/>
  <c r="DF61" i="54" s="1"/>
  <c r="DF52" i="54"/>
  <c r="DF54" i="54" s="1"/>
  <c r="DF56" i="54" s="1"/>
  <c r="DD38" i="54"/>
  <c r="DD40" i="54" s="1"/>
  <c r="DD42" i="54" s="1"/>
  <c r="DD31" i="54"/>
  <c r="DD59" i="54"/>
  <c r="DD61" i="54" s="1"/>
  <c r="DD52" i="54"/>
  <c r="DD54" i="54" s="1"/>
  <c r="DD56" i="54" s="1"/>
  <c r="DB38" i="54"/>
  <c r="DB40" i="54" s="1"/>
  <c r="DB42" i="54" s="1"/>
  <c r="DB31" i="54"/>
  <c r="DB59" i="54"/>
  <c r="DB61" i="54" s="1"/>
  <c r="DB52" i="54"/>
  <c r="DB54" i="54" s="1"/>
  <c r="DB56" i="54" s="1"/>
  <c r="CZ38" i="54"/>
  <c r="CZ40" i="54" s="1"/>
  <c r="CZ42" i="54" s="1"/>
  <c r="CZ31" i="54"/>
  <c r="CZ59" i="54"/>
  <c r="CZ61" i="54" s="1"/>
  <c r="CZ52" i="54"/>
  <c r="CZ54" i="54" s="1"/>
  <c r="CZ56" i="54" s="1"/>
  <c r="CX38" i="54"/>
  <c r="CX40" i="54" s="1"/>
  <c r="CX42" i="54" s="1"/>
  <c r="CX31" i="54"/>
  <c r="CX59" i="54"/>
  <c r="CX61" i="54" s="1"/>
  <c r="CX52" i="54"/>
  <c r="CX54" i="54" s="1"/>
  <c r="CX56" i="54" s="1"/>
  <c r="CV38" i="54"/>
  <c r="CV40" i="54" s="1"/>
  <c r="CV42" i="54" s="1"/>
  <c r="CV31" i="54"/>
  <c r="CV59" i="54"/>
  <c r="CV61" i="54" s="1"/>
  <c r="CV52" i="54"/>
  <c r="CV54" i="54" s="1"/>
  <c r="CV56" i="54" s="1"/>
  <c r="CT38" i="54"/>
  <c r="CT40" i="54" s="1"/>
  <c r="CT42" i="54" s="1"/>
  <c r="CT31" i="54"/>
  <c r="CT59" i="54"/>
  <c r="CT61" i="54" s="1"/>
  <c r="CT52" i="54"/>
  <c r="CT54" i="54" s="1"/>
  <c r="CT56" i="54" s="1"/>
  <c r="CR38" i="54"/>
  <c r="CR40" i="54" s="1"/>
  <c r="CR42" i="54" s="1"/>
  <c r="CR31" i="54"/>
  <c r="CR59" i="54"/>
  <c r="CR61" i="54" s="1"/>
  <c r="CR52" i="54"/>
  <c r="CR54" i="54" s="1"/>
  <c r="CR56" i="54" s="1"/>
  <c r="CP54" i="54"/>
  <c r="CP56" i="54" s="1"/>
  <c r="CP63" i="54" s="1"/>
  <c r="CP67" i="54" s="1"/>
  <c r="CQ68" i="54" s="1"/>
  <c r="CR84" i="54" s="1"/>
  <c r="D79" i="54"/>
  <c r="N81" i="54"/>
  <c r="F81" i="54"/>
  <c r="U23" i="56"/>
  <c r="BJ60" i="56"/>
  <c r="BB34" i="56"/>
  <c r="U27" i="56"/>
  <c r="U25" i="56"/>
  <c r="BN10" i="56"/>
  <c r="S17" i="56"/>
  <c r="K33" i="56"/>
  <c r="AH15" i="56" s="1"/>
  <c r="AH13" i="56"/>
  <c r="C33" i="56"/>
  <c r="AH7" i="56" s="1"/>
  <c r="AG8" i="56" s="1"/>
  <c r="D37" i="56" s="1"/>
  <c r="G33" i="56"/>
  <c r="AH11" i="56" s="1"/>
  <c r="BB31" i="56"/>
  <c r="BN54" i="56"/>
  <c r="BN101" i="56"/>
  <c r="BJ107" i="56"/>
  <c r="BS107" i="56"/>
  <c r="BL114" i="56"/>
  <c r="BU114" i="56"/>
  <c r="BJ16" i="56"/>
  <c r="BU67" i="56"/>
  <c r="BS60" i="56"/>
  <c r="BB36" i="56"/>
  <c r="BL67" i="56"/>
  <c r="BN67" i="56" s="1"/>
  <c r="BF25" i="56"/>
  <c r="BL21" i="56"/>
  <c r="V11" i="54"/>
  <c r="V13" i="54" s="1"/>
  <c r="V20" i="54"/>
  <c r="Y336" i="53"/>
  <c r="N341" i="53"/>
  <c r="AI295" i="53"/>
  <c r="K351" i="53"/>
  <c r="AA343" i="53"/>
  <c r="AI384" i="53"/>
  <c r="AI386" i="53"/>
  <c r="AQ348" i="53"/>
  <c r="K289" i="53"/>
  <c r="AI287" i="53"/>
  <c r="K605" i="53"/>
  <c r="K607" i="53" s="1"/>
  <c r="K609" i="53" s="1"/>
  <c r="AI292" i="53"/>
  <c r="M289" i="53"/>
  <c r="AK289" i="53" s="1"/>
  <c r="K350" i="53"/>
  <c r="K622" i="53"/>
  <c r="K577" i="53"/>
  <c r="K579" i="53" s="1"/>
  <c r="K575" i="53"/>
  <c r="K581" i="53" s="1"/>
  <c r="K418" i="53"/>
  <c r="Y344" i="53" s="1"/>
  <c r="AI424" i="53" s="1"/>
  <c r="Y389" i="53"/>
  <c r="M297" i="53"/>
  <c r="AK297" i="53" s="1"/>
  <c r="M299" i="53"/>
  <c r="M301" i="53"/>
  <c r="M327" i="53"/>
  <c r="M321" i="53"/>
  <c r="M280" i="53"/>
  <c r="AK280" i="53" s="1"/>
  <c r="M282" i="53"/>
  <c r="AK282" i="53" s="1"/>
  <c r="M284" i="53"/>
  <c r="AK284" i="53" s="1"/>
  <c r="M307" i="53"/>
  <c r="AK307" i="53" s="1"/>
  <c r="M323" i="53"/>
  <c r="AK323" i="53" s="1"/>
  <c r="M325" i="53"/>
  <c r="AK325" i="53" s="1"/>
  <c r="K359" i="53"/>
  <c r="K375" i="53" s="1"/>
  <c r="K346" i="53"/>
  <c r="K377" i="53"/>
  <c r="K379" i="53" s="1"/>
  <c r="K353" i="53"/>
  <c r="G436" i="53" s="1"/>
  <c r="K367" i="53"/>
  <c r="O116" i="54"/>
  <c r="D548" i="54"/>
  <c r="E663" i="54"/>
  <c r="E665" i="54" s="1"/>
  <c r="H661" i="54"/>
  <c r="E618" i="54"/>
  <c r="E620" i="54" s="1"/>
  <c r="H616" i="54"/>
  <c r="AL556" i="54"/>
  <c r="AL558" i="54" s="1"/>
  <c r="AL565" i="54"/>
  <c r="AJ567" i="54" s="1"/>
  <c r="D95" i="54"/>
  <c r="E605" i="54" s="1"/>
  <c r="I95" i="54"/>
  <c r="J95" i="54"/>
  <c r="E81" i="54"/>
  <c r="D81" i="54"/>
  <c r="Q561" i="54"/>
  <c r="Q563" i="54" s="1"/>
  <c r="Q554" i="54"/>
  <c r="Q585" i="54"/>
  <c r="Q587" i="54" s="1"/>
  <c r="Q578" i="54"/>
  <c r="P349" i="54"/>
  <c r="P351" i="54" s="1"/>
  <c r="P342" i="54"/>
  <c r="I349" i="54"/>
  <c r="I351" i="54" s="1"/>
  <c r="I353" i="54" s="1"/>
  <c r="I342" i="54"/>
  <c r="N302" i="54"/>
  <c r="H306" i="54"/>
  <c r="M155" i="53"/>
  <c r="L155" i="53"/>
  <c r="K155" i="53"/>
  <c r="BB5" i="53"/>
  <c r="BB8" i="53"/>
  <c r="BB14" i="53"/>
  <c r="BB17" i="53"/>
  <c r="BB24" i="53"/>
  <c r="BB27" i="53"/>
  <c r="C12" i="53"/>
  <c r="C28" i="53" s="1"/>
  <c r="C30" i="53" s="1"/>
  <c r="C32" i="53" s="1"/>
  <c r="M17" i="53"/>
  <c r="F8" i="53"/>
  <c r="F6" i="53"/>
  <c r="F10" i="53" s="1"/>
  <c r="C17" i="53"/>
  <c r="C11" i="53"/>
  <c r="C10" i="53"/>
  <c r="C13" i="53"/>
  <c r="FC30" i="54" l="1"/>
  <c r="CP72" i="54"/>
  <c r="CR63" i="54"/>
  <c r="CR67" i="54" s="1"/>
  <c r="CS68" i="54" s="1"/>
  <c r="CT84" i="54" s="1"/>
  <c r="CT63" i="54"/>
  <c r="CT67" i="54" s="1"/>
  <c r="E79" i="54"/>
  <c r="T22" i="54"/>
  <c r="T27" i="54" s="1"/>
  <c r="BB38" i="56"/>
  <c r="AG10" i="56"/>
  <c r="F37" i="56" s="1"/>
  <c r="BW114" i="56"/>
  <c r="BZ114" i="56"/>
  <c r="BW118" i="56"/>
  <c r="BW116" i="56"/>
  <c r="BQ114" i="56"/>
  <c r="BN114" i="56"/>
  <c r="BW67" i="56"/>
  <c r="BZ67" i="56"/>
  <c r="BQ67" i="56"/>
  <c r="K480" i="53"/>
  <c r="K482" i="53" s="1"/>
  <c r="K484" i="53" s="1"/>
  <c r="K488" i="53" s="1"/>
  <c r="AK321" i="53"/>
  <c r="K456" i="53"/>
  <c r="K466" i="53"/>
  <c r="AK327" i="53"/>
  <c r="K470" i="53"/>
  <c r="AK301" i="53"/>
  <c r="K460" i="53"/>
  <c r="AK299" i="53"/>
  <c r="K468" i="53"/>
  <c r="AA344" i="53"/>
  <c r="AI426" i="53"/>
  <c r="Y372" i="53"/>
  <c r="AI363" i="53"/>
  <c r="K589" i="53"/>
  <c r="K591" i="53" s="1"/>
  <c r="K593" i="53" s="1"/>
  <c r="AI289" i="53"/>
  <c r="AI365" i="53" s="1"/>
  <c r="AI367" i="53" s="1"/>
  <c r="K371" i="53"/>
  <c r="Y373" i="53"/>
  <c r="K583" i="53"/>
  <c r="K585" i="53" s="1"/>
  <c r="K595" i="53" s="1"/>
  <c r="K597" i="53" s="1"/>
  <c r="K599" i="53" s="1"/>
  <c r="K614" i="53"/>
  <c r="N614" i="53" s="1"/>
  <c r="K610" i="53"/>
  <c r="K458" i="53"/>
  <c r="K462" i="53" s="1"/>
  <c r="K464" i="53" s="1"/>
  <c r="K373" i="53"/>
  <c r="K381" i="53" s="1"/>
  <c r="K383" i="53" s="1"/>
  <c r="K385" i="53" s="1"/>
  <c r="K387" i="53" s="1"/>
  <c r="M646" i="53" s="1"/>
  <c r="K424" i="53"/>
  <c r="K348" i="53"/>
  <c r="K421" i="53"/>
  <c r="D572" i="54"/>
  <c r="D561" i="54"/>
  <c r="D563" i="54" s="1"/>
  <c r="D565" i="54" s="1"/>
  <c r="I79" i="54" s="1"/>
  <c r="D554" i="54"/>
  <c r="I81" i="54" s="1"/>
  <c r="O81" i="54"/>
  <c r="P81" i="54"/>
  <c r="R81" i="54"/>
  <c r="Q81" i="54"/>
  <c r="O604" i="54"/>
  <c r="E611" i="54"/>
  <c r="E613" i="54" s="1"/>
  <c r="E615" i="54" s="1"/>
  <c r="E609" i="54"/>
  <c r="E669" i="54"/>
  <c r="E671" i="54" s="1"/>
  <c r="E673" i="54" s="1"/>
  <c r="E667" i="54"/>
  <c r="E675" i="54" s="1"/>
  <c r="E624" i="54"/>
  <c r="E626" i="54" s="1"/>
  <c r="E628" i="54" s="1"/>
  <c r="E622" i="54"/>
  <c r="E630" i="54" s="1"/>
  <c r="M81" i="54"/>
  <c r="K81" i="54"/>
  <c r="L81" i="54" s="1"/>
  <c r="K22" i="54"/>
  <c r="K24" i="54" s="1"/>
  <c r="K26" i="54" s="1"/>
  <c r="K28" i="54" s="1"/>
  <c r="F308" i="54"/>
  <c r="N299" i="54"/>
  <c r="F12" i="53"/>
  <c r="K158" i="53"/>
  <c r="M79" i="53"/>
  <c r="M83" i="53" s="1"/>
  <c r="M175" i="53"/>
  <c r="M176" i="53"/>
  <c r="M177" i="53"/>
  <c r="M178" i="53"/>
  <c r="M208" i="53"/>
  <c r="M210" i="53" s="1"/>
  <c r="M212" i="53"/>
  <c r="M242" i="53"/>
  <c r="M243" i="53"/>
  <c r="M247" i="53" s="1"/>
  <c r="M167" i="53"/>
  <c r="M157" i="53"/>
  <c r="M158" i="53"/>
  <c r="M159" i="53"/>
  <c r="M161" i="53" s="1"/>
  <c r="M141" i="53"/>
  <c r="M154" i="53" s="1"/>
  <c r="M99" i="53"/>
  <c r="M103" i="53" s="1"/>
  <c r="M101" i="53"/>
  <c r="M105" i="53" s="1"/>
  <c r="M34" i="53"/>
  <c r="M56" i="53" s="1"/>
  <c r="M200" i="53" s="1"/>
  <c r="M36" i="53"/>
  <c r="M55" i="53" s="1"/>
  <c r="M202" i="53" s="1"/>
  <c r="M61" i="53"/>
  <c r="M220" i="53" s="1"/>
  <c r="M18" i="53"/>
  <c r="M21" i="53"/>
  <c r="M6" i="53"/>
  <c r="BN13" i="53"/>
  <c r="BN12" i="53"/>
  <c r="BF9" i="53"/>
  <c r="BF10" i="53" s="1"/>
  <c r="BE9" i="53"/>
  <c r="BE10" i="53" s="1"/>
  <c r="BE8" i="53"/>
  <c r="BA8" i="53"/>
  <c r="BA17" i="53"/>
  <c r="BA27" i="53"/>
  <c r="L167" i="53"/>
  <c r="L175" i="53"/>
  <c r="L176" i="53"/>
  <c r="L177" i="53"/>
  <c r="L178" i="53"/>
  <c r="L208" i="53"/>
  <c r="L210" i="53" s="1"/>
  <c r="L212" i="53"/>
  <c r="L242" i="53"/>
  <c r="L141" i="53"/>
  <c r="L79" i="53"/>
  <c r="L61" i="53"/>
  <c r="L36" i="53"/>
  <c r="L34" i="53"/>
  <c r="L21" i="53"/>
  <c r="L99" i="53"/>
  <c r="L103" i="53" s="1"/>
  <c r="L101" i="53"/>
  <c r="L105" i="53" s="1"/>
  <c r="L6" i="53"/>
  <c r="AZ27" i="53"/>
  <c r="AZ17" i="53"/>
  <c r="AZ8" i="53"/>
  <c r="K242" i="53"/>
  <c r="K212" i="53"/>
  <c r="K208" i="53"/>
  <c r="K210" i="53" s="1"/>
  <c r="K178" i="53"/>
  <c r="K177" i="53"/>
  <c r="K176" i="53"/>
  <c r="K175" i="53"/>
  <c r="K167" i="53"/>
  <c r="K141" i="53"/>
  <c r="K79" i="53"/>
  <c r="K166" i="53" s="1"/>
  <c r="K6" i="53"/>
  <c r="K61" i="53"/>
  <c r="K220" i="53" s="1"/>
  <c r="K36" i="53"/>
  <c r="K34" i="53"/>
  <c r="K101" i="53"/>
  <c r="K105" i="53" s="1"/>
  <c r="K99" i="53"/>
  <c r="K103" i="53" s="1"/>
  <c r="K21" i="53"/>
  <c r="J34" i="2"/>
  <c r="I17" i="4"/>
  <c r="F17" i="4"/>
  <c r="S4" i="11"/>
  <c r="S5" i="11"/>
  <c r="S6" i="11"/>
  <c r="S13" i="11"/>
  <c r="S15" i="11"/>
  <c r="S16" i="11"/>
  <c r="F10" i="50"/>
  <c r="K12" i="50" s="1"/>
  <c r="AD18" i="50"/>
  <c r="AD14" i="50"/>
  <c r="AD16" i="50"/>
  <c r="F18" i="50"/>
  <c r="AX18" i="50" s="1"/>
  <c r="BB18" i="50" s="1"/>
  <c r="BL18" i="50" s="1"/>
  <c r="F16" i="50"/>
  <c r="AX16" i="50" s="1"/>
  <c r="BB16" i="50" s="1"/>
  <c r="BL16" i="50" s="1"/>
  <c r="F14" i="50"/>
  <c r="AX14" i="50"/>
  <c r="BB14" i="50" s="1"/>
  <c r="BL14" i="50" s="1"/>
  <c r="BH18" i="50"/>
  <c r="BH16" i="50"/>
  <c r="BH14" i="50"/>
  <c r="AO14" i="50"/>
  <c r="CB20" i="49"/>
  <c r="CA20" i="49"/>
  <c r="BZ20" i="49"/>
  <c r="AJ20" i="49"/>
  <c r="AI20" i="49"/>
  <c r="AH20" i="49"/>
  <c r="CB19" i="49"/>
  <c r="CA19" i="49"/>
  <c r="BZ19" i="49"/>
  <c r="CB18" i="49"/>
  <c r="CA18" i="49"/>
  <c r="BZ18" i="49"/>
  <c r="CA18" i="32"/>
  <c r="CB18" i="32"/>
  <c r="CA19" i="32"/>
  <c r="CB19" i="32"/>
  <c r="CA20" i="32"/>
  <c r="CB20" i="32"/>
  <c r="BZ19" i="32"/>
  <c r="BZ20" i="32"/>
  <c r="BZ18" i="32"/>
  <c r="V25" i="32"/>
  <c r="AJ20" i="32"/>
  <c r="AI20" i="32"/>
  <c r="AH20" i="32"/>
  <c r="FC44" i="54" l="1"/>
  <c r="CR72" i="54"/>
  <c r="CU68" i="54"/>
  <c r="CV84" i="54" s="1"/>
  <c r="T30" i="54"/>
  <c r="T28" i="54"/>
  <c r="T23" i="54"/>
  <c r="K30" i="54"/>
  <c r="J3" i="54" s="1"/>
  <c r="K32" i="54"/>
  <c r="L3" i="54"/>
  <c r="N24" i="54"/>
  <c r="U39" i="56"/>
  <c r="U31" i="56"/>
  <c r="U33" i="56" s="1"/>
  <c r="U37" i="56" s="1"/>
  <c r="AG12" i="56"/>
  <c r="H37" i="56" s="1"/>
  <c r="BN118" i="56"/>
  <c r="BN116" i="56"/>
  <c r="BW126" i="56"/>
  <c r="BW120" i="56"/>
  <c r="BW122" i="56" s="1"/>
  <c r="BW124" i="56" s="1"/>
  <c r="BW128" i="56" s="1"/>
  <c r="BW136" i="56" s="1"/>
  <c r="BW100" i="56" s="1"/>
  <c r="BW71" i="56"/>
  <c r="BW69" i="56"/>
  <c r="BN71" i="56"/>
  <c r="BN69" i="56"/>
  <c r="BF27" i="56"/>
  <c r="BF29" i="56" s="1"/>
  <c r="K490" i="53"/>
  <c r="K472" i="53"/>
  <c r="K474" i="53" s="1"/>
  <c r="K492" i="53" s="1"/>
  <c r="Y379" i="53"/>
  <c r="AI369" i="53"/>
  <c r="K434" i="53"/>
  <c r="K436" i="53" s="1"/>
  <c r="K438" i="53" s="1"/>
  <c r="Y384" i="53"/>
  <c r="K620" i="53"/>
  <c r="K612" i="53"/>
  <c r="K601" i="53"/>
  <c r="K616" i="53"/>
  <c r="G599" i="53"/>
  <c r="K442" i="53"/>
  <c r="K444" i="53" s="1"/>
  <c r="K440" i="53"/>
  <c r="K446" i="53" s="1"/>
  <c r="K420" i="53"/>
  <c r="K422" i="53" s="1"/>
  <c r="K365" i="53"/>
  <c r="D585" i="54"/>
  <c r="D587" i="54" s="1"/>
  <c r="D589" i="54" s="1"/>
  <c r="D578" i="54"/>
  <c r="O617" i="54"/>
  <c r="O619" i="54" s="1"/>
  <c r="O610" i="54"/>
  <c r="E634" i="54"/>
  <c r="F605" i="54" s="1"/>
  <c r="E632" i="54"/>
  <c r="F313" i="54"/>
  <c r="M305" i="54" s="1"/>
  <c r="AU116" i="54"/>
  <c r="AU146" i="54" s="1"/>
  <c r="M16" i="53"/>
  <c r="M19" i="53" s="1"/>
  <c r="M20" i="53" s="1"/>
  <c r="M180" i="53"/>
  <c r="M182" i="53"/>
  <c r="M63" i="53"/>
  <c r="M65" i="53" s="1"/>
  <c r="M67" i="53" s="1"/>
  <c r="M204" i="53"/>
  <c r="M206" i="53" s="1"/>
  <c r="M245" i="53"/>
  <c r="M85" i="53"/>
  <c r="M87" i="53" s="1"/>
  <c r="M89" i="53"/>
  <c r="M214" i="53"/>
  <c r="M216" i="53" s="1"/>
  <c r="M218" i="53" s="1"/>
  <c r="M58" i="53"/>
  <c r="M59" i="53" s="1"/>
  <c r="M69" i="53" s="1"/>
  <c r="M71" i="53" s="1"/>
  <c r="M73" i="53" s="1"/>
  <c r="M75" i="53" s="1"/>
  <c r="M166" i="53"/>
  <c r="M169" i="53" s="1"/>
  <c r="M172" i="53" s="1"/>
  <c r="K159" i="53"/>
  <c r="K161" i="53" s="1"/>
  <c r="K157" i="53"/>
  <c r="K214" i="53"/>
  <c r="L180" i="53"/>
  <c r="L214" i="53"/>
  <c r="K169" i="53"/>
  <c r="K170" i="53" s="1"/>
  <c r="K171" i="53" s="1"/>
  <c r="K63" i="53"/>
  <c r="K65" i="53" s="1"/>
  <c r="K67" i="53" s="1"/>
  <c r="K83" i="53"/>
  <c r="K89" i="53" s="1"/>
  <c r="L182" i="53"/>
  <c r="L220" i="53"/>
  <c r="L63" i="53"/>
  <c r="L65" i="53" s="1"/>
  <c r="L67" i="53" s="1"/>
  <c r="L166" i="53"/>
  <c r="L169" i="53" s="1"/>
  <c r="L83" i="53"/>
  <c r="L245" i="53"/>
  <c r="L154" i="53"/>
  <c r="K154" i="53"/>
  <c r="K245" i="53"/>
  <c r="K180" i="53"/>
  <c r="K182" i="53"/>
  <c r="S16" i="50"/>
  <c r="S18" i="50"/>
  <c r="J14" i="50"/>
  <c r="K14" i="50" s="1"/>
  <c r="P14" i="50" s="1"/>
  <c r="BI18" i="50"/>
  <c r="J16" i="50"/>
  <c r="K16" i="50" s="1"/>
  <c r="J18" i="50"/>
  <c r="K18" i="50" s="1"/>
  <c r="S14" i="50"/>
  <c r="BI14" i="50"/>
  <c r="BI16" i="50"/>
  <c r="AO16" i="50"/>
  <c r="F11" i="50"/>
  <c r="AO18" i="50"/>
  <c r="BL48" i="32"/>
  <c r="BL46" i="32"/>
  <c r="BL44" i="32"/>
  <c r="N48" i="32"/>
  <c r="N46" i="32"/>
  <c r="BJ46" i="32" s="1"/>
  <c r="N44" i="32"/>
  <c r="BJ44" i="32" s="1"/>
  <c r="N40" i="32"/>
  <c r="BM46" i="32"/>
  <c r="BB16" i="47"/>
  <c r="BB15" i="47"/>
  <c r="BB11" i="47"/>
  <c r="AX11" i="47"/>
  <c r="AZ11" i="47"/>
  <c r="AV11" i="47"/>
  <c r="AO16" i="47"/>
  <c r="AO15" i="47"/>
  <c r="AO11" i="47"/>
  <c r="AM11" i="47"/>
  <c r="AK11" i="47"/>
  <c r="AI11" i="47"/>
  <c r="A2" i="47"/>
  <c r="A3" i="47"/>
  <c r="A4" i="47"/>
  <c r="A6" i="47"/>
  <c r="A7" i="47"/>
  <c r="A8" i="47"/>
  <c r="B8" i="47"/>
  <c r="B3" i="47"/>
  <c r="HT18" i="46"/>
  <c r="HT17" i="46"/>
  <c r="HN13" i="46"/>
  <c r="HT13" i="46"/>
  <c r="HR13" i="46"/>
  <c r="HP13" i="46"/>
  <c r="HJ17" i="46"/>
  <c r="HJ18" i="46"/>
  <c r="HD13" i="46"/>
  <c r="CQ4" i="46"/>
  <c r="AO40" i="46"/>
  <c r="AP40" i="46" s="1"/>
  <c r="AP26" i="46"/>
  <c r="D19" i="46"/>
  <c r="D17" i="46"/>
  <c r="D15" i="46"/>
  <c r="E19" i="46"/>
  <c r="CR4" i="46" s="1"/>
  <c r="E17" i="46"/>
  <c r="E15" i="46"/>
  <c r="BN4" i="46" s="1"/>
  <c r="F19" i="46"/>
  <c r="F17" i="46"/>
  <c r="F15" i="46"/>
  <c r="FC36" i="54" l="1"/>
  <c r="FC38" i="54" s="1"/>
  <c r="FC40" i="54" s="1"/>
  <c r="FC42" i="54" s="1"/>
  <c r="FC46" i="54" s="1"/>
  <c r="CT72" i="54"/>
  <c r="CW68" i="54"/>
  <c r="CX84" i="54" s="1"/>
  <c r="M307" i="54"/>
  <c r="M309" i="54"/>
  <c r="M311" i="54" s="1"/>
  <c r="T32" i="54"/>
  <c r="U45" i="56"/>
  <c r="AG14" i="56"/>
  <c r="J37" i="56" s="1"/>
  <c r="BL23" i="56"/>
  <c r="BQ23" i="56" s="1"/>
  <c r="BW130" i="56"/>
  <c r="BW132" i="56" s="1"/>
  <c r="BW134" i="56" s="1"/>
  <c r="BV100" i="56" s="1"/>
  <c r="BN126" i="56"/>
  <c r="BN120" i="56"/>
  <c r="BN122" i="56" s="1"/>
  <c r="BN124" i="56" s="1"/>
  <c r="BN128" i="56" s="1"/>
  <c r="BN136" i="56" s="1"/>
  <c r="BN100" i="56" s="1"/>
  <c r="BW79" i="56"/>
  <c r="BW73" i="56"/>
  <c r="BW75" i="56" s="1"/>
  <c r="BW77" i="56" s="1"/>
  <c r="BW81" i="56" s="1"/>
  <c r="BW89" i="56" s="1"/>
  <c r="BW53" i="56" s="1"/>
  <c r="BN23" i="56"/>
  <c r="BN79" i="56"/>
  <c r="BN83" i="56" s="1"/>
  <c r="BN85" i="56" s="1"/>
  <c r="BN87" i="56" s="1"/>
  <c r="BM53" i="56" s="1"/>
  <c r="BN73" i="56"/>
  <c r="BN75" i="56" s="1"/>
  <c r="BN77" i="56" s="1"/>
  <c r="BN81" i="56" s="1"/>
  <c r="BN89" i="56" s="1"/>
  <c r="BN53" i="56" s="1"/>
  <c r="BN25" i="56"/>
  <c r="K494" i="53"/>
  <c r="K496" i="53"/>
  <c r="AI388" i="53"/>
  <c r="AI390" i="53" s="1"/>
  <c r="AI392" i="53" s="1"/>
  <c r="AV392" i="53" s="1"/>
  <c r="BA352" i="53" s="1"/>
  <c r="AQ350" i="53"/>
  <c r="AQ352" i="53" s="1"/>
  <c r="AQ354" i="53" s="1"/>
  <c r="AW354" i="53" s="1"/>
  <c r="BB348" i="53" s="1"/>
  <c r="BI348" i="53" s="1"/>
  <c r="R335" i="53" s="1"/>
  <c r="AI428" i="53"/>
  <c r="AI430" i="53" s="1"/>
  <c r="AI432" i="53" s="1"/>
  <c r="AV432" i="53" s="1"/>
  <c r="BA358" i="53" s="1"/>
  <c r="Y358" i="53"/>
  <c r="AI456" i="53" s="1"/>
  <c r="Y360" i="53"/>
  <c r="Y363" i="53"/>
  <c r="Y365" i="53"/>
  <c r="K369" i="53"/>
  <c r="K448" i="53"/>
  <c r="K450" i="53" s="1"/>
  <c r="Y340" i="53" s="1"/>
  <c r="Y378" i="53"/>
  <c r="Y364" i="53"/>
  <c r="Y385" i="53"/>
  <c r="K603" i="53"/>
  <c r="Y359" i="53"/>
  <c r="K452" i="53"/>
  <c r="S604" i="54"/>
  <c r="Y116" i="54"/>
  <c r="P95" i="54" s="1"/>
  <c r="S617" i="54"/>
  <c r="S619" i="54" s="1"/>
  <c r="S610" i="54"/>
  <c r="S612" i="54" s="1"/>
  <c r="S614" i="54" s="1"/>
  <c r="H626" i="54"/>
  <c r="H628" i="54" s="1"/>
  <c r="H630" i="54" s="1"/>
  <c r="H620" i="54"/>
  <c r="H622" i="54" s="1"/>
  <c r="H624" i="54" s="1"/>
  <c r="D605" i="54"/>
  <c r="M422" i="54"/>
  <c r="M363" i="54"/>
  <c r="L296" i="54"/>
  <c r="BB6" i="53"/>
  <c r="M116" i="53"/>
  <c r="BB15" i="53" s="1"/>
  <c r="BB25" i="53" s="1"/>
  <c r="M23" i="53"/>
  <c r="BB10" i="53" s="1"/>
  <c r="BB12" i="53" s="1"/>
  <c r="BC12" i="53" s="1"/>
  <c r="K172" i="53"/>
  <c r="K173" i="53" s="1"/>
  <c r="M91" i="53"/>
  <c r="M97" i="53" s="1"/>
  <c r="M109" i="53" s="1"/>
  <c r="M113" i="53" s="1"/>
  <c r="M226" i="53"/>
  <c r="M228" i="53" s="1"/>
  <c r="M222" i="53"/>
  <c r="M224" i="53" s="1"/>
  <c r="M170" i="53"/>
  <c r="M171" i="53" s="1"/>
  <c r="M173" i="53" s="1"/>
  <c r="M185" i="53" s="1"/>
  <c r="M193" i="53" s="1"/>
  <c r="M27" i="53"/>
  <c r="M25" i="53"/>
  <c r="M190" i="53"/>
  <c r="M198" i="53" s="1"/>
  <c r="L157" i="53"/>
  <c r="L158" i="53"/>
  <c r="L159" i="53"/>
  <c r="L161" i="53" s="1"/>
  <c r="K85" i="53"/>
  <c r="K87" i="53" s="1"/>
  <c r="K91" i="53" s="1"/>
  <c r="K95" i="53" s="1"/>
  <c r="K107" i="53" s="1"/>
  <c r="L89" i="53"/>
  <c r="L85" i="53"/>
  <c r="L87" i="53" s="1"/>
  <c r="L172" i="53"/>
  <c r="L170" i="53"/>
  <c r="L171" i="53" s="1"/>
  <c r="L14" i="50"/>
  <c r="R14" i="50"/>
  <c r="U14" i="50" s="1"/>
  <c r="N14" i="50"/>
  <c r="AK14" i="50" s="1"/>
  <c r="AQ14" i="50" s="1"/>
  <c r="BF14" i="50"/>
  <c r="P18" i="50"/>
  <c r="L18" i="50"/>
  <c r="N18" i="50"/>
  <c r="N16" i="50"/>
  <c r="R16" i="50"/>
  <c r="U16" i="50" s="1"/>
  <c r="W16" i="50" s="1"/>
  <c r="Y16" i="50" s="1"/>
  <c r="AA16" i="50" s="1"/>
  <c r="P16" i="50"/>
  <c r="L16" i="50"/>
  <c r="R18" i="50"/>
  <c r="U18" i="50" s="1"/>
  <c r="W18" i="50" s="1"/>
  <c r="Y18" i="50" s="1"/>
  <c r="AA18" i="50" s="1"/>
  <c r="O46" i="32"/>
  <c r="O48" i="32"/>
  <c r="O44" i="32"/>
  <c r="W44" i="32"/>
  <c r="BM44" i="32"/>
  <c r="W48" i="32"/>
  <c r="BM48" i="32"/>
  <c r="BL39" i="32"/>
  <c r="O42" i="32"/>
  <c r="W46" i="32"/>
  <c r="BM4" i="46"/>
  <c r="BB37" i="46" s="1"/>
  <c r="BB23" i="46"/>
  <c r="CF37" i="46"/>
  <c r="E6" i="45"/>
  <c r="HJ13" i="46"/>
  <c r="HN10" i="46"/>
  <c r="IC10" i="46" s="1"/>
  <c r="HD10" i="46"/>
  <c r="HY10" i="46" s="1"/>
  <c r="E14" i="38"/>
  <c r="E16" i="42"/>
  <c r="E14" i="42"/>
  <c r="B3" i="44"/>
  <c r="BY1" i="45"/>
  <c r="BY2" i="45"/>
  <c r="BY3" i="45"/>
  <c r="AV14" i="45"/>
  <c r="J11" i="45"/>
  <c r="AQ10" i="45" s="1"/>
  <c r="I11" i="45"/>
  <c r="AP10" i="45" s="1"/>
  <c r="H11" i="45"/>
  <c r="AO10" i="45" s="1"/>
  <c r="J10" i="45"/>
  <c r="Y8" i="45" s="1"/>
  <c r="I10" i="45"/>
  <c r="AP9" i="45" s="1"/>
  <c r="H10" i="45"/>
  <c r="AO9" i="45" s="1"/>
  <c r="AA9" i="45"/>
  <c r="J9" i="45"/>
  <c r="L10" i="45" s="1"/>
  <c r="I9" i="45"/>
  <c r="AP8" i="45" s="1"/>
  <c r="H9" i="45"/>
  <c r="AO8" i="45" s="1"/>
  <c r="C6" i="44"/>
  <c r="I9" i="43"/>
  <c r="J9" i="43"/>
  <c r="AL20" i="43" s="1"/>
  <c r="I10" i="43"/>
  <c r="AP9" i="43" s="1"/>
  <c r="J10" i="43"/>
  <c r="L12" i="43" s="1"/>
  <c r="I11" i="43"/>
  <c r="AP10" i="43" s="1"/>
  <c r="J11" i="43"/>
  <c r="AQ10" i="43" s="1"/>
  <c r="H10" i="43"/>
  <c r="AO9" i="43" s="1"/>
  <c r="H11" i="43"/>
  <c r="AO10" i="43" s="1"/>
  <c r="H9" i="43"/>
  <c r="AO25" i="42"/>
  <c r="BK26" i="42" s="1"/>
  <c r="AO11" i="42"/>
  <c r="X15" i="44"/>
  <c r="AJ16" i="43"/>
  <c r="AU11" i="43" s="1"/>
  <c r="BM17" i="43" s="1"/>
  <c r="AV14" i="43"/>
  <c r="BN20" i="43" s="1"/>
  <c r="AL12" i="43"/>
  <c r="AL15" i="43"/>
  <c r="AQ9" i="43"/>
  <c r="BD8" i="43" s="1"/>
  <c r="AA9" i="43"/>
  <c r="AP8" i="43"/>
  <c r="AO8" i="43"/>
  <c r="BJ8" i="43"/>
  <c r="AJ8" i="43"/>
  <c r="AJ13" i="43" s="1"/>
  <c r="AU8" i="43" s="1"/>
  <c r="BM14" i="43" s="1"/>
  <c r="AE8" i="43"/>
  <c r="Y8" i="43"/>
  <c r="L8" i="43"/>
  <c r="M16" i="42"/>
  <c r="AG16" i="42"/>
  <c r="AG14" i="42"/>
  <c r="FB12" i="42"/>
  <c r="FS9" i="42"/>
  <c r="FO9" i="42"/>
  <c r="FF9" i="42"/>
  <c r="EX9" i="42"/>
  <c r="U5" i="29"/>
  <c r="J6" i="41"/>
  <c r="F9" i="41" s="1"/>
  <c r="X15" i="40"/>
  <c r="B3" i="40"/>
  <c r="B1" i="40"/>
  <c r="EX9" i="38"/>
  <c r="FO9" i="38" s="1"/>
  <c r="FF9" i="38"/>
  <c r="FS9" i="38" s="1"/>
  <c r="FB12" i="38"/>
  <c r="E16" i="38"/>
  <c r="AG16" i="38" s="1"/>
  <c r="AG14" i="38"/>
  <c r="AV14" i="39"/>
  <c r="J11" i="39"/>
  <c r="AQ10" i="39" s="1"/>
  <c r="I11" i="39"/>
  <c r="AP10" i="39" s="1"/>
  <c r="H11" i="39"/>
  <c r="AO10" i="39" s="1"/>
  <c r="J10" i="39"/>
  <c r="L12" i="39" s="1"/>
  <c r="I10" i="39"/>
  <c r="AP9" i="39" s="1"/>
  <c r="H10" i="39"/>
  <c r="AO9" i="39" s="1"/>
  <c r="AA9" i="39"/>
  <c r="J9" i="39"/>
  <c r="AE10" i="39" s="1"/>
  <c r="AJ10" i="39" s="1"/>
  <c r="I9" i="39"/>
  <c r="AP8" i="39" s="1"/>
  <c r="H9" i="39"/>
  <c r="AO8" i="39" s="1"/>
  <c r="AQ8" i="39"/>
  <c r="BJ10" i="39" s="1"/>
  <c r="AO25" i="38"/>
  <c r="M16" i="38"/>
  <c r="AO11" i="38"/>
  <c r="FC10" i="54" l="1"/>
  <c r="CO15" i="54" s="1"/>
  <c r="CV72" i="54"/>
  <c r="CY68" i="54"/>
  <c r="CZ84" i="54" s="1"/>
  <c r="K356" i="54"/>
  <c r="M313" i="54"/>
  <c r="M318" i="54" s="1"/>
  <c r="T42" i="54"/>
  <c r="T34" i="54"/>
  <c r="T36" i="54" s="1"/>
  <c r="T38" i="54" s="1"/>
  <c r="T40" i="54" s="1"/>
  <c r="U41" i="56"/>
  <c r="U43" i="56" s="1"/>
  <c r="U7" i="56"/>
  <c r="T7" i="56"/>
  <c r="AG16" i="56"/>
  <c r="L37" i="56" s="1"/>
  <c r="C17" i="56" a="1"/>
  <c r="BN130" i="56"/>
  <c r="BN132" i="56" s="1"/>
  <c r="BN134" i="56" s="1"/>
  <c r="BM100" i="56" s="1"/>
  <c r="BW83" i="56"/>
  <c r="BW85" i="56" s="1"/>
  <c r="BW87" i="56" s="1"/>
  <c r="BV53" i="56" s="1"/>
  <c r="BN27" i="56"/>
  <c r="AI497" i="53"/>
  <c r="AI499" i="53" s="1"/>
  <c r="AI501" i="53" s="1"/>
  <c r="AI503" i="53" s="1"/>
  <c r="AI505" i="53" s="1"/>
  <c r="AV505" i="53" s="1"/>
  <c r="BA368" i="53" s="1"/>
  <c r="BH358" i="53" s="1"/>
  <c r="Q341" i="53" s="1"/>
  <c r="AI507" i="53"/>
  <c r="AI509" i="53" s="1"/>
  <c r="AI511" i="53" s="1"/>
  <c r="AI513" i="53" s="1"/>
  <c r="AI515" i="53" s="1"/>
  <c r="AV515" i="53" s="1"/>
  <c r="BA370" i="53" s="1"/>
  <c r="BH360" i="53" s="1"/>
  <c r="Q343" i="53" s="1"/>
  <c r="AQ486" i="53"/>
  <c r="AQ488" i="53" s="1"/>
  <c r="AQ490" i="53" s="1"/>
  <c r="AQ492" i="53" s="1"/>
  <c r="AQ494" i="53" s="1"/>
  <c r="AW494" i="53" s="1"/>
  <c r="BB366" i="53" s="1"/>
  <c r="BI356" i="53" s="1"/>
  <c r="AA364" i="53"/>
  <c r="AA359" i="53"/>
  <c r="AQ478" i="53"/>
  <c r="AQ480" i="53" s="1"/>
  <c r="AQ482" i="53" s="1"/>
  <c r="AQ484" i="53" s="1"/>
  <c r="AW484" i="53" s="1"/>
  <c r="BB364" i="53" s="1"/>
  <c r="BI354" i="53" s="1"/>
  <c r="AA365" i="53"/>
  <c r="AI486" i="53"/>
  <c r="AI488" i="53" s="1"/>
  <c r="AI490" i="53" s="1"/>
  <c r="AI492" i="53" s="1"/>
  <c r="AI494" i="53" s="1"/>
  <c r="AV494" i="53" s="1"/>
  <c r="BA366" i="53" s="1"/>
  <c r="BH356" i="53" s="1"/>
  <c r="AA360" i="53"/>
  <c r="AI476" i="53"/>
  <c r="AI478" i="53" s="1"/>
  <c r="AI480" i="53" s="1"/>
  <c r="AI482" i="53" s="1"/>
  <c r="AI484" i="53" s="1"/>
  <c r="AV484" i="53" s="1"/>
  <c r="BA364" i="53" s="1"/>
  <c r="BH354" i="53" s="1"/>
  <c r="AA363" i="53"/>
  <c r="AI466" i="53"/>
  <c r="AI468" i="53" s="1"/>
  <c r="AA358" i="53"/>
  <c r="AI458" i="53"/>
  <c r="AI460" i="53" s="1"/>
  <c r="AI462" i="53" s="1"/>
  <c r="AI464" i="53" s="1"/>
  <c r="AA340" i="53"/>
  <c r="AI414" i="53"/>
  <c r="Y377" i="53"/>
  <c r="K389" i="53"/>
  <c r="K391" i="53" s="1"/>
  <c r="K393" i="53" s="1"/>
  <c r="Y353" i="53"/>
  <c r="K604" i="54"/>
  <c r="X116" i="54"/>
  <c r="O95" i="54" s="1"/>
  <c r="S621" i="54"/>
  <c r="Q623" i="54" s="1"/>
  <c r="P79" i="54" s="1"/>
  <c r="H632" i="54"/>
  <c r="H635" i="54" s="1"/>
  <c r="N428" i="54"/>
  <c r="Q430" i="54" s="1"/>
  <c r="L428" i="54"/>
  <c r="J430" i="54" s="1"/>
  <c r="L471" i="54" s="1"/>
  <c r="AW114" i="54"/>
  <c r="AW144" i="54" s="1"/>
  <c r="AU114" i="54"/>
  <c r="AU144" i="54" s="1"/>
  <c r="L91" i="53"/>
  <c r="L95" i="53" s="1"/>
  <c r="L107" i="53" s="1"/>
  <c r="M95" i="53"/>
  <c r="M107" i="53" s="1"/>
  <c r="M111" i="53" s="1"/>
  <c r="M118" i="53" s="1"/>
  <c r="M120" i="53" s="1"/>
  <c r="M122" i="53" s="1"/>
  <c r="M230" i="53"/>
  <c r="M234" i="53" s="1"/>
  <c r="M250" i="53" s="1"/>
  <c r="M254" i="53" s="1"/>
  <c r="M258" i="53" s="1"/>
  <c r="M262" i="53" s="1"/>
  <c r="M266" i="53" s="1"/>
  <c r="K185" i="53"/>
  <c r="K193" i="53" s="1"/>
  <c r="K186" i="53"/>
  <c r="K194" i="53" s="1"/>
  <c r="M184" i="53"/>
  <c r="M192" i="53" s="1"/>
  <c r="M233" i="53" s="1"/>
  <c r="M249" i="53" s="1"/>
  <c r="M253" i="53" s="1"/>
  <c r="M257" i="53" s="1"/>
  <c r="M189" i="53"/>
  <c r="M197" i="53" s="1"/>
  <c r="M238" i="53" s="1"/>
  <c r="M124" i="53"/>
  <c r="M126" i="53" s="1"/>
  <c r="BB19" i="53"/>
  <c r="BB21" i="53" s="1"/>
  <c r="BC21" i="53" s="1"/>
  <c r="K189" i="53"/>
  <c r="K197" i="53" s="1"/>
  <c r="K190" i="53"/>
  <c r="K198" i="53" s="1"/>
  <c r="K188" i="53"/>
  <c r="K196" i="53" s="1"/>
  <c r="M186" i="53"/>
  <c r="M194" i="53" s="1"/>
  <c r="M235" i="53" s="1"/>
  <c r="M251" i="53" s="1"/>
  <c r="M255" i="53" s="1"/>
  <c r="M259" i="53" s="1"/>
  <c r="M263" i="53" s="1"/>
  <c r="M267" i="53" s="1"/>
  <c r="K184" i="53"/>
  <c r="K192" i="53" s="1"/>
  <c r="M188" i="53"/>
  <c r="M196" i="53" s="1"/>
  <c r="M237" i="53" s="1"/>
  <c r="K97" i="53"/>
  <c r="K109" i="53" s="1"/>
  <c r="L173" i="53"/>
  <c r="L185" i="53" s="1"/>
  <c r="L193" i="53" s="1"/>
  <c r="W14" i="50"/>
  <c r="Y14" i="50" s="1"/>
  <c r="AA14" i="50" s="1"/>
  <c r="AE14" i="50" s="1"/>
  <c r="AH14" i="50" s="1"/>
  <c r="AM14" i="50" s="1"/>
  <c r="AU14" i="50" s="1"/>
  <c r="AB18" i="50"/>
  <c r="AE18" i="50"/>
  <c r="AE16" i="50"/>
  <c r="AB16" i="50"/>
  <c r="AK16" i="50"/>
  <c r="AQ16" i="50" s="1"/>
  <c r="BF16" i="50"/>
  <c r="AK18" i="50"/>
  <c r="AQ18" i="50" s="1"/>
  <c r="BF18" i="50"/>
  <c r="P44" i="32"/>
  <c r="T44" i="32"/>
  <c r="R44" i="32"/>
  <c r="P46" i="32"/>
  <c r="T46" i="32"/>
  <c r="R46" i="32"/>
  <c r="T48" i="32"/>
  <c r="R48" i="32"/>
  <c r="BJ48" i="32" s="1"/>
  <c r="P48" i="32"/>
  <c r="CF23" i="46"/>
  <c r="AS10" i="45"/>
  <c r="AV16" i="45"/>
  <c r="AQ9" i="45"/>
  <c r="AE8" i="45"/>
  <c r="AJ8" i="45" s="1"/>
  <c r="Y9" i="45"/>
  <c r="AL20" i="45"/>
  <c r="BN20" i="45"/>
  <c r="AE10" i="45"/>
  <c r="AJ10" i="45" s="1"/>
  <c r="AK12" i="45"/>
  <c r="AV7" i="45" s="1"/>
  <c r="BN13" i="45" s="1"/>
  <c r="AK15" i="45"/>
  <c r="AV10" i="45" s="1"/>
  <c r="BN16" i="45" s="1"/>
  <c r="AQ8" i="45"/>
  <c r="AL12" i="45"/>
  <c r="AL15" i="45"/>
  <c r="AK20" i="45"/>
  <c r="AV15" i="45" s="1"/>
  <c r="BN21" i="45" s="1"/>
  <c r="L8" i="45"/>
  <c r="Y10" i="45"/>
  <c r="L12" i="45"/>
  <c r="Y10" i="43"/>
  <c r="AQ8" i="43"/>
  <c r="BJ10" i="43" s="1"/>
  <c r="AK20" i="43"/>
  <c r="AV15" i="43" s="1"/>
  <c r="BN21" i="43" s="1"/>
  <c r="AS10" i="43"/>
  <c r="BG12" i="42"/>
  <c r="BM8" i="43"/>
  <c r="AE10" i="43"/>
  <c r="AJ10" i="43" s="1"/>
  <c r="AK12" i="43"/>
  <c r="AV7" i="43" s="1"/>
  <c r="BN13" i="43" s="1"/>
  <c r="AK15" i="43"/>
  <c r="AV10" i="43" s="1"/>
  <c r="BN16" i="43" s="1"/>
  <c r="BK12" i="42"/>
  <c r="BI12" i="42"/>
  <c r="BG26" i="42"/>
  <c r="BI26" i="42"/>
  <c r="Y9" i="43"/>
  <c r="L10" i="43"/>
  <c r="B2" i="40"/>
  <c r="AS10" i="39"/>
  <c r="BM10" i="39"/>
  <c r="AJ18" i="39"/>
  <c r="AU13" i="39" s="1"/>
  <c r="BM19" i="39" s="1"/>
  <c r="AJ21" i="39"/>
  <c r="AU16" i="39" s="1"/>
  <c r="BM22" i="39" s="1"/>
  <c r="BN20" i="39"/>
  <c r="Y8" i="39"/>
  <c r="AK20" i="39"/>
  <c r="AV15" i="39" s="1"/>
  <c r="BN21" i="39" s="1"/>
  <c r="L10" i="39"/>
  <c r="Y9" i="39"/>
  <c r="AQ9" i="39"/>
  <c r="AK12" i="39"/>
  <c r="AV7" i="39" s="1"/>
  <c r="BN13" i="39" s="1"/>
  <c r="AK15" i="39"/>
  <c r="AV10" i="39" s="1"/>
  <c r="BN16" i="39" s="1"/>
  <c r="AL20" i="39"/>
  <c r="BD9" i="39"/>
  <c r="AL12" i="39"/>
  <c r="AL15" i="39"/>
  <c r="Y10" i="39"/>
  <c r="L8" i="39"/>
  <c r="AE8" i="39"/>
  <c r="AJ8" i="39" s="1"/>
  <c r="BG12" i="38"/>
  <c r="BI12" i="38"/>
  <c r="BK12" i="38"/>
  <c r="BG26" i="38"/>
  <c r="BI26" i="38"/>
  <c r="BK26" i="38"/>
  <c r="BN85" i="37"/>
  <c r="BN86" i="37"/>
  <c r="BN87" i="37"/>
  <c r="BN88" i="37"/>
  <c r="BN89" i="37"/>
  <c r="BN90" i="37"/>
  <c r="BN91" i="37"/>
  <c r="BN92" i="37"/>
  <c r="BN93" i="37"/>
  <c r="BN94" i="37"/>
  <c r="BN95" i="37"/>
  <c r="CX72" i="54" l="1"/>
  <c r="DA68" i="54"/>
  <c r="DB84" i="54" s="1"/>
  <c r="T44" i="54"/>
  <c r="T3" i="54" s="1"/>
  <c r="B17" i="56" s="1"/>
  <c r="B27" i="56"/>
  <c r="B25" i="56"/>
  <c r="B23" i="56"/>
  <c r="B21" i="56"/>
  <c r="B19" i="56"/>
  <c r="AI6" i="56" a="1"/>
  <c r="AN8" i="56"/>
  <c r="AP8" i="56" s="1"/>
  <c r="AQ8" i="56" s="1"/>
  <c r="AN10" i="56"/>
  <c r="AP10" i="56" s="1"/>
  <c r="AQ10" i="56" s="1"/>
  <c r="AN12" i="56"/>
  <c r="AP12" i="56" s="1"/>
  <c r="AQ12" i="56" s="1"/>
  <c r="AN14" i="56"/>
  <c r="AP14" i="56" s="1"/>
  <c r="AQ14" i="56" s="1"/>
  <c r="AN16" i="56"/>
  <c r="AP16" i="56" s="1"/>
  <c r="AQ16" i="56" s="1"/>
  <c r="AN6" i="56"/>
  <c r="AP6" i="56" s="1"/>
  <c r="BN29" i="56"/>
  <c r="BN31" i="56" s="1"/>
  <c r="BN33" i="56" s="1"/>
  <c r="BN37" i="56" s="1"/>
  <c r="BN35" i="56"/>
  <c r="AI434" i="53"/>
  <c r="AI436" i="53" s="1"/>
  <c r="AI438" i="53" s="1"/>
  <c r="AI440" i="53" s="1"/>
  <c r="AI442" i="53" s="1"/>
  <c r="AV442" i="53" s="1"/>
  <c r="BA360" i="53" s="1"/>
  <c r="BH352" i="53" s="1"/>
  <c r="Q339" i="53" s="1"/>
  <c r="AI470" i="53"/>
  <c r="AI472" i="53" s="1"/>
  <c r="AI474" i="53" s="1"/>
  <c r="AV474" i="53" s="1"/>
  <c r="BA362" i="53" s="1"/>
  <c r="AA353" i="53"/>
  <c r="AI416" i="53"/>
  <c r="AI418" i="53" s="1"/>
  <c r="AI420" i="53" s="1"/>
  <c r="AI422" i="53" s="1"/>
  <c r="AV422" i="53" s="1"/>
  <c r="BA356" i="53" s="1"/>
  <c r="Y352" i="53"/>
  <c r="AI394" i="53" s="1"/>
  <c r="Y339" i="53"/>
  <c r="H639" i="54"/>
  <c r="H641" i="54" s="1"/>
  <c r="H637" i="54"/>
  <c r="O471" i="54"/>
  <c r="R296" i="54"/>
  <c r="P302" i="54"/>
  <c r="P296" i="54"/>
  <c r="V296" i="54" s="1"/>
  <c r="P299" i="54"/>
  <c r="O356" i="54" s="1"/>
  <c r="L299" i="54"/>
  <c r="L97" i="53"/>
  <c r="L109" i="53" s="1"/>
  <c r="M239" i="53"/>
  <c r="M261" i="53"/>
  <c r="M265" i="53" s="1"/>
  <c r="BB29" i="53"/>
  <c r="BB31" i="53" s="1"/>
  <c r="BC31" i="53" s="1"/>
  <c r="L184" i="53"/>
  <c r="L192" i="53" s="1"/>
  <c r="L186" i="53"/>
  <c r="L194" i="53" s="1"/>
  <c r="L189" i="53"/>
  <c r="L197" i="53" s="1"/>
  <c r="L188" i="53"/>
  <c r="L196" i="53" s="1"/>
  <c r="L190" i="53"/>
  <c r="L198" i="53" s="1"/>
  <c r="AY14" i="50"/>
  <c r="BE14" i="50" s="1"/>
  <c r="BR14" i="50" s="1"/>
  <c r="AF14" i="50"/>
  <c r="AB14" i="50"/>
  <c r="AH16" i="50"/>
  <c r="AM16" i="50" s="1"/>
  <c r="AU16" i="50" s="1"/>
  <c r="AF16" i="50"/>
  <c r="AY16" i="50"/>
  <c r="BE16" i="50" s="1"/>
  <c r="AY18" i="50"/>
  <c r="BE18" i="50" s="1"/>
  <c r="AH18" i="50"/>
  <c r="AM18" i="50" s="1"/>
  <c r="AU18" i="50" s="1"/>
  <c r="AF18" i="50"/>
  <c r="BU14" i="50"/>
  <c r="BT14" i="50"/>
  <c r="CI14" i="50"/>
  <c r="BS14" i="50"/>
  <c r="CH14" i="50"/>
  <c r="BN14" i="50"/>
  <c r="CC14" i="50"/>
  <c r="CA14" i="50"/>
  <c r="BZ14" i="50"/>
  <c r="CD14" i="50"/>
  <c r="BY14" i="50"/>
  <c r="AO46" i="32"/>
  <c r="AO44" i="32"/>
  <c r="AO48" i="32"/>
  <c r="BD10" i="45"/>
  <c r="BJ8" i="45"/>
  <c r="BD8" i="45"/>
  <c r="BD9" i="45"/>
  <c r="BJ10" i="45"/>
  <c r="AJ13" i="45"/>
  <c r="AU8" i="45" s="1"/>
  <c r="BM14" i="45" s="1"/>
  <c r="AJ16" i="45"/>
  <c r="AU11" i="45" s="1"/>
  <c r="BM17" i="45" s="1"/>
  <c r="BM8" i="45"/>
  <c r="BM10" i="45"/>
  <c r="AJ18" i="45"/>
  <c r="AU13" i="45" s="1"/>
  <c r="BM19" i="45" s="1"/>
  <c r="AJ21" i="45"/>
  <c r="AU16" i="45" s="1"/>
  <c r="BM22" i="45" s="1"/>
  <c r="BN22" i="45"/>
  <c r="AW16" i="45"/>
  <c r="AV11" i="45"/>
  <c r="AV13" i="45"/>
  <c r="AV16" i="43"/>
  <c r="AW16" i="43" s="1"/>
  <c r="BD9" i="43"/>
  <c r="BD10" i="43"/>
  <c r="AV13" i="43"/>
  <c r="BM10" i="43"/>
  <c r="AJ18" i="43"/>
  <c r="AU13" i="43" s="1"/>
  <c r="BM19" i="43" s="1"/>
  <c r="AJ21" i="43"/>
  <c r="AU16" i="43" s="1"/>
  <c r="BM22" i="43" s="1"/>
  <c r="AJ16" i="39"/>
  <c r="AU11" i="39" s="1"/>
  <c r="BM17" i="39" s="1"/>
  <c r="BM8" i="39"/>
  <c r="AJ13" i="39"/>
  <c r="AU8" i="39" s="1"/>
  <c r="BM14" i="39" s="1"/>
  <c r="BD8" i="39"/>
  <c r="BJ8" i="39"/>
  <c r="BD10" i="39"/>
  <c r="BR85" i="37"/>
  <c r="BR86" i="37"/>
  <c r="BR87" i="37"/>
  <c r="BR88" i="37"/>
  <c r="BR89" i="37"/>
  <c r="BR90" i="37"/>
  <c r="BR91" i="37"/>
  <c r="BR92" i="37"/>
  <c r="BR93" i="37"/>
  <c r="BR94" i="37"/>
  <c r="BR95" i="37"/>
  <c r="BP85" i="37"/>
  <c r="BP86" i="37"/>
  <c r="BP87" i="37"/>
  <c r="BP88" i="37"/>
  <c r="BP89" i="37"/>
  <c r="BP90" i="37"/>
  <c r="BP91" i="37"/>
  <c r="BP92" i="37"/>
  <c r="BP93" i="37"/>
  <c r="BP94" i="37"/>
  <c r="BP95" i="37"/>
  <c r="F6" i="37" a="1"/>
  <c r="CZ72" i="54" l="1"/>
  <c r="DC68" i="54"/>
  <c r="DD84" i="54" s="1"/>
  <c r="F17" i="56" a="1"/>
  <c r="AS6" i="56" a="1"/>
  <c r="AQ6" i="56"/>
  <c r="BM9" i="56"/>
  <c r="BN39" i="56"/>
  <c r="BN41" i="56" s="1"/>
  <c r="BN43" i="56" s="1"/>
  <c r="BN9" i="56"/>
  <c r="BN45" i="56"/>
  <c r="AI396" i="53"/>
  <c r="AI398" i="53" s="1"/>
  <c r="AI400" i="53" s="1"/>
  <c r="AI402" i="53" s="1"/>
  <c r="AV402" i="53" s="1"/>
  <c r="BA354" i="53" s="1"/>
  <c r="BH350" i="53" s="1"/>
  <c r="Q337" i="53" s="1"/>
  <c r="AA339" i="53"/>
  <c r="AI374" i="53"/>
  <c r="AI376" i="53" s="1"/>
  <c r="AI378" i="53" s="1"/>
  <c r="AI380" i="53" s="1"/>
  <c r="AA352" i="53"/>
  <c r="AI382" i="53"/>
  <c r="AV382" i="53" s="1"/>
  <c r="BA350" i="53" s="1"/>
  <c r="M320" i="54"/>
  <c r="L302" i="54"/>
  <c r="M322" i="54"/>
  <c r="M324" i="54" s="1"/>
  <c r="M326" i="54" s="1"/>
  <c r="M328" i="54" s="1"/>
  <c r="M330" i="54" s="1"/>
  <c r="CB14" i="50"/>
  <c r="CJ14" i="50"/>
  <c r="BK14" i="50"/>
  <c r="CK14" i="50"/>
  <c r="BV14" i="50"/>
  <c r="BO14" i="50"/>
  <c r="CL14" i="50"/>
  <c r="CE14" i="50"/>
  <c r="BW14" i="50"/>
  <c r="BG14" i="50"/>
  <c r="CM14" i="50"/>
  <c r="CF14" i="50"/>
  <c r="BP14" i="50"/>
  <c r="BQ14" i="50"/>
  <c r="CG14" i="50"/>
  <c r="BX14" i="50"/>
  <c r="CL18" i="50"/>
  <c r="BG18" i="50"/>
  <c r="CJ18" i="50"/>
  <c r="CH18" i="50"/>
  <c r="CF18" i="50"/>
  <c r="CB18" i="50"/>
  <c r="BN18" i="50"/>
  <c r="BZ18" i="50"/>
  <c r="BX18" i="50"/>
  <c r="BK18" i="50"/>
  <c r="BV18" i="50"/>
  <c r="BP18" i="50"/>
  <c r="BT18" i="50"/>
  <c r="BR18" i="50"/>
  <c r="CD18" i="50"/>
  <c r="BV16" i="50"/>
  <c r="BT16" i="50"/>
  <c r="BR16" i="50"/>
  <c r="BP16" i="50"/>
  <c r="BK16" i="50"/>
  <c r="CF16" i="50"/>
  <c r="CL16" i="50"/>
  <c r="BG16" i="50"/>
  <c r="CH16" i="50"/>
  <c r="CD16" i="50"/>
  <c r="CB16" i="50"/>
  <c r="CJ16" i="50"/>
  <c r="BZ16" i="50"/>
  <c r="BX16" i="50"/>
  <c r="BN16" i="50"/>
  <c r="C7" i="49"/>
  <c r="BN19" i="45"/>
  <c r="AW13" i="45"/>
  <c r="BP22" i="45"/>
  <c r="AW11" i="45"/>
  <c r="BP17" i="45" s="1"/>
  <c r="BN17" i="45"/>
  <c r="BN22" i="43"/>
  <c r="AV11" i="43"/>
  <c r="BN17" i="43" s="1"/>
  <c r="BP22" i="43"/>
  <c r="AW13" i="43"/>
  <c r="BN19" i="43"/>
  <c r="H66" i="37"/>
  <c r="I66" i="37"/>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Y66" i="37"/>
  <c r="BB66" i="37"/>
  <c r="BC66" i="37"/>
  <c r="BD66" i="37"/>
  <c r="BE66" i="37"/>
  <c r="BJ66" i="37"/>
  <c r="H68" i="37"/>
  <c r="I68" i="37"/>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Y68" i="37"/>
  <c r="BB68" i="37"/>
  <c r="BC68" i="37"/>
  <c r="BD68" i="37"/>
  <c r="BE68" i="37"/>
  <c r="BJ68" i="37"/>
  <c r="C38" i="37"/>
  <c r="BF19" i="37"/>
  <c r="BF66" i="37" s="1"/>
  <c r="H39" i="37"/>
  <c r="H71" i="37" s="1"/>
  <c r="I39" i="37"/>
  <c r="I71" i="37" s="1"/>
  <c r="J39" i="37"/>
  <c r="J71" i="37" s="1"/>
  <c r="K39" i="37"/>
  <c r="K71" i="37" s="1"/>
  <c r="L39" i="37"/>
  <c r="L71" i="37" s="1"/>
  <c r="M39" i="37"/>
  <c r="M71" i="37" s="1"/>
  <c r="N39" i="37"/>
  <c r="N71" i="37" s="1"/>
  <c r="O39" i="37"/>
  <c r="O71" i="37" s="1"/>
  <c r="P39" i="37"/>
  <c r="P71" i="37" s="1"/>
  <c r="Q39" i="37"/>
  <c r="Q71" i="37" s="1"/>
  <c r="R39" i="37"/>
  <c r="R71" i="37" s="1"/>
  <c r="S39" i="37"/>
  <c r="S71" i="37" s="1"/>
  <c r="T39" i="37"/>
  <c r="T71" i="37" s="1"/>
  <c r="U39" i="37"/>
  <c r="U71" i="37" s="1"/>
  <c r="V39" i="37"/>
  <c r="V71" i="37" s="1"/>
  <c r="W39" i="37"/>
  <c r="W71" i="37" s="1"/>
  <c r="X39" i="37"/>
  <c r="X71" i="37" s="1"/>
  <c r="Y39" i="37"/>
  <c r="Y71" i="37" s="1"/>
  <c r="Z39" i="37"/>
  <c r="Z71" i="37" s="1"/>
  <c r="AA39" i="37"/>
  <c r="AA71" i="37" s="1"/>
  <c r="AB39" i="37"/>
  <c r="AB71" i="37" s="1"/>
  <c r="AC39" i="37"/>
  <c r="AC71" i="37" s="1"/>
  <c r="AD39" i="37"/>
  <c r="AD71" i="37" s="1"/>
  <c r="AE39" i="37"/>
  <c r="AE71" i="37" s="1"/>
  <c r="AF39" i="37"/>
  <c r="AF71" i="37" s="1"/>
  <c r="AG39" i="37"/>
  <c r="AG71" i="37" s="1"/>
  <c r="AH39" i="37"/>
  <c r="AH71" i="37" s="1"/>
  <c r="AI39" i="37"/>
  <c r="AI71" i="37" s="1"/>
  <c r="AJ39" i="37"/>
  <c r="AJ71" i="37" s="1"/>
  <c r="AK39" i="37"/>
  <c r="AK71" i="37" s="1"/>
  <c r="AL39" i="37"/>
  <c r="AL71" i="37" s="1"/>
  <c r="AM39" i="37"/>
  <c r="AM71" i="37" s="1"/>
  <c r="AN39" i="37"/>
  <c r="AN71" i="37" s="1"/>
  <c r="AO39" i="37"/>
  <c r="AO71" i="37" s="1"/>
  <c r="AP39" i="37"/>
  <c r="AP71" i="37" s="1"/>
  <c r="AQ39" i="37"/>
  <c r="AQ71" i="37" s="1"/>
  <c r="AR39" i="37"/>
  <c r="AR71" i="37" s="1"/>
  <c r="AS39" i="37"/>
  <c r="AS71" i="37" s="1"/>
  <c r="AT39" i="37"/>
  <c r="AT71" i="37" s="1"/>
  <c r="AU39" i="37"/>
  <c r="AU71" i="37" s="1"/>
  <c r="AV39" i="37"/>
  <c r="AV71" i="37" s="1"/>
  <c r="AW39" i="37"/>
  <c r="AW71" i="37" s="1"/>
  <c r="AY39" i="37"/>
  <c r="AY71" i="37" s="1"/>
  <c r="AZ39" i="37"/>
  <c r="AZ71" i="37" s="1"/>
  <c r="BB39" i="37"/>
  <c r="BB71" i="37" s="1"/>
  <c r="BC39" i="37"/>
  <c r="BC71" i="37" s="1"/>
  <c r="BD39" i="37"/>
  <c r="BD71" i="37" s="1"/>
  <c r="BE39" i="37"/>
  <c r="BE71" i="37" s="1"/>
  <c r="BF39" i="37"/>
  <c r="BF71" i="37" s="1"/>
  <c r="BG39" i="37"/>
  <c r="BG71" i="37" s="1"/>
  <c r="BI39" i="37"/>
  <c r="BI71" i="37" s="1"/>
  <c r="BJ39" i="37"/>
  <c r="BJ71" i="37" s="1"/>
  <c r="BL39" i="37"/>
  <c r="BL71" i="37" s="1"/>
  <c r="BI19" i="37"/>
  <c r="BI66" i="37" s="1"/>
  <c r="BG19" i="37"/>
  <c r="BG66" i="37" s="1"/>
  <c r="BL19" i="37"/>
  <c r="BL66" i="37" s="1"/>
  <c r="AW19" i="37"/>
  <c r="AW66" i="37" s="1"/>
  <c r="AZ19" i="37"/>
  <c r="AZ66" i="37" s="1"/>
  <c r="C18" i="37"/>
  <c r="Z1" i="29"/>
  <c r="AA5" i="29" s="1"/>
  <c r="C4" i="37" s="1"/>
  <c r="C2" i="37"/>
  <c r="BR42" i="37"/>
  <c r="BR22" i="37"/>
  <c r="AA13" i="35"/>
  <c r="AX13" i="35"/>
  <c r="AX14" i="35"/>
  <c r="AV13" i="35"/>
  <c r="AV14" i="35"/>
  <c r="AA14" i="35"/>
  <c r="Y13" i="35"/>
  <c r="Y14" i="35"/>
  <c r="AX11" i="35"/>
  <c r="AV8" i="35"/>
  <c r="AV10" i="35"/>
  <c r="AV11" i="35"/>
  <c r="AV12" i="35"/>
  <c r="AX8" i="35"/>
  <c r="AX10" i="35"/>
  <c r="Y8" i="35"/>
  <c r="AA8" i="35"/>
  <c r="Y10" i="35"/>
  <c r="Y11" i="35"/>
  <c r="Y12" i="35"/>
  <c r="AA11" i="35"/>
  <c r="Z12" i="35"/>
  <c r="AA10" i="35"/>
  <c r="AW12" i="35"/>
  <c r="B17" i="35"/>
  <c r="B16" i="35"/>
  <c r="B15" i="35"/>
  <c r="B14" i="35"/>
  <c r="V6" i="35"/>
  <c r="V5" i="35"/>
  <c r="I16" i="4"/>
  <c r="F16" i="4"/>
  <c r="AA3" i="26"/>
  <c r="U3" i="26"/>
  <c r="O3" i="26"/>
  <c r="I3" i="26"/>
  <c r="Q6" i="35"/>
  <c r="R6" i="35"/>
  <c r="S6" i="35"/>
  <c r="Q7" i="35"/>
  <c r="R7" i="35"/>
  <c r="S7" i="35"/>
  <c r="R5" i="35"/>
  <c r="S5" i="35"/>
  <c r="Q5" i="35"/>
  <c r="E6" i="35"/>
  <c r="F6" i="35"/>
  <c r="G6" i="35"/>
  <c r="E7" i="35"/>
  <c r="F7" i="35"/>
  <c r="G7" i="35"/>
  <c r="F5" i="35"/>
  <c r="G5" i="35"/>
  <c r="E5" i="35"/>
  <c r="M47" i="33"/>
  <c r="DB72" i="54" l="1"/>
  <c r="DE68" i="54"/>
  <c r="DF84" i="54" s="1"/>
  <c r="AV121" i="54"/>
  <c r="J116" i="54"/>
  <c r="F95" i="54"/>
  <c r="M336" i="54"/>
  <c r="M398" i="54"/>
  <c r="M451" i="54" s="1"/>
  <c r="M349" i="54"/>
  <c r="M351" i="54" s="1"/>
  <c r="M342" i="54"/>
  <c r="C9" i="49"/>
  <c r="B9" i="49"/>
  <c r="B1" i="44"/>
  <c r="G1" i="29"/>
  <c r="AW14" i="45"/>
  <c r="BP19" i="45"/>
  <c r="BP20" i="45" s="1"/>
  <c r="AW11" i="43"/>
  <c r="BP17" i="43" s="1"/>
  <c r="BG14" i="42"/>
  <c r="BI16" i="42"/>
  <c r="BG18" i="42"/>
  <c r="BI13" i="42"/>
  <c r="BG16" i="42"/>
  <c r="BG15" i="42"/>
  <c r="BP19" i="43"/>
  <c r="BI15" i="42"/>
  <c r="W5" i="29"/>
  <c r="C5" i="37" s="1"/>
  <c r="DD72" i="54" l="1"/>
  <c r="DG68" i="54"/>
  <c r="DH84" i="54" s="1"/>
  <c r="M512" i="54"/>
  <c r="M464" i="54"/>
  <c r="M466" i="54" s="1"/>
  <c r="M457" i="54"/>
  <c r="M411" i="54"/>
  <c r="M404" i="54"/>
  <c r="H81" i="54" s="1"/>
  <c r="P344" i="54"/>
  <c r="P346" i="54" s="1"/>
  <c r="P353" i="54" s="1"/>
  <c r="O355" i="54" s="1"/>
  <c r="M344" i="54"/>
  <c r="M346" i="54" s="1"/>
  <c r="M353" i="54" s="1"/>
  <c r="M7" i="32"/>
  <c r="M7" i="49"/>
  <c r="C8" i="49"/>
  <c r="B8" i="49"/>
  <c r="AW14" i="43"/>
  <c r="BP20" i="43"/>
  <c r="BG17" i="42"/>
  <c r="BG13" i="42"/>
  <c r="BI18" i="42"/>
  <c r="H18" i="16"/>
  <c r="H19" i="16"/>
  <c r="H20" i="16"/>
  <c r="H21" i="16"/>
  <c r="H22" i="16"/>
  <c r="H23" i="16"/>
  <c r="X6" i="27"/>
  <c r="E8" i="27"/>
  <c r="AQ7" i="27" s="1"/>
  <c r="F8" i="27"/>
  <c r="AR7" i="27" s="1"/>
  <c r="G8" i="27"/>
  <c r="AS7" i="27" s="1"/>
  <c r="E7" i="27"/>
  <c r="AQ6" i="27" s="1"/>
  <c r="F7" i="27"/>
  <c r="AR6" i="27" s="1"/>
  <c r="G7" i="27"/>
  <c r="F6" i="27"/>
  <c r="AR5" i="27" s="1"/>
  <c r="G6" i="27"/>
  <c r="V6" i="27" s="1"/>
  <c r="E6" i="27"/>
  <c r="AQ5" i="27" s="1"/>
  <c r="C3" i="26"/>
  <c r="K43" i="12"/>
  <c r="K42" i="12"/>
  <c r="J34" i="12"/>
  <c r="J32" i="12"/>
  <c r="J33" i="12" s="1"/>
  <c r="J18" i="12"/>
  <c r="U13" i="4"/>
  <c r="E32" i="1"/>
  <c r="D29" i="1"/>
  <c r="N18" i="12"/>
  <c r="N14" i="12"/>
  <c r="N12" i="12"/>
  <c r="F9" i="10"/>
  <c r="W7" i="32" l="1"/>
  <c r="V15" i="32" s="1"/>
  <c r="D3" i="46"/>
  <c r="DF72" i="54"/>
  <c r="DI68" i="54"/>
  <c r="DJ84" i="54" s="1"/>
  <c r="F79" i="54"/>
  <c r="K355" i="54"/>
  <c r="J432" i="54"/>
  <c r="J434" i="54" s="1"/>
  <c r="J436" i="54" s="1"/>
  <c r="J438" i="54" s="1"/>
  <c r="J440" i="54" s="1"/>
  <c r="J442" i="54" s="1"/>
  <c r="J444" i="54" s="1"/>
  <c r="J446" i="54" s="1"/>
  <c r="Q432" i="54"/>
  <c r="Q434" i="54" s="1"/>
  <c r="Q436" i="54" s="1"/>
  <c r="Q438" i="54" s="1"/>
  <c r="Q440" i="54" s="1"/>
  <c r="Q442" i="54" s="1"/>
  <c r="Q444" i="54" s="1"/>
  <c r="Q446" i="54" s="1"/>
  <c r="Q448" i="54" s="1"/>
  <c r="S116" i="54" s="1"/>
  <c r="M525" i="54"/>
  <c r="M527" i="54" s="1"/>
  <c r="M518" i="54"/>
  <c r="M413" i="54"/>
  <c r="AW115" i="54"/>
  <c r="AW145" i="54" s="1"/>
  <c r="W7" i="49"/>
  <c r="V15" i="49" s="1"/>
  <c r="B7" i="49"/>
  <c r="AS6" i="27"/>
  <c r="BF5" i="27" s="1"/>
  <c r="AU7" i="27"/>
  <c r="AH9" i="27"/>
  <c r="AX4" i="27" s="1"/>
  <c r="BP10" i="27" s="1"/>
  <c r="AI9" i="27"/>
  <c r="AS5" i="27"/>
  <c r="AH17" i="27"/>
  <c r="AX12" i="27" s="1"/>
  <c r="BP18" i="27" s="1"/>
  <c r="AI17" i="27"/>
  <c r="V7" i="27"/>
  <c r="AB5" i="27"/>
  <c r="AG5" i="27" s="1"/>
  <c r="BO5" i="27" s="1"/>
  <c r="AB7" i="27"/>
  <c r="AG7" i="27" s="1"/>
  <c r="BO7" i="27" s="1"/>
  <c r="AI12" i="27"/>
  <c r="AH12" i="27"/>
  <c r="AX7" i="27" s="1"/>
  <c r="BP13" i="27" s="1"/>
  <c r="I7" i="27"/>
  <c r="I9" i="27"/>
  <c r="I5" i="27"/>
  <c r="V5" i="27"/>
  <c r="K18" i="16"/>
  <c r="K19" i="16"/>
  <c r="N35" i="16"/>
  <c r="N33" i="16"/>
  <c r="N30" i="16"/>
  <c r="N29" i="16"/>
  <c r="N25" i="16"/>
  <c r="N24" i="16"/>
  <c r="O24" i="16"/>
  <c r="O25" i="16"/>
  <c r="O26" i="16"/>
  <c r="O27" i="16"/>
  <c r="O28" i="16"/>
  <c r="O29" i="16"/>
  <c r="O30" i="16"/>
  <c r="O31" i="16"/>
  <c r="O32" i="16"/>
  <c r="O33" i="16"/>
  <c r="O34" i="16"/>
  <c r="O35" i="16"/>
  <c r="O36" i="16"/>
  <c r="O37" i="16"/>
  <c r="O38" i="16"/>
  <c r="O39" i="16"/>
  <c r="N26" i="16"/>
  <c r="N27" i="16"/>
  <c r="N28" i="16"/>
  <c r="N31" i="16"/>
  <c r="N32" i="16"/>
  <c r="N34" i="16"/>
  <c r="N36" i="16"/>
  <c r="N37" i="16"/>
  <c r="N38" i="16"/>
  <c r="N39" i="16"/>
  <c r="E22" i="16"/>
  <c r="D22" i="16"/>
  <c r="E16" i="16"/>
  <c r="D16" i="16"/>
  <c r="J18" i="16"/>
  <c r="B19" i="16"/>
  <c r="J19" i="16"/>
  <c r="N12" i="2"/>
  <c r="E18" i="15"/>
  <c r="E17" i="15"/>
  <c r="E16" i="15"/>
  <c r="DH72" i="54" l="1"/>
  <c r="DK68" i="54"/>
  <c r="DL84" i="54" s="1"/>
  <c r="L95" i="54"/>
  <c r="Q451" i="54"/>
  <c r="J448" i="54"/>
  <c r="R116" i="54" s="1"/>
  <c r="AU115" i="54"/>
  <c r="AU145" i="54" s="1"/>
  <c r="X17" i="49"/>
  <c r="AA25" i="49"/>
  <c r="AB25" i="49"/>
  <c r="W17" i="49"/>
  <c r="Z21" i="49"/>
  <c r="BL5" i="27"/>
  <c r="BL7" i="27"/>
  <c r="BF6" i="27"/>
  <c r="BF7" i="27"/>
  <c r="AG13" i="27"/>
  <c r="AW8" i="27" s="1"/>
  <c r="BO14" i="27" s="1"/>
  <c r="AG10" i="27"/>
  <c r="AW5" i="27" s="1"/>
  <c r="BO11" i="27" s="1"/>
  <c r="AG15" i="27"/>
  <c r="AW10" i="27" s="1"/>
  <c r="BO16" i="27" s="1"/>
  <c r="AG18" i="27"/>
  <c r="AW13" i="27" s="1"/>
  <c r="BO19" i="27" s="1"/>
  <c r="E19" i="16"/>
  <c r="D19" i="16"/>
  <c r="O16" i="16"/>
  <c r="N16" i="16"/>
  <c r="O22" i="16"/>
  <c r="N22" i="16"/>
  <c r="H4" i="11"/>
  <c r="I5" i="11"/>
  <c r="H5" i="11"/>
  <c r="F6" i="11"/>
  <c r="I6" i="11"/>
  <c r="I13" i="11"/>
  <c r="I15" i="11"/>
  <c r="I16" i="11"/>
  <c r="F4" i="11"/>
  <c r="I4" i="11"/>
  <c r="N15" i="2"/>
  <c r="A9" i="10"/>
  <c r="J60" i="12" a="1"/>
  <c r="B7" i="20"/>
  <c r="B8" i="20" s="1"/>
  <c r="H15" i="1"/>
  <c r="H13" i="1"/>
  <c r="F17" i="1"/>
  <c r="F16" i="1"/>
  <c r="H17" i="1"/>
  <c r="H16" i="1"/>
  <c r="J19" i="2"/>
  <c r="H6" i="1"/>
  <c r="F6" i="1"/>
  <c r="F15" i="1"/>
  <c r="F13" i="1"/>
  <c r="F5" i="1"/>
  <c r="F4" i="1"/>
  <c r="F35" i="15"/>
  <c r="B23" i="16" s="1"/>
  <c r="DX36" i="15"/>
  <c r="EE16" i="15"/>
  <c r="G4" i="1" l="1"/>
  <c r="G10" i="2"/>
  <c r="G5" i="1"/>
  <c r="J11" i="2"/>
  <c r="DJ72" i="54"/>
  <c r="DM68" i="54"/>
  <c r="DN84" i="54" s="1"/>
  <c r="K95" i="54"/>
  <c r="J451" i="54"/>
  <c r="Q464" i="54"/>
  <c r="Q466" i="54" s="1"/>
  <c r="Q457" i="54"/>
  <c r="Q459" i="54" s="1"/>
  <c r="Q461" i="54" s="1"/>
  <c r="AH21" i="49"/>
  <c r="AI25" i="49"/>
  <c r="AJ25" i="49"/>
  <c r="BL18" i="42"/>
  <c r="E23" i="16"/>
  <c r="O23" i="16" s="1"/>
  <c r="D23" i="16"/>
  <c r="O19" i="16"/>
  <c r="N19" i="16"/>
  <c r="N23" i="16"/>
  <c r="J20" i="2"/>
  <c r="I9" i="20"/>
  <c r="DX34" i="15"/>
  <c r="DX24" i="15"/>
  <c r="J24" i="12"/>
  <c r="B6" i="15"/>
  <c r="B4" i="15"/>
  <c r="G23" i="15"/>
  <c r="G25" i="15"/>
  <c r="I25" i="15"/>
  <c r="I23" i="15"/>
  <c r="G35" i="15"/>
  <c r="F32" i="15"/>
  <c r="B20" i="16" s="1"/>
  <c r="E33" i="15"/>
  <c r="E32" i="15"/>
  <c r="BH10" i="15"/>
  <c r="E31" i="15"/>
  <c r="G31" i="15" s="1"/>
  <c r="E30" i="15"/>
  <c r="E29" i="15"/>
  <c r="E15" i="15"/>
  <c r="E14" i="15"/>
  <c r="E13" i="15"/>
  <c r="E12" i="15"/>
  <c r="E11" i="15"/>
  <c r="E10" i="15"/>
  <c r="H16" i="10" a="1"/>
  <c r="G21" i="14"/>
  <c r="G20" i="14"/>
  <c r="G11" i="14"/>
  <c r="G10" i="14"/>
  <c r="H48" i="14"/>
  <c r="H44" i="14"/>
  <c r="J38" i="14"/>
  <c r="J37" i="14"/>
  <c r="J35" i="14"/>
  <c r="J36" i="14" s="1"/>
  <c r="J33" i="14"/>
  <c r="J32" i="14"/>
  <c r="J68" i="14" s="1"/>
  <c r="J31" i="14"/>
  <c r="J30" i="14"/>
  <c r="J29" i="14"/>
  <c r="J28" i="14"/>
  <c r="J27" i="14"/>
  <c r="J26" i="14"/>
  <c r="J22" i="14"/>
  <c r="J21" i="14"/>
  <c r="J20" i="14"/>
  <c r="J19" i="14"/>
  <c r="J18" i="14"/>
  <c r="J15" i="14"/>
  <c r="J14" i="14"/>
  <c r="J13" i="14"/>
  <c r="J16" i="14" s="1"/>
  <c r="J17" i="14" s="1"/>
  <c r="J12" i="14"/>
  <c r="J11" i="14"/>
  <c r="J10" i="14"/>
  <c r="J52" i="14"/>
  <c r="J74" i="14" a="1"/>
  <c r="J71" i="14" a="1"/>
  <c r="J61" i="14" a="1"/>
  <c r="N67" i="14"/>
  <c r="G22" i="14"/>
  <c r="G19" i="14"/>
  <c r="J55" i="14"/>
  <c r="N66" i="2"/>
  <c r="N72" i="12"/>
  <c r="N64" i="12"/>
  <c r="K44" i="12"/>
  <c r="D31" i="11"/>
  <c r="K46" i="2"/>
  <c r="D32" i="1"/>
  <c r="J25" i="14"/>
  <c r="N51" i="14"/>
  <c r="J86" i="14"/>
  <c r="J48" i="14"/>
  <c r="J23" i="14"/>
  <c r="J41" i="14"/>
  <c r="J63" i="14"/>
  <c r="J64" i="14"/>
  <c r="J65" i="14"/>
  <c r="J77" i="14" s="1" a="1"/>
  <c r="J34" i="14"/>
  <c r="K47" i="14"/>
  <c r="K46" i="14"/>
  <c r="J57" i="14"/>
  <c r="J44" i="14"/>
  <c r="J49" i="14"/>
  <c r="C13" i="10"/>
  <c r="N24" i="12" s="1"/>
  <c r="J36" i="2"/>
  <c r="I14" i="4"/>
  <c r="I13" i="4"/>
  <c r="I12" i="4"/>
  <c r="I11" i="4"/>
  <c r="I9" i="4"/>
  <c r="I8" i="4"/>
  <c r="I7" i="4"/>
  <c r="I6" i="4"/>
  <c r="F13" i="4"/>
  <c r="F12" i="4"/>
  <c r="F11" i="4"/>
  <c r="F14" i="4"/>
  <c r="F9" i="4"/>
  <c r="F8" i="4"/>
  <c r="F7" i="4"/>
  <c r="F6" i="4"/>
  <c r="J20" i="12"/>
  <c r="J23" i="12"/>
  <c r="G23" i="12" s="1"/>
  <c r="H16" i="11" s="1"/>
  <c r="G20" i="11"/>
  <c r="J22" i="12"/>
  <c r="J19" i="12"/>
  <c r="I19" i="12" s="1" a="1"/>
  <c r="J15" i="12"/>
  <c r="J12" i="12"/>
  <c r="J10" i="12"/>
  <c r="J11" i="12"/>
  <c r="N21" i="12"/>
  <c r="N20" i="12"/>
  <c r="N19" i="12"/>
  <c r="N17" i="12"/>
  <c r="N16" i="12"/>
  <c r="N15" i="12"/>
  <c r="N13" i="12"/>
  <c r="N11" i="12"/>
  <c r="N10" i="12"/>
  <c r="N9" i="12"/>
  <c r="F43" i="8"/>
  <c r="F41" i="8"/>
  <c r="F39" i="8"/>
  <c r="F18" i="8"/>
  <c r="F16" i="8"/>
  <c r="F14" i="8"/>
  <c r="J23" i="2"/>
  <c r="G23" i="2" s="1"/>
  <c r="G16" i="1" s="1"/>
  <c r="N21" i="2"/>
  <c r="N20" i="2"/>
  <c r="N19" i="2"/>
  <c r="N18" i="2"/>
  <c r="N17" i="2"/>
  <c r="N16" i="2"/>
  <c r="N14" i="2"/>
  <c r="N13" i="2"/>
  <c r="N11" i="2"/>
  <c r="N10" i="2"/>
  <c r="N9" i="2"/>
  <c r="G19" i="2"/>
  <c r="G6" i="1" s="1"/>
  <c r="J35" i="2"/>
  <c r="G21" i="1" s="1"/>
  <c r="J26" i="2"/>
  <c r="J22" i="2"/>
  <c r="J62" i="2" a="1"/>
  <c r="G11" i="2" l="1"/>
  <c r="J16" i="2"/>
  <c r="J17" i="2" s="1"/>
  <c r="J51" i="2"/>
  <c r="D6" i="54" s="1"/>
  <c r="E6" i="54" s="1"/>
  <c r="M483" i="54" s="1"/>
  <c r="J16" i="12"/>
  <c r="J29" i="2"/>
  <c r="I19" i="2" a="1"/>
  <c r="DL72" i="54"/>
  <c r="DO68" i="54"/>
  <c r="DP84" i="54" s="1"/>
  <c r="J52" i="2"/>
  <c r="M361" i="54"/>
  <c r="Q468" i="54"/>
  <c r="O470" i="54" s="1"/>
  <c r="L79" i="54" s="1"/>
  <c r="J464" i="54"/>
  <c r="J466" i="54" s="1"/>
  <c r="J468" i="54" s="1"/>
  <c r="J457" i="54"/>
  <c r="M459" i="54" s="1"/>
  <c r="M461" i="54" s="1"/>
  <c r="M468" i="54" s="1"/>
  <c r="L470" i="54" s="1"/>
  <c r="K79" i="54" s="1"/>
  <c r="G22" i="2"/>
  <c r="G15" i="1" s="1"/>
  <c r="J69" i="12"/>
  <c r="J56" i="14"/>
  <c r="J58" i="14" s="1"/>
  <c r="J59" i="14" s="1"/>
  <c r="BK14" i="42"/>
  <c r="J29" i="12"/>
  <c r="J30" i="12"/>
  <c r="J25" i="12"/>
  <c r="J28" i="12"/>
  <c r="J53" i="12" s="1"/>
  <c r="J26" i="12"/>
  <c r="G19" i="12"/>
  <c r="H6" i="11" s="1"/>
  <c r="J32" i="2"/>
  <c r="J30" i="2"/>
  <c r="J31" i="2"/>
  <c r="J28" i="2"/>
  <c r="J27" i="2"/>
  <c r="I19" i="14" a="1"/>
  <c r="N32" i="14" s="1"/>
  <c r="M35" i="14" s="1"/>
  <c r="G3" i="15"/>
  <c r="F37" i="1" a="1"/>
  <c r="F41" i="1" a="1"/>
  <c r="F38" i="1" a="1"/>
  <c r="F42" i="1" a="1"/>
  <c r="F39" i="1" a="1"/>
  <c r="F43" i="1" a="1"/>
  <c r="F40" i="1" a="1"/>
  <c r="I20" i="2"/>
  <c r="J71" i="2"/>
  <c r="D37" i="1" a="1"/>
  <c r="D38" i="1" a="1"/>
  <c r="D39" i="1" a="1"/>
  <c r="D40" i="1" a="1"/>
  <c r="D41" i="1" a="1"/>
  <c r="D42" i="1" a="1"/>
  <c r="D43" i="1" a="1"/>
  <c r="F36" i="11" a="1"/>
  <c r="F37" i="11" a="1"/>
  <c r="F38" i="11" a="1"/>
  <c r="F39" i="11" a="1"/>
  <c r="F40" i="11" a="1"/>
  <c r="F41" i="11" a="1"/>
  <c r="F42" i="11" a="1"/>
  <c r="F43" i="11" a="1"/>
  <c r="D36" i="11" a="1"/>
  <c r="D37" i="11" a="1"/>
  <c r="D38" i="11" a="1"/>
  <c r="D39" i="11" a="1"/>
  <c r="D40" i="11" a="1"/>
  <c r="D41" i="11" a="1"/>
  <c r="D42" i="11" a="1"/>
  <c r="D43" i="11" a="1"/>
  <c r="J49" i="12"/>
  <c r="G22" i="12"/>
  <c r="H15" i="11" s="1"/>
  <c r="J13" i="12"/>
  <c r="J14" i="12"/>
  <c r="E9" i="11" s="1"/>
  <c r="J21" i="12"/>
  <c r="E14" i="11" s="1"/>
  <c r="E20" i="16"/>
  <c r="D20" i="16"/>
  <c r="J72" i="12"/>
  <c r="J24" i="2"/>
  <c r="G20" i="2"/>
  <c r="G13" i="1" s="1"/>
  <c r="D30" i="1"/>
  <c r="DY26" i="15"/>
  <c r="DX32" i="15" s="1"/>
  <c r="EI16" i="15"/>
  <c r="EK16" i="15" s="1"/>
  <c r="EI17" i="15"/>
  <c r="EK17" i="15" s="1"/>
  <c r="DZ26" i="15"/>
  <c r="EE18" i="15" s="1"/>
  <c r="F3" i="15"/>
  <c r="G20" i="12"/>
  <c r="H13" i="11" s="1"/>
  <c r="G10" i="12"/>
  <c r="G32" i="15"/>
  <c r="J74" i="2"/>
  <c r="J21" i="2"/>
  <c r="E14" i="1" s="1"/>
  <c r="G1" i="11"/>
  <c r="N43" i="12"/>
  <c r="F23" i="8"/>
  <c r="N24" i="2"/>
  <c r="G11" i="12"/>
  <c r="E6" i="41" l="1"/>
  <c r="R91" i="57"/>
  <c r="J50" i="12"/>
  <c r="J66" i="12" s="1"/>
  <c r="H44" i="12" s="1"/>
  <c r="DN72" i="54"/>
  <c r="DQ68" i="54"/>
  <c r="DR84" i="54" s="1"/>
  <c r="L489" i="54"/>
  <c r="J491" i="54" s="1"/>
  <c r="N489" i="54"/>
  <c r="Q491" i="54" s="1"/>
  <c r="M38" i="14"/>
  <c r="M39" i="14"/>
  <c r="M41" i="14"/>
  <c r="M36" i="14"/>
  <c r="M40" i="14"/>
  <c r="M34" i="14"/>
  <c r="M37" i="14"/>
  <c r="J17" i="12"/>
  <c r="J50" i="2"/>
  <c r="F11" i="41"/>
  <c r="F13" i="41" s="1"/>
  <c r="F15" i="41"/>
  <c r="F17" i="41" s="1"/>
  <c r="F19" i="41" s="1"/>
  <c r="J42" i="2"/>
  <c r="C27" i="1" s="1"/>
  <c r="G5" i="15" s="1"/>
  <c r="D5" i="54" s="1"/>
  <c r="M359" i="54" s="1"/>
  <c r="L375" i="54" s="1"/>
  <c r="J47" i="2"/>
  <c r="C31" i="1" s="1"/>
  <c r="L15" i="15" s="1"/>
  <c r="F15" i="15" s="1"/>
  <c r="E9" i="1"/>
  <c r="G9" i="1" s="1"/>
  <c r="E8" i="11"/>
  <c r="J55" i="12"/>
  <c r="J37" i="12" s="1"/>
  <c r="J38" i="12"/>
  <c r="J57" i="12" s="1"/>
  <c r="J39" i="12" s="1"/>
  <c r="J36" i="12"/>
  <c r="C23" i="11" s="1"/>
  <c r="J45" i="12"/>
  <c r="H45" i="12" s="1"/>
  <c r="E30" i="11" s="1"/>
  <c r="J44" i="12"/>
  <c r="J40" i="12"/>
  <c r="J70" i="12" s="1"/>
  <c r="J71" i="12" s="1"/>
  <c r="O20" i="16"/>
  <c r="N20" i="16"/>
  <c r="B8" i="16"/>
  <c r="B10" i="16"/>
  <c r="B3" i="20"/>
  <c r="B10" i="20" s="1"/>
  <c r="G9" i="20" s="1"/>
  <c r="G11" i="20" s="1"/>
  <c r="G13" i="20" s="1"/>
  <c r="AR15" i="15"/>
  <c r="ED34" i="15"/>
  <c r="EC34" i="15"/>
  <c r="EC36" i="15"/>
  <c r="DX30" i="15"/>
  <c r="EB30" i="15" s="1"/>
  <c r="ED36" i="15"/>
  <c r="L33" i="15"/>
  <c r="F33" i="15" s="1"/>
  <c r="I53" i="12"/>
  <c r="J25" i="2"/>
  <c r="G24" i="2"/>
  <c r="G17" i="1" s="1"/>
  <c r="E17" i="1"/>
  <c r="J53" i="2"/>
  <c r="I36" i="2"/>
  <c r="J68" i="2"/>
  <c r="G1" i="1"/>
  <c r="N74" i="2"/>
  <c r="N44" i="2"/>
  <c r="D3" i="57" l="1"/>
  <c r="Q99" i="57"/>
  <c r="DP72" i="54"/>
  <c r="DS68" i="54"/>
  <c r="DT84" i="54" s="1"/>
  <c r="O532" i="54"/>
  <c r="Q493" i="54"/>
  <c r="Q495" i="54" s="1"/>
  <c r="Q497" i="54" s="1"/>
  <c r="Q499" i="54" s="1"/>
  <c r="Q501" i="54" s="1"/>
  <c r="Q503" i="54" s="1"/>
  <c r="Q505" i="54" s="1"/>
  <c r="Q507" i="54" s="1"/>
  <c r="Q509" i="54" s="1"/>
  <c r="L532" i="54"/>
  <c r="J493" i="54"/>
  <c r="J495" i="54" s="1"/>
  <c r="J497" i="54" s="1"/>
  <c r="J499" i="54" s="1"/>
  <c r="J501" i="54" s="1"/>
  <c r="J503" i="54" s="1"/>
  <c r="J505" i="54" s="1"/>
  <c r="J507" i="54" s="1"/>
  <c r="J509" i="54" s="1"/>
  <c r="F24" i="41"/>
  <c r="J8" i="41"/>
  <c r="J12" i="41" s="1"/>
  <c r="J13" i="41" s="1"/>
  <c r="N6" i="41" s="1"/>
  <c r="F25" i="41"/>
  <c r="H46" i="2"/>
  <c r="E31" i="1" s="1"/>
  <c r="J46" i="2"/>
  <c r="B2" i="47"/>
  <c r="B2" i="29"/>
  <c r="D5" i="46" s="1"/>
  <c r="K6" i="29"/>
  <c r="J72" i="2"/>
  <c r="J73" i="2" s="1"/>
  <c r="C30" i="11"/>
  <c r="F27" i="15" s="1"/>
  <c r="C32" i="1"/>
  <c r="E11" i="11"/>
  <c r="E10" i="16"/>
  <c r="D10" i="16"/>
  <c r="E8" i="16"/>
  <c r="D8" i="16"/>
  <c r="B21" i="16"/>
  <c r="B11" i="20"/>
  <c r="H40" i="12"/>
  <c r="E26" i="11" s="1"/>
  <c r="I34" i="12"/>
  <c r="N32" i="12" s="1"/>
  <c r="M40" i="12" s="1"/>
  <c r="H37" i="12"/>
  <c r="E24" i="11" s="1"/>
  <c r="J51" i="12"/>
  <c r="C31" i="11"/>
  <c r="H47" i="2"/>
  <c r="E11" i="1"/>
  <c r="AQ23" i="15"/>
  <c r="BA23" i="15" s="1"/>
  <c r="ED32" i="15"/>
  <c r="ED38" i="15" s="1"/>
  <c r="EC18" i="15" s="1"/>
  <c r="EC32" i="15"/>
  <c r="EC38" i="15" s="1"/>
  <c r="EC17" i="15" s="1"/>
  <c r="EB32" i="15"/>
  <c r="EB38" i="15" s="1"/>
  <c r="EC16" i="15" s="1"/>
  <c r="H42" i="2"/>
  <c r="E27" i="1" s="1"/>
  <c r="J33" i="2"/>
  <c r="J56" i="2" s="1"/>
  <c r="C33" i="1"/>
  <c r="E31" i="11"/>
  <c r="G11" i="1" l="1"/>
  <c r="AF17" i="46"/>
  <c r="AF19" i="46"/>
  <c r="AF15" i="46"/>
  <c r="D6" i="57"/>
  <c r="S101" i="57"/>
  <c r="X93" i="57" s="1"/>
  <c r="AA99" i="57"/>
  <c r="R101" i="57"/>
  <c r="AC99" i="57"/>
  <c r="DR72" i="54"/>
  <c r="DU68" i="54"/>
  <c r="DV84" i="54" s="1"/>
  <c r="U116" i="54"/>
  <c r="M95" i="54" s="1"/>
  <c r="J512" i="54"/>
  <c r="V116" i="54"/>
  <c r="N95" i="54" s="1"/>
  <c r="Q512" i="54"/>
  <c r="B4" i="47"/>
  <c r="D4" i="38"/>
  <c r="AE14" i="38" s="1"/>
  <c r="D4" i="42"/>
  <c r="B2" i="44"/>
  <c r="E6" i="43"/>
  <c r="E5" i="45"/>
  <c r="E6" i="39"/>
  <c r="AS25" i="15"/>
  <c r="AX17" i="15" s="1"/>
  <c r="G2" i="29"/>
  <c r="B6" i="29"/>
  <c r="K7" i="29"/>
  <c r="BC27" i="15"/>
  <c r="BD37" i="15"/>
  <c r="BC35" i="15"/>
  <c r="BC25" i="15"/>
  <c r="BC29" i="15"/>
  <c r="BC31" i="15"/>
  <c r="AR25" i="15"/>
  <c r="H38" i="12"/>
  <c r="J31" i="12"/>
  <c r="J54" i="12" s="1"/>
  <c r="J58" i="12" s="1"/>
  <c r="J63" i="12" s="1" a="1"/>
  <c r="G33" i="15"/>
  <c r="O8" i="16"/>
  <c r="N8" i="16"/>
  <c r="O10" i="16"/>
  <c r="N10" i="16"/>
  <c r="E21" i="16"/>
  <c r="D21" i="16"/>
  <c r="B12" i="16"/>
  <c r="C24" i="11"/>
  <c r="C26" i="11"/>
  <c r="M14" i="15" s="1"/>
  <c r="J46" i="12"/>
  <c r="C32" i="11" s="1"/>
  <c r="ED18" i="15"/>
  <c r="ED17" i="15"/>
  <c r="ED16" i="15"/>
  <c r="G27" i="15"/>
  <c r="M35" i="12"/>
  <c r="M39" i="12"/>
  <c r="M37" i="12"/>
  <c r="M38" i="12"/>
  <c r="M36" i="12"/>
  <c r="M34" i="12"/>
  <c r="BX107" i="57" l="1"/>
  <c r="AL105" i="57"/>
  <c r="AC101" i="57"/>
  <c r="AL103" i="57"/>
  <c r="AC107" i="57"/>
  <c r="BX103" i="57"/>
  <c r="BX105" i="57"/>
  <c r="N34" i="23" s="1"/>
  <c r="T31" i="23" s="1"/>
  <c r="AL107" i="57"/>
  <c r="BW98" i="57"/>
  <c r="AC105" i="57"/>
  <c r="AC103" i="57"/>
  <c r="D7" i="57"/>
  <c r="F7" i="57"/>
  <c r="DT72" i="54"/>
  <c r="DW68" i="54"/>
  <c r="DX84" i="54" s="1"/>
  <c r="Q525" i="54"/>
  <c r="Q527" i="54" s="1"/>
  <c r="Q518" i="54"/>
  <c r="Q520" i="54" s="1"/>
  <c r="Q522" i="54" s="1"/>
  <c r="J525" i="54"/>
  <c r="J527" i="54" s="1"/>
  <c r="J529" i="54" s="1"/>
  <c r="J518" i="54"/>
  <c r="M520" i="54" s="1"/>
  <c r="M522" i="54" s="1"/>
  <c r="M529" i="54" s="1"/>
  <c r="L531" i="54" s="1"/>
  <c r="M79" i="54" s="1"/>
  <c r="N32" i="23"/>
  <c r="T30" i="23" s="1"/>
  <c r="E3" i="15"/>
  <c r="F5" i="15"/>
  <c r="R92" i="57" s="1"/>
  <c r="Q107" i="57" s="1"/>
  <c r="AE16" i="38"/>
  <c r="M8" i="49"/>
  <c r="M8" i="32"/>
  <c r="W8" i="32" s="1"/>
  <c r="V23" i="32" s="1"/>
  <c r="N36" i="23"/>
  <c r="T32" i="23" s="1"/>
  <c r="BO17" i="45"/>
  <c r="BO19" i="45"/>
  <c r="BZ2" i="45"/>
  <c r="BO22" i="45"/>
  <c r="BO14" i="45"/>
  <c r="BO19" i="43"/>
  <c r="BO14" i="43"/>
  <c r="BO22" i="43"/>
  <c r="BO17" i="43"/>
  <c r="AE16" i="42"/>
  <c r="AE14" i="42"/>
  <c r="L25" i="32"/>
  <c r="C34" i="37"/>
  <c r="L27" i="32"/>
  <c r="D2" i="32"/>
  <c r="B7" i="29"/>
  <c r="F7" i="29" s="1"/>
  <c r="K8" i="29"/>
  <c r="BD31" i="15"/>
  <c r="BC41" i="15"/>
  <c r="BD29" i="15"/>
  <c r="BC39" i="15"/>
  <c r="BD27" i="15"/>
  <c r="BC37" i="15"/>
  <c r="O21" i="16"/>
  <c r="N21" i="16"/>
  <c r="E12" i="16"/>
  <c r="D12" i="16"/>
  <c r="AR16" i="15"/>
  <c r="AQ33" i="15" s="1"/>
  <c r="AV33" i="15" s="1"/>
  <c r="G15" i="15"/>
  <c r="N30" i="12" a="1"/>
  <c r="D23" i="11" s="1"/>
  <c r="N28" i="12" a="1"/>
  <c r="G6" i="11" s="1"/>
  <c r="N29" i="12" a="1"/>
  <c r="G13" i="11" s="1"/>
  <c r="C25" i="11"/>
  <c r="H39" i="12"/>
  <c r="E25" i="11" s="1"/>
  <c r="AD103" i="57" l="1"/>
  <c r="AF103" i="57"/>
  <c r="AI103" i="57"/>
  <c r="H19" i="57"/>
  <c r="H17" i="57"/>
  <c r="W15" i="57"/>
  <c r="AD15" i="57" s="1"/>
  <c r="AE17" i="57"/>
  <c r="H15" i="57"/>
  <c r="AE19" i="57"/>
  <c r="AC17" i="57"/>
  <c r="AC15" i="57"/>
  <c r="AC19" i="57"/>
  <c r="W19" i="57"/>
  <c r="AD19" i="57" s="1"/>
  <c r="W17" i="57"/>
  <c r="AD17" i="57" s="1"/>
  <c r="N17" i="57"/>
  <c r="N15" i="57"/>
  <c r="H13" i="57"/>
  <c r="AE15" i="57"/>
  <c r="AF107" i="57"/>
  <c r="AI107" i="57"/>
  <c r="AD107" i="57"/>
  <c r="AF105" i="57"/>
  <c r="AD105" i="57"/>
  <c r="AI105" i="57"/>
  <c r="U107" i="57"/>
  <c r="V107" i="57"/>
  <c r="W107" i="57"/>
  <c r="AA97" i="57"/>
  <c r="Q111" i="57"/>
  <c r="D5" i="57"/>
  <c r="D8" i="57" s="1"/>
  <c r="X91" i="57"/>
  <c r="Q109" i="57"/>
  <c r="Q105" i="57"/>
  <c r="U105" i="57" s="1"/>
  <c r="U113" i="57" s="1"/>
  <c r="V91" i="57" s="1"/>
  <c r="DV72" i="54"/>
  <c r="DY68" i="54"/>
  <c r="DZ84" i="54" s="1"/>
  <c r="Q529" i="54"/>
  <c r="O531" i="54" s="1"/>
  <c r="N79" i="54" s="1"/>
  <c r="AU125" i="54"/>
  <c r="AU155" i="54" s="1"/>
  <c r="N375" i="54"/>
  <c r="Q377" i="54" s="1"/>
  <c r="AW127" i="54" s="1"/>
  <c r="AW157" i="54" s="1"/>
  <c r="I26" i="15"/>
  <c r="B3" i="27"/>
  <c r="B6" i="35" s="1"/>
  <c r="BA21" i="15"/>
  <c r="BH25" i="15" s="1"/>
  <c r="AL15" i="15"/>
  <c r="B4" i="20"/>
  <c r="B9" i="20" s="1"/>
  <c r="E9" i="20" s="1"/>
  <c r="E11" i="20" s="1"/>
  <c r="E13" i="20" s="1"/>
  <c r="I15" i="20" s="1"/>
  <c r="B12" i="20" s="1"/>
  <c r="B13" i="20" s="1"/>
  <c r="B14" i="20" s="1"/>
  <c r="B17" i="20" s="1"/>
  <c r="F30" i="15" s="1"/>
  <c r="B18" i="16" s="1"/>
  <c r="E18" i="16" s="1"/>
  <c r="J38" i="32"/>
  <c r="AS44" i="32" s="1"/>
  <c r="AU44" i="32" s="1"/>
  <c r="D2" i="49"/>
  <c r="W8" i="49"/>
  <c r="L27" i="49"/>
  <c r="L25" i="49"/>
  <c r="AS48" i="32"/>
  <c r="AU48" i="32" s="1"/>
  <c r="BO22" i="39"/>
  <c r="BO19" i="39"/>
  <c r="BO14" i="39"/>
  <c r="BO17" i="39"/>
  <c r="KI68" i="27"/>
  <c r="B8" i="29"/>
  <c r="K9" i="29"/>
  <c r="G7" i="29"/>
  <c r="AX15" i="15"/>
  <c r="AQ31" i="15"/>
  <c r="AW31" i="15" s="1"/>
  <c r="AQ29" i="15"/>
  <c r="AU29" i="15" s="1"/>
  <c r="J41" i="12"/>
  <c r="C27" i="11" s="1"/>
  <c r="O12" i="16"/>
  <c r="N12" i="16"/>
  <c r="AQ35" i="15"/>
  <c r="BU107" i="57" l="1"/>
  <c r="K36" i="23" s="1"/>
  <c r="BD107" i="57"/>
  <c r="BD105" i="57"/>
  <c r="BU105" i="57"/>
  <c r="K34" i="23" s="1"/>
  <c r="AZ20" i="57"/>
  <c r="I15" i="57"/>
  <c r="Z15" i="57"/>
  <c r="K15" i="57"/>
  <c r="AF15" i="57"/>
  <c r="AF19" i="57"/>
  <c r="AF17" i="57"/>
  <c r="M17" i="57"/>
  <c r="P17" i="57" s="1"/>
  <c r="R17" i="57" s="1"/>
  <c r="T17" i="57" s="1"/>
  <c r="V17" i="57" s="1"/>
  <c r="Y17" i="57" s="1"/>
  <c r="M15" i="57"/>
  <c r="P15" i="57" s="1"/>
  <c r="R15" i="57" s="1"/>
  <c r="T15" i="57" s="1"/>
  <c r="V15" i="57" s="1"/>
  <c r="Y15" i="57" s="1"/>
  <c r="M19" i="57"/>
  <c r="P19" i="57" s="1"/>
  <c r="R19" i="57" s="1"/>
  <c r="T19" i="57" s="1"/>
  <c r="V19" i="57" s="1"/>
  <c r="Y19" i="57" s="1"/>
  <c r="BH103" i="57"/>
  <c r="BH105" i="57"/>
  <c r="AK107" i="57"/>
  <c r="AN107" i="57" s="1"/>
  <c r="AP107" i="57" s="1"/>
  <c r="AR107" i="57" s="1"/>
  <c r="AT107" i="57" s="1"/>
  <c r="BH107" i="57"/>
  <c r="AA100" i="57"/>
  <c r="AK105" i="57"/>
  <c r="AK103" i="57"/>
  <c r="AZ34" i="57"/>
  <c r="Z17" i="57"/>
  <c r="K17" i="57"/>
  <c r="I17" i="57"/>
  <c r="V109" i="57"/>
  <c r="W109" i="57"/>
  <c r="Z19" i="57"/>
  <c r="K19" i="57"/>
  <c r="AZ48" i="57"/>
  <c r="I19" i="57"/>
  <c r="W91" i="57"/>
  <c r="F12" i="23"/>
  <c r="W111" i="57"/>
  <c r="W113" i="57" s="1"/>
  <c r="V93" i="57" s="1"/>
  <c r="V111" i="57"/>
  <c r="BD103" i="57"/>
  <c r="BU103" i="57"/>
  <c r="K32" i="23" s="1"/>
  <c r="V113" i="57"/>
  <c r="V92" i="57" s="1"/>
  <c r="DX72" i="54"/>
  <c r="EA68" i="54"/>
  <c r="EB84" i="54" s="1"/>
  <c r="J377" i="54"/>
  <c r="AU127" i="54" s="1"/>
  <c r="AU157" i="54" s="1"/>
  <c r="J379" i="54"/>
  <c r="J381" i="54" s="1"/>
  <c r="L418" i="54"/>
  <c r="O418" i="54"/>
  <c r="Q379" i="54"/>
  <c r="Q381" i="54" s="1"/>
  <c r="Q383" i="54" s="1"/>
  <c r="Q385" i="54" s="1"/>
  <c r="Q387" i="54" s="1"/>
  <c r="Q389" i="54" s="1"/>
  <c r="Q391" i="54" s="1"/>
  <c r="Q393" i="54" s="1"/>
  <c r="Q395" i="54" s="1"/>
  <c r="M116" i="54" s="1"/>
  <c r="BF31" i="15"/>
  <c r="BH31" i="15" s="1"/>
  <c r="V44" i="32"/>
  <c r="Y44" i="32" s="1"/>
  <c r="AA44" i="32" s="1"/>
  <c r="AC44" i="32" s="1"/>
  <c r="AE44" i="32" s="1"/>
  <c r="AF44" i="32" s="1"/>
  <c r="V46" i="32"/>
  <c r="Y46" i="32" s="1"/>
  <c r="AA46" i="32" s="1"/>
  <c r="AC46" i="32" s="1"/>
  <c r="AE46" i="32" s="1"/>
  <c r="AF46" i="32" s="1"/>
  <c r="V48" i="32"/>
  <c r="Y48" i="32" s="1"/>
  <c r="AA48" i="32" s="1"/>
  <c r="AC48" i="32" s="1"/>
  <c r="AE48" i="32" s="1"/>
  <c r="AI48" i="32" s="1"/>
  <c r="AL48" i="32" s="1"/>
  <c r="AQ48" i="32" s="1"/>
  <c r="AY48" i="32" s="1"/>
  <c r="BF29" i="15"/>
  <c r="BH29" i="15" s="1"/>
  <c r="BF27" i="15"/>
  <c r="BH27" i="15" s="1"/>
  <c r="BF25" i="15"/>
  <c r="J41" i="32"/>
  <c r="AS46" i="32"/>
  <c r="AU46" i="32" s="1"/>
  <c r="AE20" i="49"/>
  <c r="AE31" i="49"/>
  <c r="AE34" i="49"/>
  <c r="AM34" i="49"/>
  <c r="AM20" i="49"/>
  <c r="AM31" i="49"/>
  <c r="BI46" i="32"/>
  <c r="AF48" i="32"/>
  <c r="BI44" i="32"/>
  <c r="BR44" i="32" s="1"/>
  <c r="AI46" i="32"/>
  <c r="BC46" i="32" s="1"/>
  <c r="AI44" i="32"/>
  <c r="AJ44" i="32" s="1"/>
  <c r="BC48" i="32"/>
  <c r="BI48" i="32" s="1"/>
  <c r="AW8" i="35"/>
  <c r="N6" i="35"/>
  <c r="H7" i="29"/>
  <c r="I7" i="29" s="1"/>
  <c r="J7" i="29" s="1"/>
  <c r="B9" i="29"/>
  <c r="F9" i="29" s="1"/>
  <c r="G9" i="29" s="1"/>
  <c r="K10" i="29"/>
  <c r="D18" i="16"/>
  <c r="N18" i="16" s="1"/>
  <c r="O18" i="16"/>
  <c r="H41" i="12"/>
  <c r="E27" i="11" s="1"/>
  <c r="AU31" i="15"/>
  <c r="AU37" i="15" s="1"/>
  <c r="AV31" i="15"/>
  <c r="AW33" i="15"/>
  <c r="AW35" i="15"/>
  <c r="AV35" i="15"/>
  <c r="G30" i="15"/>
  <c r="AA17" i="57" l="1"/>
  <c r="AB17" i="57" s="1"/>
  <c r="AA15" i="57"/>
  <c r="AB15" i="57" s="1"/>
  <c r="BJ105" i="57"/>
  <c r="BJ107" i="57"/>
  <c r="W93" i="57"/>
  <c r="F11" i="23"/>
  <c r="AG17" i="57"/>
  <c r="AK17" i="57" s="1"/>
  <c r="CD48" i="57"/>
  <c r="F10" i="23"/>
  <c r="F36" i="23" s="1"/>
  <c r="W92" i="57"/>
  <c r="AN103" i="57"/>
  <c r="AP103" i="57" s="1"/>
  <c r="AR103" i="57" s="1"/>
  <c r="AT103" i="57" s="1"/>
  <c r="BJ103" i="57"/>
  <c r="AN105" i="57"/>
  <c r="AP105" i="57" s="1"/>
  <c r="AR105" i="57" s="1"/>
  <c r="AT105" i="57" s="1"/>
  <c r="AG15" i="57"/>
  <c r="AK15" i="57" s="1"/>
  <c r="AL15" i="57" s="1"/>
  <c r="AU29" i="57"/>
  <c r="AU30" i="57"/>
  <c r="AX107" i="57"/>
  <c r="AU107" i="57"/>
  <c r="AW31" i="57"/>
  <c r="AA19" i="57"/>
  <c r="AB19" i="57" s="1"/>
  <c r="AG19" i="57" s="1"/>
  <c r="AK19" i="57" s="1"/>
  <c r="AW30" i="57"/>
  <c r="DZ72" i="54"/>
  <c r="EC68" i="54"/>
  <c r="ED84" i="54" s="1"/>
  <c r="J383" i="54"/>
  <c r="J385" i="54" s="1"/>
  <c r="Q398" i="54"/>
  <c r="AX131" i="54"/>
  <c r="H95" i="54" s="1"/>
  <c r="AJ48" i="32"/>
  <c r="CF31" i="49"/>
  <c r="AP31" i="49"/>
  <c r="AR31" i="49" s="1"/>
  <c r="AX31" i="49"/>
  <c r="AV31" i="49"/>
  <c r="AN31" i="49"/>
  <c r="AN20" i="49"/>
  <c r="CF20" i="49"/>
  <c r="AX20" i="49"/>
  <c r="AV20" i="49"/>
  <c r="AP20" i="49"/>
  <c r="AR20" i="49" s="1"/>
  <c r="AP34" i="49"/>
  <c r="AR34" i="49" s="1"/>
  <c r="AN34" i="49"/>
  <c r="AV34" i="49"/>
  <c r="CF34" i="49"/>
  <c r="AX34" i="49"/>
  <c r="BT48" i="32"/>
  <c r="BV48" i="32"/>
  <c r="CH48" i="32"/>
  <c r="BX48" i="32"/>
  <c r="BZ48" i="32"/>
  <c r="CB48" i="32"/>
  <c r="CD48" i="32"/>
  <c r="CF48" i="32"/>
  <c r="CJ48" i="32"/>
  <c r="CL48" i="32"/>
  <c r="CN48" i="32"/>
  <c r="CP48" i="32"/>
  <c r="BW44" i="32"/>
  <c r="CM44" i="32"/>
  <c r="CO44" i="32"/>
  <c r="BX44" i="32"/>
  <c r="CN44" i="32"/>
  <c r="BY44" i="32"/>
  <c r="CA44" i="32"/>
  <c r="CQ44" i="32"/>
  <c r="CJ44" i="32"/>
  <c r="CB44" i="32"/>
  <c r="BZ44" i="32"/>
  <c r="CC44" i="32"/>
  <c r="CF44" i="32"/>
  <c r="CL44" i="32"/>
  <c r="CD44" i="32"/>
  <c r="CE44" i="32"/>
  <c r="BT44" i="32"/>
  <c r="CP44" i="32"/>
  <c r="BV44" i="32"/>
  <c r="CG44" i="32"/>
  <c r="CH44" i="32"/>
  <c r="BS44" i="32"/>
  <c r="CI44" i="32"/>
  <c r="BU44" i="32"/>
  <c r="CK44" i="32"/>
  <c r="BT46" i="32"/>
  <c r="BX46" i="32"/>
  <c r="BZ46" i="32"/>
  <c r="BV46" i="32"/>
  <c r="CB46" i="32"/>
  <c r="CD46" i="32"/>
  <c r="CF46" i="32"/>
  <c r="CP46" i="32"/>
  <c r="CH46" i="32"/>
  <c r="CL46" i="32"/>
  <c r="CJ46" i="32"/>
  <c r="CN46" i="32"/>
  <c r="BC44" i="32"/>
  <c r="AL44" i="32"/>
  <c r="AQ44" i="32" s="1"/>
  <c r="AY44" i="32" s="1"/>
  <c r="AL46" i="32"/>
  <c r="AQ46" i="32" s="1"/>
  <c r="AY46" i="32" s="1"/>
  <c r="AJ46" i="32"/>
  <c r="BO48" i="32"/>
  <c r="BK48" i="32"/>
  <c r="BR48" i="32"/>
  <c r="BK44" i="32"/>
  <c r="BO44" i="32"/>
  <c r="BO46" i="32"/>
  <c r="BR46" i="32"/>
  <c r="BK46" i="32"/>
  <c r="K11" i="29"/>
  <c r="B10" i="29"/>
  <c r="F10" i="29" s="1"/>
  <c r="G10" i="29" s="1"/>
  <c r="H9" i="29"/>
  <c r="I9" i="29" s="1"/>
  <c r="J9" i="29" s="1"/>
  <c r="R7" i="29"/>
  <c r="O30" i="29"/>
  <c r="D25" i="29"/>
  <c r="B25" i="29"/>
  <c r="N30" i="29"/>
  <c r="G12" i="23"/>
  <c r="AW37" i="15"/>
  <c r="AV17" i="15" s="1"/>
  <c r="AV37" i="15"/>
  <c r="AV16" i="15" s="1"/>
  <c r="K17" i="15" s="1"/>
  <c r="AV15" i="15"/>
  <c r="R9" i="29" l="1"/>
  <c r="L15" i="49"/>
  <c r="D6" i="46"/>
  <c r="AU47" i="57"/>
  <c r="AW47" i="57"/>
  <c r="AW42" i="57"/>
  <c r="AS47" i="57"/>
  <c r="AW46" i="57"/>
  <c r="AS43" i="57"/>
  <c r="AU105" i="57"/>
  <c r="AX105" i="57"/>
  <c r="DK47" i="57"/>
  <c r="DC47" i="57"/>
  <c r="BY47" i="57"/>
  <c r="DK30" i="57"/>
  <c r="DC30" i="57"/>
  <c r="AS18" i="57"/>
  <c r="AX15" i="57"/>
  <c r="AX17" i="57"/>
  <c r="AW17" i="57"/>
  <c r="AV17" i="57"/>
  <c r="AT16" i="57"/>
  <c r="AX18" i="57"/>
  <c r="AX14" i="57"/>
  <c r="AV18" i="57"/>
  <c r="AT17" i="57"/>
  <c r="AS15" i="57"/>
  <c r="AS16" i="57"/>
  <c r="AV14" i="57"/>
  <c r="AV16" i="57"/>
  <c r="AS17" i="57"/>
  <c r="AW16" i="57"/>
  <c r="AW14" i="57"/>
  <c r="AW19" i="57"/>
  <c r="AU16" i="57"/>
  <c r="AW18" i="57"/>
  <c r="AW15" i="57"/>
  <c r="AV19" i="57"/>
  <c r="AX19" i="57"/>
  <c r="AV15" i="57"/>
  <c r="AT18" i="57"/>
  <c r="AU17" i="57"/>
  <c r="AT15" i="57"/>
  <c r="AS14" i="57"/>
  <c r="AX16" i="57"/>
  <c r="AU19" i="57"/>
  <c r="AT14" i="57"/>
  <c r="AU15" i="57"/>
  <c r="AT19" i="57"/>
  <c r="AS19" i="57"/>
  <c r="AU18" i="57"/>
  <c r="AU14" i="57"/>
  <c r="DI47" i="57"/>
  <c r="DA47" i="57"/>
  <c r="BW47" i="57"/>
  <c r="AW43" i="57"/>
  <c r="DM42" i="57"/>
  <c r="CA42" i="57"/>
  <c r="DE42" i="57"/>
  <c r="AU103" i="57"/>
  <c r="AX103" i="57"/>
  <c r="DM46" i="57"/>
  <c r="DE46" i="57"/>
  <c r="CA46" i="57"/>
  <c r="AL19" i="57"/>
  <c r="AW44" i="57"/>
  <c r="AS45" i="57"/>
  <c r="AU45" i="57"/>
  <c r="AU44" i="57"/>
  <c r="AS44" i="57"/>
  <c r="AW45" i="57"/>
  <c r="DK29" i="57"/>
  <c r="DC29" i="57"/>
  <c r="AU43" i="57"/>
  <c r="BP107" i="57"/>
  <c r="BT107" i="57" s="1"/>
  <c r="V98" i="57"/>
  <c r="F32" i="23" s="1"/>
  <c r="F40" i="23" s="1" a="1"/>
  <c r="G40" i="23" s="1"/>
  <c r="AY107" i="57"/>
  <c r="BA107" i="57"/>
  <c r="BF107" i="57" s="1"/>
  <c r="BL107" i="57" s="1"/>
  <c r="DI43" i="57"/>
  <c r="DA43" i="57"/>
  <c r="BW43" i="57"/>
  <c r="DM47" i="57"/>
  <c r="DE47" i="57"/>
  <c r="CA47" i="57"/>
  <c r="DM30" i="57"/>
  <c r="DE30" i="57"/>
  <c r="AU42" i="57"/>
  <c r="AL17" i="57"/>
  <c r="AS28" i="57" s="1"/>
  <c r="AU32" i="57"/>
  <c r="AW32" i="57"/>
  <c r="AU33" i="57"/>
  <c r="AS33" i="57"/>
  <c r="AS32" i="57"/>
  <c r="AU28" i="57"/>
  <c r="AW29" i="57"/>
  <c r="AW33" i="57"/>
  <c r="AS29" i="57"/>
  <c r="AU31" i="57"/>
  <c r="AW28" i="57"/>
  <c r="AS31" i="57"/>
  <c r="AU46" i="57"/>
  <c r="DE31" i="57"/>
  <c r="DM31" i="57"/>
  <c r="AS46" i="57"/>
  <c r="EB72" i="54"/>
  <c r="EE68" i="54"/>
  <c r="EF84" i="54" s="1"/>
  <c r="F712" i="54"/>
  <c r="E712" i="54"/>
  <c r="F710" i="54"/>
  <c r="E710" i="54"/>
  <c r="J387" i="54"/>
  <c r="J389" i="54" s="1"/>
  <c r="J391" i="54" s="1"/>
  <c r="J393" i="54" s="1"/>
  <c r="J395" i="54" s="1"/>
  <c r="L116" i="54" s="1"/>
  <c r="AU136" i="54"/>
  <c r="AU138" i="54" s="1"/>
  <c r="Q411" i="54"/>
  <c r="Q413" i="54" s="1"/>
  <c r="Q404" i="54"/>
  <c r="Q406" i="54" s="1"/>
  <c r="Q408" i="54" s="1"/>
  <c r="F25" i="23"/>
  <c r="B13" i="16"/>
  <c r="CI34" i="49"/>
  <c r="CK34" i="49" s="1"/>
  <c r="CO34" i="49"/>
  <c r="CQ34" i="49"/>
  <c r="CG34" i="49"/>
  <c r="CM34" i="49" s="1"/>
  <c r="AT34" i="49"/>
  <c r="AR17" i="49" a="1"/>
  <c r="AV17" i="49" a="1"/>
  <c r="AX17" i="49" a="1"/>
  <c r="CO20" i="49"/>
  <c r="CI20" i="49"/>
  <c r="CK20" i="49" s="1"/>
  <c r="CQ20" i="49"/>
  <c r="CG20" i="49"/>
  <c r="CM20" i="49" s="1"/>
  <c r="AT20" i="49"/>
  <c r="AT31" i="49"/>
  <c r="CG31" i="49"/>
  <c r="CM31" i="49" s="1"/>
  <c r="N17" i="49"/>
  <c r="D4" i="49" s="1"/>
  <c r="M17" i="49"/>
  <c r="CI31" i="49"/>
  <c r="CK31" i="49" s="1"/>
  <c r="CQ31" i="49"/>
  <c r="CO31" i="49"/>
  <c r="S7" i="29"/>
  <c r="B5" i="47"/>
  <c r="L15" i="32"/>
  <c r="O31" i="29"/>
  <c r="N31" i="29" s="1"/>
  <c r="N32" i="29" s="1"/>
  <c r="B30" i="29" s="1"/>
  <c r="S9" i="29"/>
  <c r="W9" i="29"/>
  <c r="H10" i="29"/>
  <c r="I10" i="29" s="1"/>
  <c r="J10" i="29" s="1"/>
  <c r="B11" i="29"/>
  <c r="K12" i="29"/>
  <c r="G11" i="23"/>
  <c r="AW17" i="15"/>
  <c r="AW15" i="15"/>
  <c r="AW16" i="15"/>
  <c r="D7" i="46" l="1"/>
  <c r="F7" i="46"/>
  <c r="DM16" i="57"/>
  <c r="DE16" i="57"/>
  <c r="DD18" i="57"/>
  <c r="DL18" i="57"/>
  <c r="EK42" i="57"/>
  <c r="DI16" i="57"/>
  <c r="DA16" i="57"/>
  <c r="DN18" i="57"/>
  <c r="DF18" i="57"/>
  <c r="DA17" i="57"/>
  <c r="DI17" i="57"/>
  <c r="DK14" i="57"/>
  <c r="DC14" i="57"/>
  <c r="DI29" i="57"/>
  <c r="DA29" i="57"/>
  <c r="DK28" i="57"/>
  <c r="DC28" i="57"/>
  <c r="DJ16" i="57"/>
  <c r="DB16" i="57"/>
  <c r="EG43" i="57"/>
  <c r="DA31" i="57"/>
  <c r="DI31" i="57"/>
  <c r="DK31" i="57"/>
  <c r="DC31" i="57"/>
  <c r="DE29" i="57"/>
  <c r="DM29" i="57"/>
  <c r="DL17" i="57"/>
  <c r="DD17" i="57"/>
  <c r="DI14" i="57"/>
  <c r="DA14" i="57"/>
  <c r="DM17" i="57"/>
  <c r="DE17" i="57"/>
  <c r="DJ14" i="57"/>
  <c r="DB14" i="57"/>
  <c r="DI33" i="57"/>
  <c r="DA33" i="57"/>
  <c r="DN15" i="57"/>
  <c r="DF15" i="57"/>
  <c r="DJ17" i="57"/>
  <c r="DB17" i="57"/>
  <c r="DI32" i="57"/>
  <c r="DA32" i="57"/>
  <c r="DA28" i="57"/>
  <c r="DI28" i="57"/>
  <c r="DL15" i="57"/>
  <c r="DD15" i="57"/>
  <c r="DI46" i="57"/>
  <c r="BW46" i="57"/>
  <c r="DA46" i="57"/>
  <c r="EK31" i="57"/>
  <c r="DL14" i="57"/>
  <c r="DD14" i="57"/>
  <c r="DI15" i="57"/>
  <c r="DA15" i="57"/>
  <c r="DB19" i="57"/>
  <c r="DJ19" i="57"/>
  <c r="DM45" i="57"/>
  <c r="CA45" i="57"/>
  <c r="DE45" i="57"/>
  <c r="DN16" i="57"/>
  <c r="DF16" i="57"/>
  <c r="DF17" i="57"/>
  <c r="DN17" i="57"/>
  <c r="DM44" i="57"/>
  <c r="DE44" i="57"/>
  <c r="CA44" i="57"/>
  <c r="AS42" i="57"/>
  <c r="AS30" i="57"/>
  <c r="DC42" i="57"/>
  <c r="BY42" i="57"/>
  <c r="DK42" i="57"/>
  <c r="DN19" i="57"/>
  <c r="DF19" i="57"/>
  <c r="EI30" i="57"/>
  <c r="EG47" i="57"/>
  <c r="DK18" i="57"/>
  <c r="DC18" i="57"/>
  <c r="DM33" i="57"/>
  <c r="DE33" i="57"/>
  <c r="EI29" i="57"/>
  <c r="DK19" i="57"/>
  <c r="DC19" i="57"/>
  <c r="DI45" i="57"/>
  <c r="DA45" i="57"/>
  <c r="BW45" i="57"/>
  <c r="DK32" i="57"/>
  <c r="DC32" i="57"/>
  <c r="EK46" i="57"/>
  <c r="DL19" i="57"/>
  <c r="DD19" i="57"/>
  <c r="DJ18" i="57"/>
  <c r="DB18" i="57"/>
  <c r="DM18" i="57"/>
  <c r="DE18" i="57"/>
  <c r="EI47" i="57"/>
  <c r="DM14" i="57"/>
  <c r="DE14" i="57"/>
  <c r="DL16" i="57"/>
  <c r="DD16" i="57"/>
  <c r="DM28" i="57"/>
  <c r="DE28" i="57"/>
  <c r="BV107" i="57"/>
  <c r="CE107" i="57"/>
  <c r="CG107" i="57"/>
  <c r="CI107" i="57"/>
  <c r="CK107" i="57"/>
  <c r="CO107" i="57"/>
  <c r="CM107" i="57"/>
  <c r="BZ107" i="57"/>
  <c r="CA113" i="57" s="1"/>
  <c r="CC113" i="57" s="1"/>
  <c r="CU107" i="57"/>
  <c r="CC107" i="57"/>
  <c r="CW107" i="57"/>
  <c r="CQ107" i="57"/>
  <c r="CS107" i="57"/>
  <c r="DA19" i="57"/>
  <c r="DI19" i="57"/>
  <c r="DC15" i="57"/>
  <c r="DK15" i="57"/>
  <c r="DI44" i="57"/>
  <c r="DA44" i="57"/>
  <c r="BW44" i="57"/>
  <c r="DK44" i="57"/>
  <c r="DC44" i="57"/>
  <c r="BY44" i="57"/>
  <c r="DC33" i="57"/>
  <c r="DK33" i="57"/>
  <c r="DB15" i="57"/>
  <c r="DJ15" i="57"/>
  <c r="DM32" i="57"/>
  <c r="DE32" i="57"/>
  <c r="DK17" i="57"/>
  <c r="DC17" i="57"/>
  <c r="DA18" i="57"/>
  <c r="DI18" i="57"/>
  <c r="EK30" i="57"/>
  <c r="BA103" i="57"/>
  <c r="BF103" i="57" s="1"/>
  <c r="BL103" i="57" s="1"/>
  <c r="BP103" i="57"/>
  <c r="BT103" i="57" s="1"/>
  <c r="AY103" i="57"/>
  <c r="V96" i="57"/>
  <c r="F30" i="23" s="1"/>
  <c r="F38" i="23" s="1" a="1"/>
  <c r="DM15" i="57"/>
  <c r="DE15" i="57"/>
  <c r="DK16" i="57"/>
  <c r="DC16" i="57"/>
  <c r="BA105" i="57"/>
  <c r="BF105" i="57" s="1"/>
  <c r="BL105" i="57" s="1"/>
  <c r="BP105" i="57"/>
  <c r="BT105" i="57" s="1"/>
  <c r="V97" i="57"/>
  <c r="F31" i="23" s="1"/>
  <c r="F39" i="23" s="1" a="1"/>
  <c r="G39" i="23" s="1"/>
  <c r="AY105" i="57"/>
  <c r="DE43" i="57"/>
  <c r="DE40" i="57" s="1"/>
  <c r="CA43" i="57"/>
  <c r="DM43" i="57"/>
  <c r="DM40" i="57" s="1"/>
  <c r="DC46" i="57"/>
  <c r="BY46" i="57"/>
  <c r="DK46" i="57"/>
  <c r="DC43" i="57"/>
  <c r="DK43" i="57"/>
  <c r="BY43" i="57"/>
  <c r="DN14" i="57"/>
  <c r="DF14" i="57"/>
  <c r="DC45" i="57"/>
  <c r="BY45" i="57"/>
  <c r="DK45" i="57"/>
  <c r="EK47" i="57"/>
  <c r="DE19" i="57"/>
  <c r="DM19" i="57"/>
  <c r="G10" i="23"/>
  <c r="ED72" i="54"/>
  <c r="EG68" i="54"/>
  <c r="EH84" i="54" s="1"/>
  <c r="U572" i="54"/>
  <c r="L572" i="54"/>
  <c r="V572" i="54"/>
  <c r="M572" i="54"/>
  <c r="M578" i="54" s="1"/>
  <c r="Q580" i="54" s="1"/>
  <c r="Q582" i="54" s="1"/>
  <c r="Q589" i="54" s="1"/>
  <c r="L548" i="54"/>
  <c r="Y572" i="54"/>
  <c r="M548" i="54"/>
  <c r="Z572" i="54"/>
  <c r="J398" i="54"/>
  <c r="AT131" i="54"/>
  <c r="M561" i="54"/>
  <c r="M554" i="54"/>
  <c r="J81" i="54" s="1"/>
  <c r="M585" i="54"/>
  <c r="M587" i="54" s="1"/>
  <c r="M589" i="54" s="1"/>
  <c r="Q415" i="54"/>
  <c r="H79" i="54" s="1"/>
  <c r="CQ17" i="49" a="1"/>
  <c r="E13" i="16"/>
  <c r="D13" i="16"/>
  <c r="N13" i="16" s="1"/>
  <c r="F26" i="23"/>
  <c r="B14" i="16"/>
  <c r="D14" i="16" s="1"/>
  <c r="F27" i="23"/>
  <c r="L23" i="49"/>
  <c r="L21" i="49"/>
  <c r="P21" i="49" s="1"/>
  <c r="Q27" i="49"/>
  <c r="R27" i="49"/>
  <c r="R25" i="49"/>
  <c r="Q25" i="49"/>
  <c r="CK17" i="49" a="1"/>
  <c r="CO17" i="49" a="1"/>
  <c r="AT17" i="49" a="1"/>
  <c r="CM17" i="49" a="1"/>
  <c r="AA25" i="32"/>
  <c r="AE31" i="32" s="1"/>
  <c r="AB25" i="32"/>
  <c r="AE34" i="32" s="1"/>
  <c r="V21" i="32"/>
  <c r="Z21" i="32" s="1"/>
  <c r="W17" i="32"/>
  <c r="X17" i="32"/>
  <c r="Z23" i="32"/>
  <c r="AA23" i="32"/>
  <c r="AB23" i="32"/>
  <c r="B6" i="47"/>
  <c r="M17" i="32"/>
  <c r="N17" i="32"/>
  <c r="D4" i="32" s="1"/>
  <c r="C7" i="40"/>
  <c r="O32" i="29"/>
  <c r="D30" i="29" s="1"/>
  <c r="X9" i="29"/>
  <c r="D7" i="40" s="1"/>
  <c r="B12" i="29"/>
  <c r="F12" i="29" s="1"/>
  <c r="G12" i="29" s="1"/>
  <c r="K13" i="29"/>
  <c r="R10" i="29"/>
  <c r="F14" i="23"/>
  <c r="X5" i="23"/>
  <c r="AJ5" i="23"/>
  <c r="Z5" i="23"/>
  <c r="AN5" i="23"/>
  <c r="AB5" i="23"/>
  <c r="AD5" i="23"/>
  <c r="AR5" i="23"/>
  <c r="AF5" i="23"/>
  <c r="AH5" i="23"/>
  <c r="AL5" i="23"/>
  <c r="AP5" i="23"/>
  <c r="AT5" i="23"/>
  <c r="O13" i="16"/>
  <c r="O591" i="54" l="1"/>
  <c r="DD12" i="57"/>
  <c r="AE15" i="46"/>
  <c r="AE17" i="46"/>
  <c r="AE19" i="46"/>
  <c r="AC19" i="46"/>
  <c r="AC17" i="46"/>
  <c r="AC15" i="46"/>
  <c r="W19" i="46"/>
  <c r="AD19" i="46" s="1"/>
  <c r="W17" i="46"/>
  <c r="AD17" i="46" s="1"/>
  <c r="W15" i="46"/>
  <c r="AD15" i="46" s="1"/>
  <c r="N17" i="46"/>
  <c r="N15" i="46"/>
  <c r="D8" i="46"/>
  <c r="H19" i="46"/>
  <c r="H15" i="46"/>
  <c r="H17" i="46"/>
  <c r="DA30" i="57"/>
  <c r="DA26" i="57" s="1"/>
  <c r="DI30" i="57"/>
  <c r="EI32" i="57"/>
  <c r="EL17" i="57"/>
  <c r="DC26" i="57"/>
  <c r="EG33" i="57"/>
  <c r="EH15" i="57"/>
  <c r="EI17" i="57"/>
  <c r="EL15" i="57"/>
  <c r="DK26" i="57"/>
  <c r="EI28" i="57"/>
  <c r="EG28" i="57"/>
  <c r="GS29" i="57"/>
  <c r="DS28" i="57" s="1"/>
  <c r="EA28" i="57" s="1"/>
  <c r="DI26" i="57"/>
  <c r="DQ28" i="57"/>
  <c r="EI43" i="57"/>
  <c r="EH16" i="57"/>
  <c r="EG17" i="57"/>
  <c r="DJ12" i="57"/>
  <c r="EH14" i="57"/>
  <c r="EI44" i="57"/>
  <c r="EJ16" i="57"/>
  <c r="DE12" i="57"/>
  <c r="EI18" i="57"/>
  <c r="EK17" i="57"/>
  <c r="EL18" i="57"/>
  <c r="DA42" i="57"/>
  <c r="DA40" i="57" s="1"/>
  <c r="BW42" i="57"/>
  <c r="DI42" i="57"/>
  <c r="EG45" i="57"/>
  <c r="DC12" i="57"/>
  <c r="BV105" i="57"/>
  <c r="CU105" i="57"/>
  <c r="BZ105" i="57"/>
  <c r="CA112" i="57" s="1"/>
  <c r="CC105" i="57"/>
  <c r="CE105" i="57"/>
  <c r="CG105" i="57"/>
  <c r="CI105" i="57"/>
  <c r="CK105" i="57"/>
  <c r="CM105" i="57"/>
  <c r="CO105" i="57"/>
  <c r="CS105" i="57"/>
  <c r="CW105" i="57"/>
  <c r="CQ105" i="57"/>
  <c r="EK33" i="57"/>
  <c r="EH19" i="57"/>
  <c r="EI16" i="57"/>
  <c r="EK14" i="57"/>
  <c r="DM12" i="57"/>
  <c r="EG15" i="57"/>
  <c r="DA12" i="57"/>
  <c r="DB12" i="57"/>
  <c r="EG44" i="57"/>
  <c r="EI15" i="57"/>
  <c r="DL12" i="57"/>
  <c r="EJ14" i="57"/>
  <c r="EK15" i="57"/>
  <c r="EJ17" i="57"/>
  <c r="EG29" i="57"/>
  <c r="G38" i="23"/>
  <c r="F42" i="23" a="1"/>
  <c r="EK18" i="57"/>
  <c r="DU29" i="57"/>
  <c r="EC29" i="57" s="1"/>
  <c r="EK29" i="57"/>
  <c r="EI45" i="57"/>
  <c r="EL19" i="57"/>
  <c r="EJ18" i="57"/>
  <c r="EJ15" i="57"/>
  <c r="EL16" i="57"/>
  <c r="DK12" i="57"/>
  <c r="EI14" i="57"/>
  <c r="EK28" i="57"/>
  <c r="DM26" i="57"/>
  <c r="EG16" i="57"/>
  <c r="EG19" i="57"/>
  <c r="CF103" i="57"/>
  <c r="CK103" i="57"/>
  <c r="BV103" i="57"/>
  <c r="CG103" i="57"/>
  <c r="CW103" i="57"/>
  <c r="CE103" i="57"/>
  <c r="CH103" i="57"/>
  <c r="CJ103" i="57"/>
  <c r="CL103" i="57"/>
  <c r="CI103" i="57"/>
  <c r="BZ103" i="57"/>
  <c r="CA111" i="57" s="1"/>
  <c r="CD103" i="57"/>
  <c r="CM103" i="57"/>
  <c r="CO103" i="57"/>
  <c r="CN103" i="57"/>
  <c r="CC103" i="57"/>
  <c r="CP103" i="57"/>
  <c r="CQ103" i="57"/>
  <c r="CR103" i="57"/>
  <c r="CS103" i="57"/>
  <c r="CT103" i="57"/>
  <c r="CU103" i="57"/>
  <c r="CV103" i="57"/>
  <c r="CX103" i="57"/>
  <c r="EH18" i="57"/>
  <c r="EI42" i="57"/>
  <c r="DK40" i="57"/>
  <c r="EI46" i="57"/>
  <c r="EG32" i="57"/>
  <c r="EH17" i="57"/>
  <c r="EK43" i="57"/>
  <c r="EI19" i="57"/>
  <c r="DE26" i="57"/>
  <c r="EK45" i="57"/>
  <c r="EK19" i="57"/>
  <c r="EG46" i="57"/>
  <c r="EI31" i="57"/>
  <c r="DS31" i="57"/>
  <c r="EA31" i="57" s="1"/>
  <c r="EL14" i="57"/>
  <c r="DN12" i="57"/>
  <c r="EG18" i="57"/>
  <c r="EK44" i="57"/>
  <c r="EK32" i="57"/>
  <c r="DU32" i="57"/>
  <c r="EC32" i="57" s="1"/>
  <c r="EI33" i="57"/>
  <c r="GS15" i="57"/>
  <c r="DQ14" i="57"/>
  <c r="DI12" i="57"/>
  <c r="EG14" i="57"/>
  <c r="DF12" i="57"/>
  <c r="EJ19" i="57"/>
  <c r="DT19" i="57"/>
  <c r="EB19" i="57" s="1"/>
  <c r="DC40" i="57"/>
  <c r="EG31" i="57"/>
  <c r="EK16" i="57"/>
  <c r="DU16" i="57"/>
  <c r="EC16" i="57" s="1"/>
  <c r="EF72" i="54"/>
  <c r="EI68" i="54"/>
  <c r="EJ84" i="54" s="1"/>
  <c r="G95" i="54"/>
  <c r="AU134" i="54"/>
  <c r="AY134" i="54" s="1" a="1"/>
  <c r="AZ151" i="54" s="1"/>
  <c r="J411" i="54"/>
  <c r="J413" i="54" s="1"/>
  <c r="J415" i="54" s="1"/>
  <c r="G79" i="54" s="1"/>
  <c r="J404" i="54"/>
  <c r="O417" i="54"/>
  <c r="AW126" i="54" s="1"/>
  <c r="AW156" i="54" s="1"/>
  <c r="Q556" i="54"/>
  <c r="Q558" i="54" s="1"/>
  <c r="Q565" i="54" s="1"/>
  <c r="M563" i="54"/>
  <c r="M565" i="54" s="1"/>
  <c r="AY126" i="54"/>
  <c r="AY156" i="54" s="1"/>
  <c r="Z585" i="54"/>
  <c r="Z587" i="54" s="1"/>
  <c r="Z578" i="54"/>
  <c r="V585" i="54"/>
  <c r="V587" i="54" s="1"/>
  <c r="V589" i="54" s="1"/>
  <c r="V578" i="54"/>
  <c r="E14" i="16"/>
  <c r="O14" i="16" s="1"/>
  <c r="Q23" i="49"/>
  <c r="Q29" i="49" s="1"/>
  <c r="B3" i="49" s="1"/>
  <c r="C3" i="49" s="1"/>
  <c r="R23" i="49"/>
  <c r="R29" i="49" s="1"/>
  <c r="B4" i="49" s="1"/>
  <c r="C4" i="49" s="1"/>
  <c r="P23" i="49"/>
  <c r="P29" i="49" s="1"/>
  <c r="B2" i="49" s="1"/>
  <c r="C2" i="49" s="1"/>
  <c r="AE28" i="32"/>
  <c r="AJ23" i="32"/>
  <c r="AE20" i="32"/>
  <c r="AH21" i="32"/>
  <c r="AM20" i="32" s="1"/>
  <c r="AI23" i="32"/>
  <c r="AE24" i="32"/>
  <c r="AH23" i="32"/>
  <c r="AE27" i="32"/>
  <c r="AE23" i="32"/>
  <c r="AJ25" i="32"/>
  <c r="AM34" i="32" s="1"/>
  <c r="L23" i="32"/>
  <c r="L21" i="32"/>
  <c r="AI25" i="32"/>
  <c r="AM31" i="32" s="1"/>
  <c r="R27" i="32"/>
  <c r="Q25" i="32"/>
  <c r="Q27" i="32"/>
  <c r="R25" i="32"/>
  <c r="N32" i="33"/>
  <c r="T30" i="33" s="1"/>
  <c r="N36" i="33"/>
  <c r="T32" i="33" s="1"/>
  <c r="N34" i="33"/>
  <c r="T31" i="33" s="1"/>
  <c r="G30" i="23"/>
  <c r="U30" i="23"/>
  <c r="U31" i="23"/>
  <c r="G31" i="23"/>
  <c r="G32" i="23"/>
  <c r="U32" i="23"/>
  <c r="B13" i="29"/>
  <c r="F13" i="29" s="1"/>
  <c r="G13" i="29" s="1"/>
  <c r="H13" i="29" s="1"/>
  <c r="K14" i="29"/>
  <c r="H12" i="29"/>
  <c r="I12" i="29" s="1"/>
  <c r="J12" i="29" s="1"/>
  <c r="AA9" i="29"/>
  <c r="S10" i="29"/>
  <c r="F16" i="23"/>
  <c r="F18" i="23"/>
  <c r="F17" i="23"/>
  <c r="X6" i="23" a="1"/>
  <c r="X7" i="23" s="1" a="1"/>
  <c r="AJ6" i="23" a="1"/>
  <c r="AP6" i="23" a="1"/>
  <c r="AH6" i="23" a="1"/>
  <c r="AT6" i="23" a="1"/>
  <c r="AL6" i="23" a="1"/>
  <c r="AF6" i="23" a="1"/>
  <c r="AR6" i="23" a="1"/>
  <c r="AD6" i="23" a="1"/>
  <c r="AB6" i="23" a="1"/>
  <c r="AN6" i="23" a="1"/>
  <c r="Z6" i="23" a="1"/>
  <c r="N14" i="16"/>
  <c r="R12" i="29" l="1"/>
  <c r="AN12" i="57"/>
  <c r="AP12" i="57" s="1"/>
  <c r="AN12" i="46"/>
  <c r="AP12" i="46" s="1"/>
  <c r="DT18" i="57"/>
  <c r="EB18" i="57" s="1"/>
  <c r="DV17" i="57"/>
  <c r="ED17" i="57" s="1"/>
  <c r="DR16" i="57"/>
  <c r="DZ16" i="57" s="1"/>
  <c r="DU17" i="57"/>
  <c r="EC17" i="57" s="1"/>
  <c r="DV18" i="57"/>
  <c r="ED18" i="57" s="1"/>
  <c r="DR19" i="57"/>
  <c r="DZ19" i="57" s="1"/>
  <c r="DS16" i="57"/>
  <c r="EA16" i="57" s="1"/>
  <c r="DU14" i="57"/>
  <c r="EC14" i="57" s="1"/>
  <c r="DQ15" i="57"/>
  <c r="DY15" i="57" s="1"/>
  <c r="DS15" i="57"/>
  <c r="EA15" i="57" s="1"/>
  <c r="DT14" i="57"/>
  <c r="EB14" i="57" s="1"/>
  <c r="DU15" i="57"/>
  <c r="EC15" i="57" s="1"/>
  <c r="DT17" i="57"/>
  <c r="EB17" i="57" s="1"/>
  <c r="DU18" i="57"/>
  <c r="EC18" i="57" s="1"/>
  <c r="DV19" i="57"/>
  <c r="ED19" i="57" s="1"/>
  <c r="DQ16" i="57"/>
  <c r="DY16" i="57" s="1"/>
  <c r="DQ19" i="57"/>
  <c r="DY19" i="57" s="1"/>
  <c r="DR18" i="57"/>
  <c r="DZ18" i="57" s="1"/>
  <c r="DS19" i="57"/>
  <c r="EA19" i="57" s="1"/>
  <c r="DU19" i="57"/>
  <c r="EC19" i="57" s="1"/>
  <c r="DV14" i="57"/>
  <c r="ED14" i="57" s="1"/>
  <c r="DQ18" i="57"/>
  <c r="DY18" i="57" s="1"/>
  <c r="I17" i="46"/>
  <c r="Z17" i="46"/>
  <c r="K17" i="46"/>
  <c r="M17" i="46"/>
  <c r="P17" i="46" s="1"/>
  <c r="R17" i="46" s="1"/>
  <c r="T17" i="46" s="1"/>
  <c r="V17" i="46" s="1"/>
  <c r="Y17" i="46" s="1"/>
  <c r="AA17" i="46" s="1"/>
  <c r="AB17" i="46" s="1"/>
  <c r="AG17" i="46" s="1"/>
  <c r="AK17" i="46" s="1"/>
  <c r="AL17" i="46" s="1"/>
  <c r="Z15" i="46"/>
  <c r="K15" i="46"/>
  <c r="I15" i="46"/>
  <c r="M15" i="46"/>
  <c r="P15" i="46" s="1"/>
  <c r="R15" i="46" s="1"/>
  <c r="T15" i="46" s="1"/>
  <c r="V15" i="46" s="1"/>
  <c r="Y15" i="46" s="1"/>
  <c r="AA15" i="46" s="1"/>
  <c r="AB15" i="46" s="1"/>
  <c r="AG15" i="46" s="1"/>
  <c r="AK15" i="46" s="1"/>
  <c r="AL15" i="46" s="1"/>
  <c r="Z19" i="46"/>
  <c r="K19" i="46"/>
  <c r="I19" i="46"/>
  <c r="M19" i="46"/>
  <c r="P19" i="46" s="1"/>
  <c r="R19" i="46" s="1"/>
  <c r="T19" i="46" s="1"/>
  <c r="V19" i="46" s="1"/>
  <c r="Y19" i="46" s="1"/>
  <c r="AA19" i="46" s="1"/>
  <c r="AB19" i="46" s="1"/>
  <c r="AG19" i="46" s="1"/>
  <c r="AK19" i="46" s="1"/>
  <c r="AL19" i="46" s="1"/>
  <c r="DI40" i="57"/>
  <c r="GS43" i="57"/>
  <c r="EG42" i="57"/>
  <c r="DU30" i="57"/>
  <c r="EC30" i="57" s="1"/>
  <c r="DS29" i="57"/>
  <c r="EA29" i="57" s="1"/>
  <c r="DU31" i="57"/>
  <c r="EC31" i="57" s="1"/>
  <c r="DS30" i="57"/>
  <c r="EA30" i="57" s="1"/>
  <c r="DU33" i="57"/>
  <c r="EC33" i="57" s="1"/>
  <c r="DV15" i="57"/>
  <c r="ED15" i="57" s="1"/>
  <c r="DY28" i="57"/>
  <c r="DQ31" i="57"/>
  <c r="DY31" i="57" s="1"/>
  <c r="DQ29" i="57"/>
  <c r="DY29" i="57" s="1"/>
  <c r="DS18" i="57"/>
  <c r="EA18" i="57" s="1"/>
  <c r="DS17" i="57"/>
  <c r="EA17" i="57" s="1"/>
  <c r="DU28" i="57"/>
  <c r="EC28" i="57" s="1"/>
  <c r="DT16" i="57"/>
  <c r="EB16" i="57" s="1"/>
  <c r="DR15" i="57"/>
  <c r="DZ15" i="57" s="1"/>
  <c r="DS14" i="57"/>
  <c r="EA14" i="57" s="1"/>
  <c r="DQ33" i="57"/>
  <c r="DY33" i="57" s="1"/>
  <c r="FU17" i="57"/>
  <c r="EX17" i="57"/>
  <c r="DV16" i="57"/>
  <c r="ED16" i="57" s="1"/>
  <c r="DR14" i="57"/>
  <c r="DZ14" i="57" s="1"/>
  <c r="AR151" i="54"/>
  <c r="DT15" i="57"/>
  <c r="EB15" i="57" s="1"/>
  <c r="DS33" i="57"/>
  <c r="EA33" i="57" s="1"/>
  <c r="DR17" i="57"/>
  <c r="DZ17" i="57" s="1"/>
  <c r="DQ17" i="57"/>
  <c r="DY17" i="57" s="1"/>
  <c r="DS32" i="57"/>
  <c r="EA32" i="57" s="1"/>
  <c r="DY14" i="57"/>
  <c r="EG30" i="57"/>
  <c r="FU31" i="57" s="1"/>
  <c r="DQ30" i="57"/>
  <c r="DY30" i="57" s="1"/>
  <c r="DQ32" i="57"/>
  <c r="DY32" i="57" s="1"/>
  <c r="EH72" i="54"/>
  <c r="EK68" i="54"/>
  <c r="EL84" i="54" s="1"/>
  <c r="G548" i="54"/>
  <c r="H548" i="54"/>
  <c r="F704" i="54"/>
  <c r="V548" i="54" s="1"/>
  <c r="F706" i="54"/>
  <c r="E706" i="54"/>
  <c r="Y548" i="54" s="1"/>
  <c r="E704" i="54"/>
  <c r="U548" i="54" s="1"/>
  <c r="M406" i="54"/>
  <c r="M408" i="54" s="1"/>
  <c r="M415" i="54" s="1"/>
  <c r="G81" i="54"/>
  <c r="E83" i="54" s="1"/>
  <c r="AT141" i="54"/>
  <c r="AX141" i="54"/>
  <c r="AV151" i="54"/>
  <c r="AT161" i="54"/>
  <c r="AX161" i="54"/>
  <c r="O567" i="54"/>
  <c r="J79" i="54"/>
  <c r="Z580" i="54"/>
  <c r="Z582" i="54" s="1"/>
  <c r="Z589" i="54"/>
  <c r="X591" i="54" s="1"/>
  <c r="AP31" i="32"/>
  <c r="AR31" i="32" s="1"/>
  <c r="AX31" i="32"/>
  <c r="CF31" i="32"/>
  <c r="AP34" i="32"/>
  <c r="AR34" i="32" s="1"/>
  <c r="AX34" i="32"/>
  <c r="CF34" i="32"/>
  <c r="AP20" i="32"/>
  <c r="AR20" i="32" s="1"/>
  <c r="AX20" i="32"/>
  <c r="CF20" i="32"/>
  <c r="AN20" i="32"/>
  <c r="AV20" i="32"/>
  <c r="AN31" i="32"/>
  <c r="AV31" i="32"/>
  <c r="AN34" i="32"/>
  <c r="AV34" i="32"/>
  <c r="AM27" i="32"/>
  <c r="AM23" i="32"/>
  <c r="AM28" i="32"/>
  <c r="AM24" i="32"/>
  <c r="K32" i="33"/>
  <c r="P21" i="32"/>
  <c r="P23" i="32"/>
  <c r="Q23" i="32"/>
  <c r="Q29" i="32" s="1"/>
  <c r="B3" i="32" s="1"/>
  <c r="R23" i="32"/>
  <c r="R29" i="32" s="1"/>
  <c r="B4" i="32" s="1"/>
  <c r="C7" i="44"/>
  <c r="J36" i="23"/>
  <c r="L36" i="23"/>
  <c r="P36" i="23"/>
  <c r="L32" i="23"/>
  <c r="P32" i="23"/>
  <c r="J32" i="23"/>
  <c r="J34" i="23"/>
  <c r="L34" i="23"/>
  <c r="P34" i="23"/>
  <c r="AB9" i="29"/>
  <c r="D7" i="44" s="1"/>
  <c r="S12" i="29"/>
  <c r="W12" i="29"/>
  <c r="B14" i="29"/>
  <c r="K15" i="29"/>
  <c r="I13" i="29"/>
  <c r="J13" i="29" s="1"/>
  <c r="AA7" i="23" a="1"/>
  <c r="AA10" i="23" s="1" a="1"/>
  <c r="F19" i="23"/>
  <c r="AN7" i="23" a="1"/>
  <c r="AN10" i="23" s="1" a="1"/>
  <c r="X10" i="23" a="1"/>
  <c r="AD7" i="23" a="1"/>
  <c r="AD10" i="23" s="1" a="1"/>
  <c r="AI7" i="23" a="1"/>
  <c r="AI10" i="23" s="1" a="1"/>
  <c r="AR7" i="23" a="1"/>
  <c r="AR10" i="23" s="1" a="1"/>
  <c r="AG7" i="23" a="1"/>
  <c r="AG10" i="23" s="1" a="1"/>
  <c r="AM7" i="23" a="1"/>
  <c r="AM10" i="23" s="1" a="1"/>
  <c r="AT7" i="23" a="1"/>
  <c r="AT10" i="23" s="1" a="1"/>
  <c r="AL7" i="23" a="1"/>
  <c r="AL10" i="23" s="1" a="1"/>
  <c r="AF7" i="23" a="1"/>
  <c r="AF10" i="23" s="1" a="1"/>
  <c r="AC7" i="23" a="1"/>
  <c r="AC10" i="23" s="1" a="1"/>
  <c r="AP7" i="23" a="1"/>
  <c r="AP10" i="23" s="1" a="1"/>
  <c r="AK7" i="23" a="1"/>
  <c r="AK10" i="23" s="1" a="1"/>
  <c r="AU7" i="23" a="1"/>
  <c r="AU10" i="23" s="1" a="1"/>
  <c r="AQ7" i="23" a="1"/>
  <c r="AQ10" i="23" s="1" a="1"/>
  <c r="AO7" i="23" a="1"/>
  <c r="AO10" i="23" s="1" a="1"/>
  <c r="AH7" i="23" a="1"/>
  <c r="AH10" i="23" s="1" a="1"/>
  <c r="AJ7" i="23" a="1"/>
  <c r="AJ10" i="23" s="1" a="1"/>
  <c r="AB7" i="23" a="1"/>
  <c r="AB10" i="23" s="1" a="1"/>
  <c r="AS7" i="23" a="1"/>
  <c r="AS10" i="23" s="1" a="1"/>
  <c r="Z7" i="23" a="1"/>
  <c r="Z10" i="23" s="1" a="1"/>
  <c r="AE7" i="23" a="1"/>
  <c r="AE10" i="23" s="1" a="1"/>
  <c r="Y7" i="23" a="1"/>
  <c r="Y10" i="23" s="1" a="1"/>
  <c r="R13" i="29" l="1"/>
  <c r="BW12" i="57"/>
  <c r="CF5" i="57" s="1"/>
  <c r="CJ5" i="57" s="1"/>
  <c r="CD23" i="57"/>
  <c r="CD22" i="57"/>
  <c r="CD21" i="57"/>
  <c r="CD20" i="57"/>
  <c r="CD19" i="57"/>
  <c r="CA19" i="57"/>
  <c r="BY19" i="57"/>
  <c r="BW19" i="57"/>
  <c r="CA18" i="57"/>
  <c r="BY18" i="57"/>
  <c r="BW18" i="57"/>
  <c r="CA17" i="57"/>
  <c r="BY17" i="57"/>
  <c r="BW17" i="57"/>
  <c r="CD16" i="57"/>
  <c r="CC16" i="57"/>
  <c r="CA16" i="57"/>
  <c r="BY16" i="57"/>
  <c r="BW16" i="57"/>
  <c r="CD15" i="57"/>
  <c r="CC15" i="57"/>
  <c r="CA15" i="57"/>
  <c r="BY15" i="57"/>
  <c r="BW15" i="57"/>
  <c r="CC14" i="57"/>
  <c r="CA14" i="57"/>
  <c r="BY14" i="57"/>
  <c r="BW14" i="57"/>
  <c r="EO28" i="57"/>
  <c r="FK28" i="57"/>
  <c r="FU28" i="57"/>
  <c r="EX28" i="57"/>
  <c r="DU46" i="57"/>
  <c r="EC46" i="57" s="1"/>
  <c r="DS47" i="57"/>
  <c r="EA47" i="57" s="1"/>
  <c r="DQ43" i="57"/>
  <c r="DY43" i="57" s="1"/>
  <c r="DU42" i="57"/>
  <c r="EC42" i="57" s="1"/>
  <c r="DU47" i="57"/>
  <c r="EC47" i="57" s="1"/>
  <c r="DQ47" i="57"/>
  <c r="DY47" i="57" s="1"/>
  <c r="DQ45" i="57"/>
  <c r="DY45" i="57" s="1"/>
  <c r="DQ44" i="57"/>
  <c r="DY44" i="57" s="1"/>
  <c r="DU43" i="57"/>
  <c r="EC43" i="57" s="1"/>
  <c r="DS44" i="57"/>
  <c r="EA44" i="57" s="1"/>
  <c r="DS46" i="57"/>
  <c r="EA46" i="57" s="1"/>
  <c r="DU45" i="57"/>
  <c r="EC45" i="57" s="1"/>
  <c r="DS42" i="57"/>
  <c r="EA42" i="57" s="1"/>
  <c r="DQ46" i="57"/>
  <c r="DY46" i="57" s="1"/>
  <c r="DU44" i="57"/>
  <c r="EC44" i="57" s="1"/>
  <c r="DS43" i="57"/>
  <c r="EA43" i="57" s="1"/>
  <c r="DS45" i="57"/>
  <c r="EA45" i="57" s="1"/>
  <c r="EO14" i="57"/>
  <c r="FK14" i="57"/>
  <c r="FU14" i="57"/>
  <c r="EX14" i="57"/>
  <c r="EX31" i="57"/>
  <c r="EX45" i="57"/>
  <c r="FU45" i="57"/>
  <c r="DQ42" i="57"/>
  <c r="F49" i="23"/>
  <c r="G49" i="23" s="1"/>
  <c r="EJ72" i="54"/>
  <c r="EM68" i="54"/>
  <c r="EN84" i="54" s="1"/>
  <c r="L417" i="54"/>
  <c r="AU126" i="54" s="1"/>
  <c r="AU156" i="54" s="1"/>
  <c r="H572" i="54"/>
  <c r="Z548" i="54"/>
  <c r="R94" i="54"/>
  <c r="Q94" i="54"/>
  <c r="E85" i="54"/>
  <c r="E87" i="54" s="1"/>
  <c r="E89" i="54" s="1"/>
  <c r="E92" i="54" s="1"/>
  <c r="Q85" i="54"/>
  <c r="Q87" i="54" s="1"/>
  <c r="R85" i="54"/>
  <c r="R87" i="54" s="1"/>
  <c r="P94" i="54"/>
  <c r="O94" i="54"/>
  <c r="P85" i="54"/>
  <c r="P87" i="54" s="1"/>
  <c r="P89" i="54" s="1"/>
  <c r="P92" i="54" s="1"/>
  <c r="O85" i="54"/>
  <c r="O87" i="54" s="1"/>
  <c r="N94" i="54"/>
  <c r="M94" i="54"/>
  <c r="N85" i="54"/>
  <c r="N87" i="54" s="1"/>
  <c r="N89" i="54" s="1"/>
  <c r="N92" i="54" s="1"/>
  <c r="M85" i="54"/>
  <c r="M87" i="54" s="1"/>
  <c r="M89" i="54" s="1"/>
  <c r="M92" i="54" s="1"/>
  <c r="D113" i="54"/>
  <c r="L94" i="54"/>
  <c r="L85" i="54"/>
  <c r="L87" i="54" s="1"/>
  <c r="L89" i="54" s="1"/>
  <c r="L92" i="54" s="1"/>
  <c r="K94" i="54"/>
  <c r="K85" i="54"/>
  <c r="K87" i="54" s="1"/>
  <c r="K89" i="54" s="1"/>
  <c r="K92" i="54" s="1"/>
  <c r="V561" i="54"/>
  <c r="V563" i="54" s="1"/>
  <c r="V565" i="54" s="1"/>
  <c r="V554" i="54"/>
  <c r="H561" i="54"/>
  <c r="H563" i="54" s="1"/>
  <c r="H554" i="54"/>
  <c r="H556" i="54" s="1"/>
  <c r="H558" i="54" s="1"/>
  <c r="H565" i="54" s="1"/>
  <c r="F567" i="54" s="1"/>
  <c r="H585" i="54"/>
  <c r="H587" i="54" s="1"/>
  <c r="H578" i="54"/>
  <c r="H580" i="54" s="1"/>
  <c r="H582" i="54" s="1"/>
  <c r="Z561" i="54"/>
  <c r="Z563" i="54" s="1"/>
  <c r="Z554" i="54"/>
  <c r="I85" i="54"/>
  <c r="I87" i="54" s="1"/>
  <c r="J85" i="54"/>
  <c r="J87" i="54" s="1"/>
  <c r="J89" i="54" s="1"/>
  <c r="J92" i="54" s="1"/>
  <c r="I89" i="54"/>
  <c r="I92" i="54" s="1"/>
  <c r="D116" i="54"/>
  <c r="D94" i="54"/>
  <c r="E94" i="54"/>
  <c r="F94" i="54"/>
  <c r="G94" i="54"/>
  <c r="H94" i="54"/>
  <c r="I94" i="54"/>
  <c r="J94" i="54"/>
  <c r="D85" i="54"/>
  <c r="D87" i="54" s="1"/>
  <c r="D89" i="54" s="1"/>
  <c r="D92" i="54" s="1"/>
  <c r="F85" i="54"/>
  <c r="F87" i="54" s="1"/>
  <c r="F89" i="54" s="1"/>
  <c r="F92" i="54" s="1"/>
  <c r="H85" i="54"/>
  <c r="H87" i="54" s="1"/>
  <c r="H89" i="54" s="1"/>
  <c r="H92" i="54" s="1"/>
  <c r="G85" i="54"/>
  <c r="G87" i="54" s="1"/>
  <c r="AY115" i="54"/>
  <c r="AY145" i="54" s="1"/>
  <c r="CO31" i="32"/>
  <c r="CQ31" i="32"/>
  <c r="CI31" i="32"/>
  <c r="CK31" i="32" s="1"/>
  <c r="AT34" i="32"/>
  <c r="CG34" i="32"/>
  <c r="CM34" i="32" s="1"/>
  <c r="CI34" i="32"/>
  <c r="CK34" i="32" s="1"/>
  <c r="CQ34" i="32"/>
  <c r="CO34" i="32"/>
  <c r="AT31" i="32"/>
  <c r="CG31" i="32"/>
  <c r="CM31" i="32" s="1"/>
  <c r="AV27" i="32"/>
  <c r="CF27" i="32"/>
  <c r="CI27" i="32" s="1"/>
  <c r="AV23" i="32"/>
  <c r="CF23" i="32"/>
  <c r="CI23" i="32" s="1"/>
  <c r="AP24" i="32"/>
  <c r="AX23" i="32"/>
  <c r="CF24" i="32"/>
  <c r="CI20" i="32"/>
  <c r="CK20" i="32" s="1"/>
  <c r="CO20" i="32"/>
  <c r="CQ20" i="32"/>
  <c r="AP28" i="32"/>
  <c r="AX27" i="32"/>
  <c r="CF28" i="32"/>
  <c r="AT20" i="32"/>
  <c r="CG20" i="32"/>
  <c r="CM20" i="32" s="1"/>
  <c r="AP27" i="32"/>
  <c r="AP23" i="32"/>
  <c r="AR23" i="32" s="1"/>
  <c r="AN27" i="32"/>
  <c r="CG27" i="32" s="1"/>
  <c r="AN24" i="32"/>
  <c r="CG24" i="32" s="1"/>
  <c r="AN23" i="32"/>
  <c r="CG23" i="32" s="1"/>
  <c r="AN28" i="32"/>
  <c r="CG28" i="32" s="1"/>
  <c r="P29" i="32"/>
  <c r="B2" i="32" s="1"/>
  <c r="K34" i="33"/>
  <c r="C4" i="32"/>
  <c r="G11" i="33" s="1"/>
  <c r="F11" i="33"/>
  <c r="F27" i="33" s="1"/>
  <c r="C3" i="32"/>
  <c r="G10" i="33" s="1"/>
  <c r="F10" i="33"/>
  <c r="K36" i="33"/>
  <c r="C10" i="40"/>
  <c r="F48" i="23"/>
  <c r="G48" i="23" s="1"/>
  <c r="F47" i="23"/>
  <c r="G47" i="23" s="1"/>
  <c r="AN31" i="23"/>
  <c r="AH31" i="23"/>
  <c r="AP31" i="23"/>
  <c r="AB31" i="23"/>
  <c r="AT31" i="23"/>
  <c r="AR31" i="23"/>
  <c r="AJ31" i="23"/>
  <c r="AD31" i="23"/>
  <c r="AL31" i="23"/>
  <c r="AF31" i="23"/>
  <c r="Z31" i="23"/>
  <c r="X31" i="23"/>
  <c r="AM30" i="23"/>
  <c r="AS30" i="23"/>
  <c r="AE30" i="23"/>
  <c r="AH30" i="23"/>
  <c r="AC30" i="23"/>
  <c r="AR30" i="23"/>
  <c r="AG30" i="23"/>
  <c r="AI30" i="23"/>
  <c r="AK30" i="23"/>
  <c r="AL30" i="23"/>
  <c r="AJ30" i="23"/>
  <c r="Y30" i="23"/>
  <c r="AN30" i="23"/>
  <c r="X30" i="23"/>
  <c r="AT30" i="23"/>
  <c r="AP30" i="23"/>
  <c r="AQ30" i="23"/>
  <c r="AU30" i="23"/>
  <c r="AA30" i="23"/>
  <c r="AO30" i="23"/>
  <c r="AD30" i="23"/>
  <c r="Z30" i="23"/>
  <c r="AB30" i="23"/>
  <c r="AF30" i="23"/>
  <c r="X32" i="23"/>
  <c r="AT32" i="23"/>
  <c r="AL32" i="23"/>
  <c r="Z32" i="23"/>
  <c r="AP32" i="23"/>
  <c r="AR32" i="23"/>
  <c r="AB32" i="23"/>
  <c r="AF32" i="23"/>
  <c r="AN32" i="23"/>
  <c r="AD32" i="23"/>
  <c r="AJ32" i="23"/>
  <c r="AH32" i="23"/>
  <c r="X12" i="29"/>
  <c r="D10" i="40" s="1"/>
  <c r="AA12" i="29"/>
  <c r="S13" i="29"/>
  <c r="B15" i="29"/>
  <c r="F15" i="29" s="1"/>
  <c r="G15" i="29" s="1"/>
  <c r="K16" i="29"/>
  <c r="B15" i="16"/>
  <c r="B16" i="29" l="1"/>
  <c r="F16" i="29" s="1"/>
  <c r="G16" i="29" s="1"/>
  <c r="K17" i="29"/>
  <c r="DY42" i="57"/>
  <c r="EO42" i="57"/>
  <c r="EZ31" i="57"/>
  <c r="FB28" i="57"/>
  <c r="FD28" i="57" s="1"/>
  <c r="FF28" i="57" s="1"/>
  <c r="EZ17" i="57"/>
  <c r="FB14" i="57"/>
  <c r="FD14" i="57" s="1"/>
  <c r="FF14" i="57" s="1"/>
  <c r="EL72" i="54"/>
  <c r="EO68" i="54"/>
  <c r="EP84" i="54" s="1"/>
  <c r="H589" i="54"/>
  <c r="F591" i="54" s="1"/>
  <c r="AS115" i="54" s="1"/>
  <c r="AS145" i="54" s="1"/>
  <c r="AS126" i="54"/>
  <c r="AS156" i="54" s="1"/>
  <c r="Z556" i="54"/>
  <c r="Z558" i="54" s="1"/>
  <c r="Z565" i="54" s="1"/>
  <c r="X567" i="54" s="1"/>
  <c r="G89" i="54"/>
  <c r="G92" i="54" s="1"/>
  <c r="AT23" i="32"/>
  <c r="AR27" i="32"/>
  <c r="AR17" i="32" s="1" a="1"/>
  <c r="AT27" i="32"/>
  <c r="AX17" i="32" a="1"/>
  <c r="CQ23" i="32"/>
  <c r="CO23" i="32"/>
  <c r="CI24" i="32"/>
  <c r="CK23" i="32"/>
  <c r="CM23" i="32"/>
  <c r="CM27" i="32"/>
  <c r="CO27" i="32"/>
  <c r="CQ27" i="32"/>
  <c r="CI28" i="32"/>
  <c r="CK27" i="32" s="1"/>
  <c r="AV17" i="32" a="1"/>
  <c r="B8" i="32"/>
  <c r="F31" i="33" s="1"/>
  <c r="F39" i="33" s="1" a="1"/>
  <c r="C2" i="32"/>
  <c r="G12" i="33" s="1"/>
  <c r="C8" i="32"/>
  <c r="G31" i="33" s="1"/>
  <c r="B9" i="32"/>
  <c r="F32" i="33" s="1"/>
  <c r="F40" i="33" s="1" a="1"/>
  <c r="F12" i="33"/>
  <c r="F25" i="33" s="1"/>
  <c r="Z5" i="33"/>
  <c r="AP5" i="33"/>
  <c r="AB5" i="33"/>
  <c r="AT5" i="33"/>
  <c r="AJ5" i="33"/>
  <c r="AR5" i="33"/>
  <c r="AN5" i="33"/>
  <c r="AF5" i="33"/>
  <c r="AL5" i="33"/>
  <c r="AD5" i="33"/>
  <c r="X5" i="33"/>
  <c r="X6" i="33" s="1" a="1"/>
  <c r="AH5" i="33"/>
  <c r="F26" i="33"/>
  <c r="J34" i="33"/>
  <c r="U31" i="33"/>
  <c r="U30" i="33"/>
  <c r="C7" i="32"/>
  <c r="G30" i="33" s="1"/>
  <c r="B7" i="32"/>
  <c r="F30" i="33" s="1"/>
  <c r="C10" i="44"/>
  <c r="AB12" i="29"/>
  <c r="D10" i="44" s="1"/>
  <c r="H16" i="29"/>
  <c r="H15" i="29"/>
  <c r="E15" i="16"/>
  <c r="D15" i="16"/>
  <c r="I15" i="29" l="1"/>
  <c r="J15" i="29" s="1"/>
  <c r="R15" i="29"/>
  <c r="I16" i="29"/>
  <c r="J16" i="29" s="1"/>
  <c r="R16" i="29"/>
  <c r="K18" i="29"/>
  <c r="B17" i="29"/>
  <c r="GD14" i="57"/>
  <c r="FQ14" i="57"/>
  <c r="FS14" i="57" s="1"/>
  <c r="FH28" i="57"/>
  <c r="GC28" i="57" s="1"/>
  <c r="FM28" i="57"/>
  <c r="FU42" i="57"/>
  <c r="FK42" i="57"/>
  <c r="EX42" i="57"/>
  <c r="GD28" i="57"/>
  <c r="FQ28" i="57"/>
  <c r="FS28" i="57" s="1"/>
  <c r="FH14" i="57"/>
  <c r="GC14" i="57" s="1"/>
  <c r="FK17" i="57"/>
  <c r="FF17" i="57"/>
  <c r="ER14" i="57"/>
  <c r="ET14" i="57" s="1"/>
  <c r="FB17" i="57"/>
  <c r="FK31" i="57"/>
  <c r="FB31" i="57"/>
  <c r="ER28" i="57"/>
  <c r="ET28" i="57" s="1"/>
  <c r="FF31" i="57"/>
  <c r="FM14" i="57"/>
  <c r="EN72" i="54"/>
  <c r="EQ68" i="54"/>
  <c r="ER84" i="54" s="1"/>
  <c r="AT17" i="32" a="1"/>
  <c r="CQ17" i="32" a="1"/>
  <c r="CO17" i="32" a="1"/>
  <c r="CM17" i="32" a="1"/>
  <c r="CK17" i="32" a="1"/>
  <c r="L36" i="33"/>
  <c r="L34" i="33"/>
  <c r="U32" i="33"/>
  <c r="C9" i="32"/>
  <c r="G32" i="33" s="1"/>
  <c r="F38" i="33" a="1"/>
  <c r="F14" i="33"/>
  <c r="F17" i="33" s="1"/>
  <c r="F36" i="33"/>
  <c r="AP6" i="33" a="1"/>
  <c r="Z6" i="33" a="1"/>
  <c r="AH6" i="33" a="1"/>
  <c r="P32" i="33"/>
  <c r="L32" i="33"/>
  <c r="J32" i="33"/>
  <c r="AF6" i="33" a="1"/>
  <c r="AN6" i="33" a="1"/>
  <c r="AR6" i="33" a="1"/>
  <c r="AD6" i="33" a="1"/>
  <c r="AJ6" i="33" a="1"/>
  <c r="AT6" i="33" a="1"/>
  <c r="P36" i="33"/>
  <c r="AL6" i="33" a="1"/>
  <c r="P34" i="33"/>
  <c r="AB6" i="33" a="1"/>
  <c r="AH31" i="33"/>
  <c r="AP31" i="33"/>
  <c r="AD31" i="33"/>
  <c r="Z31" i="33"/>
  <c r="AL31" i="33"/>
  <c r="AJ31" i="33"/>
  <c r="AB31" i="33"/>
  <c r="X31" i="33"/>
  <c r="AR31" i="33"/>
  <c r="AT31" i="33"/>
  <c r="AF31" i="33"/>
  <c r="AN31" i="33"/>
  <c r="AA15" i="29"/>
  <c r="O15" i="16"/>
  <c r="N15" i="16"/>
  <c r="K19" i="29" l="1"/>
  <c r="B19" i="29" s="1"/>
  <c r="F19" i="29" s="1"/>
  <c r="G19" i="29" s="1"/>
  <c r="B18" i="29"/>
  <c r="F18" i="29" s="1"/>
  <c r="G18" i="29" s="1"/>
  <c r="FH17" i="57"/>
  <c r="GC17" i="57" s="1"/>
  <c r="FD17" i="57"/>
  <c r="FM17" i="57" s="1"/>
  <c r="FB42" i="57"/>
  <c r="FD42" i="57" s="1"/>
  <c r="FF42" i="57" s="1"/>
  <c r="EZ45" i="57"/>
  <c r="GG28" i="57"/>
  <c r="FO28" i="57"/>
  <c r="GF28" i="57" s="1"/>
  <c r="FH31" i="57"/>
  <c r="GC31" i="57" s="1"/>
  <c r="FD31" i="57"/>
  <c r="FM31" i="57" s="1"/>
  <c r="AZ19" i="57"/>
  <c r="AZ21" i="57" s="1"/>
  <c r="AS12" i="57"/>
  <c r="GD17" i="57"/>
  <c r="GM14" i="57" s="1"/>
  <c r="GZ15" i="57" s="1"/>
  <c r="AZ15" i="57" s="1"/>
  <c r="FQ17" i="57"/>
  <c r="FS17" i="57" s="1"/>
  <c r="GA28" i="57"/>
  <c r="FY28" i="57"/>
  <c r="GG14" i="57"/>
  <c r="FO14" i="57"/>
  <c r="GF14" i="57" s="1"/>
  <c r="FY14" i="57" s="1"/>
  <c r="AZ33" i="57"/>
  <c r="AZ35" i="57" s="1"/>
  <c r="AS26" i="57"/>
  <c r="BC5" i="57" s="1"/>
  <c r="BG5" i="57" s="1"/>
  <c r="GD31" i="57"/>
  <c r="GM28" i="57" s="1"/>
  <c r="GZ29" i="57" s="1"/>
  <c r="AZ29" i="57" s="1"/>
  <c r="FQ31" i="57"/>
  <c r="FS31" i="57" s="1"/>
  <c r="FH42" i="57"/>
  <c r="GC42" i="57" s="1"/>
  <c r="FM42" i="57"/>
  <c r="EP72" i="54"/>
  <c r="ES68" i="54"/>
  <c r="ET84" i="54" s="1"/>
  <c r="E679" i="54"/>
  <c r="F650" i="54" s="1"/>
  <c r="E677" i="54"/>
  <c r="E656" i="54"/>
  <c r="E658" i="54" s="1"/>
  <c r="E660" i="54" s="1"/>
  <c r="E654" i="54"/>
  <c r="O649" i="54"/>
  <c r="K9" i="54"/>
  <c r="K11" i="54" s="1"/>
  <c r="K13" i="54" s="1"/>
  <c r="K7" i="54"/>
  <c r="F16" i="33"/>
  <c r="F18" i="33"/>
  <c r="J36" i="33"/>
  <c r="Z32" i="33" s="1"/>
  <c r="X30" i="33"/>
  <c r="AF30" i="33"/>
  <c r="AM30" i="33"/>
  <c r="Z30" i="33"/>
  <c r="AR30" i="33"/>
  <c r="AT30" i="33"/>
  <c r="AH30" i="33"/>
  <c r="AK30" i="33"/>
  <c r="AS30" i="33"/>
  <c r="AB30" i="33"/>
  <c r="AN30" i="33"/>
  <c r="AI30" i="33"/>
  <c r="AG30" i="33"/>
  <c r="AE30" i="33"/>
  <c r="AJ30" i="33"/>
  <c r="AP30" i="33"/>
  <c r="AO30" i="33"/>
  <c r="AU30" i="33"/>
  <c r="AC30" i="33"/>
  <c r="AQ30" i="33"/>
  <c r="AD30" i="33"/>
  <c r="AL30" i="33"/>
  <c r="Y30" i="33"/>
  <c r="AA30" i="33"/>
  <c r="W15" i="29"/>
  <c r="R22" i="29"/>
  <c r="E4" i="45" s="1"/>
  <c r="C13" i="44"/>
  <c r="D5" i="42"/>
  <c r="S15" i="29"/>
  <c r="S16" i="29"/>
  <c r="H18" i="29" l="1"/>
  <c r="I18" i="29"/>
  <c r="J18" i="29" s="1"/>
  <c r="J20" i="29" s="1"/>
  <c r="K20" i="29" s="1"/>
  <c r="B23" i="29" s="1"/>
  <c r="B28" i="29" s="1"/>
  <c r="H19" i="29"/>
  <c r="C13" i="40"/>
  <c r="FO17" i="57"/>
  <c r="GF17" i="57" s="1"/>
  <c r="GO14" i="57" s="1"/>
  <c r="GY16" i="57" s="1"/>
  <c r="AY16" i="57" s="1"/>
  <c r="GG17" i="57"/>
  <c r="GP14" i="57" s="1"/>
  <c r="GZ16" i="57" s="1"/>
  <c r="AZ16" i="57" s="1"/>
  <c r="GG31" i="57"/>
  <c r="GP28" i="57" s="1"/>
  <c r="GZ30" i="57" s="1"/>
  <c r="AZ30" i="57" s="1"/>
  <c r="FO31" i="57"/>
  <c r="GF31" i="57" s="1"/>
  <c r="GO28" i="57" s="1"/>
  <c r="GY30" i="57" s="1"/>
  <c r="AY30" i="57" s="1"/>
  <c r="GG42" i="57"/>
  <c r="FO42" i="57"/>
  <c r="GF42" i="57" s="1"/>
  <c r="FY42" i="57" s="1"/>
  <c r="BB5" i="57"/>
  <c r="BF5" i="57" s="1"/>
  <c r="GA31" i="57"/>
  <c r="GJ28" i="57" s="1"/>
  <c r="FY31" i="57"/>
  <c r="GL28" i="57"/>
  <c r="GY29" i="57" s="1"/>
  <c r="AY29" i="57" s="1"/>
  <c r="AZ36" i="57" s="1"/>
  <c r="FK45" i="57"/>
  <c r="FF45" i="57"/>
  <c r="ER42" i="57"/>
  <c r="ET42" i="57" s="1"/>
  <c r="FB45" i="57"/>
  <c r="GD42" i="57"/>
  <c r="GA42" i="57" s="1"/>
  <c r="FQ42" i="57"/>
  <c r="FS42" i="57" s="1"/>
  <c r="GL14" i="57"/>
  <c r="GY15" i="57" s="1"/>
  <c r="AY15" i="57" s="1"/>
  <c r="GA14" i="57"/>
  <c r="EU68" i="54"/>
  <c r="ER72" i="54"/>
  <c r="S649" i="54"/>
  <c r="AB116" i="54"/>
  <c r="R95" i="54" s="1"/>
  <c r="O662" i="54"/>
  <c r="O664" i="54" s="1"/>
  <c r="O655" i="54"/>
  <c r="H671" i="54"/>
  <c r="H673" i="54" s="1"/>
  <c r="H675" i="54" s="1"/>
  <c r="H665" i="54"/>
  <c r="H667" i="54" s="1"/>
  <c r="H669" i="54" s="1"/>
  <c r="D650" i="54"/>
  <c r="S662" i="54"/>
  <c r="S664" i="54" s="1"/>
  <c r="S655" i="54"/>
  <c r="S657" i="54" s="1"/>
  <c r="S659" i="54" s="1"/>
  <c r="N18" i="54"/>
  <c r="N20" i="54" s="1"/>
  <c r="N22" i="54" s="1"/>
  <c r="N26" i="54"/>
  <c r="N28" i="54" s="1"/>
  <c r="N30" i="54" s="1"/>
  <c r="N33" i="54" s="1"/>
  <c r="AH32" i="33"/>
  <c r="AP32" i="33"/>
  <c r="F19" i="33"/>
  <c r="D5" i="38"/>
  <c r="D6" i="38" s="1"/>
  <c r="G14" i="38" s="1"/>
  <c r="X32" i="33"/>
  <c r="AN32" i="33"/>
  <c r="AL32" i="33"/>
  <c r="AT32" i="33"/>
  <c r="AD32" i="33"/>
  <c r="AR32" i="33"/>
  <c r="AB32" i="33"/>
  <c r="AF32" i="33"/>
  <c r="AJ32" i="33"/>
  <c r="D6" i="42"/>
  <c r="AB16" i="42" s="1"/>
  <c r="F6" i="42"/>
  <c r="B7" i="47"/>
  <c r="H13" i="46"/>
  <c r="F19" i="37"/>
  <c r="F66" i="37" s="1"/>
  <c r="C16" i="37"/>
  <c r="C57" i="37" s="1"/>
  <c r="Z10" i="35"/>
  <c r="Z11" i="35"/>
  <c r="AB15" i="29"/>
  <c r="D13" i="44" s="1"/>
  <c r="X15" i="29"/>
  <c r="D13" i="40" s="1"/>
  <c r="I19" i="29" l="1"/>
  <c r="J19" i="29" s="1"/>
  <c r="R18" i="29"/>
  <c r="AZ22" i="57"/>
  <c r="FH45" i="57"/>
  <c r="GC45" i="57" s="1"/>
  <c r="FD45" i="57"/>
  <c r="FY17" i="57"/>
  <c r="AZ47" i="57"/>
  <c r="AS40" i="57"/>
  <c r="GA17" i="57"/>
  <c r="GJ14" i="57" s="1"/>
  <c r="FQ45" i="57"/>
  <c r="FS45" i="57" s="1"/>
  <c r="GD45" i="57"/>
  <c r="GM42" i="57" s="1"/>
  <c r="GZ43" i="57" s="1"/>
  <c r="AZ43" i="57" s="1"/>
  <c r="CD43" i="57" s="1"/>
  <c r="FM45" i="57"/>
  <c r="AZ37" i="57"/>
  <c r="GY28" i="57"/>
  <c r="AY28" i="57" s="1"/>
  <c r="ET72" i="54"/>
  <c r="CN74" i="54" s="1"/>
  <c r="CN76" i="54" s="1"/>
  <c r="FA13" i="54" s="1"/>
  <c r="EV84" i="54"/>
  <c r="K649" i="54"/>
  <c r="AA116" i="54"/>
  <c r="Q95" i="54" s="1"/>
  <c r="S666" i="54"/>
  <c r="Q668" i="54" s="1"/>
  <c r="R79" i="54" s="1"/>
  <c r="R89" i="54" s="1"/>
  <c r="R92" i="54" s="1"/>
  <c r="K662" i="54"/>
  <c r="K664" i="54" s="1"/>
  <c r="K666" i="54" s="1"/>
  <c r="K655" i="54"/>
  <c r="H677" i="54"/>
  <c r="H680" i="54" s="1"/>
  <c r="O657" i="54"/>
  <c r="O659" i="54" s="1"/>
  <c r="O666" i="54"/>
  <c r="M668" i="54" s="1"/>
  <c r="K617" i="54"/>
  <c r="K619" i="54" s="1"/>
  <c r="K621" i="54" s="1"/>
  <c r="K610" i="54"/>
  <c r="O612" i="54" s="1"/>
  <c r="O614" i="54" s="1"/>
  <c r="O621" i="54" s="1"/>
  <c r="N35" i="54"/>
  <c r="N37" i="54"/>
  <c r="N39" i="54" s="1"/>
  <c r="G16" i="38"/>
  <c r="AW33" i="38" s="1"/>
  <c r="AB14" i="38"/>
  <c r="V16" i="38"/>
  <c r="AC16" i="38" s="1"/>
  <c r="G12" i="38"/>
  <c r="F39" i="37" s="1"/>
  <c r="F71" i="37" s="1"/>
  <c r="AW9" i="35"/>
  <c r="V14" i="38"/>
  <c r="AC14" i="38" s="1"/>
  <c r="M14" i="38"/>
  <c r="AD14" i="38"/>
  <c r="D7" i="38"/>
  <c r="AD16" i="38"/>
  <c r="AB16" i="38"/>
  <c r="M14" i="42"/>
  <c r="AD16" i="42"/>
  <c r="G16" i="42"/>
  <c r="H16" i="42" s="1"/>
  <c r="AD14" i="42"/>
  <c r="G12" i="42"/>
  <c r="G14" i="42"/>
  <c r="Y14" i="42" s="1"/>
  <c r="V16" i="42"/>
  <c r="AC16" i="42" s="1"/>
  <c r="V14" i="42"/>
  <c r="AC14" i="42" s="1"/>
  <c r="AB14" i="42"/>
  <c r="D7" i="42"/>
  <c r="AZ48" i="46"/>
  <c r="CD48" i="46" s="1"/>
  <c r="AZ20" i="46"/>
  <c r="CD20" i="46" s="1"/>
  <c r="AZ34" i="46"/>
  <c r="CD34" i="46" s="1"/>
  <c r="AW19" i="38"/>
  <c r="Y14" i="38"/>
  <c r="H14" i="38"/>
  <c r="J16" i="38"/>
  <c r="J14" i="38"/>
  <c r="L14" i="38"/>
  <c r="O14" i="38" s="1"/>
  <c r="Q14" i="38" s="1"/>
  <c r="S14" i="38" s="1"/>
  <c r="U14" i="38" s="1"/>
  <c r="X14" i="38" s="1"/>
  <c r="L16" i="38"/>
  <c r="O16" i="38" s="1"/>
  <c r="Q16" i="38" s="1"/>
  <c r="S16" i="38" s="1"/>
  <c r="U16" i="38" s="1"/>
  <c r="X16" i="38" s="1"/>
  <c r="C36" i="37"/>
  <c r="C59" i="37" s="1"/>
  <c r="AW10" i="35"/>
  <c r="S18" i="29" l="1"/>
  <c r="W18" i="29"/>
  <c r="J21" i="29"/>
  <c r="K21" i="29" s="1"/>
  <c r="B24" i="29" s="1"/>
  <c r="B29" i="29" s="1"/>
  <c r="R19" i="29"/>
  <c r="CD47" i="57"/>
  <c r="AZ49" i="57"/>
  <c r="GG45" i="57"/>
  <c r="GP42" i="57" s="1"/>
  <c r="GZ44" i="57" s="1"/>
  <c r="AZ44" i="57" s="1"/>
  <c r="CD44" i="57" s="1"/>
  <c r="FO45" i="57"/>
  <c r="GF45" i="57" s="1"/>
  <c r="GO42" i="57" s="1"/>
  <c r="GY44" i="57" s="1"/>
  <c r="AY44" i="57" s="1"/>
  <c r="CC44" i="57" s="1"/>
  <c r="AZ23" i="57"/>
  <c r="GY14" i="57"/>
  <c r="AY14" i="57" s="1"/>
  <c r="BD5" i="57"/>
  <c r="BH5" i="57" s="1"/>
  <c r="BW40" i="57"/>
  <c r="CH5" i="57" s="1"/>
  <c r="CL5" i="57" s="1"/>
  <c r="FY45" i="57"/>
  <c r="GA45" i="57"/>
  <c r="GJ42" i="57" s="1"/>
  <c r="GL42" i="57"/>
  <c r="GY43" i="57" s="1"/>
  <c r="AY43" i="57" s="1"/>
  <c r="CP86" i="54"/>
  <c r="FE13" i="54" s="1"/>
  <c r="CO13" i="54"/>
  <c r="FG12" i="54" s="1"/>
  <c r="FG13" i="54" s="1"/>
  <c r="FC48" i="54" s="1"/>
  <c r="FC50" i="54" s="1"/>
  <c r="Q79" i="54"/>
  <c r="Q89" i="54" s="1"/>
  <c r="Q92" i="54" s="1"/>
  <c r="O670" i="54"/>
  <c r="H684" i="54"/>
  <c r="H686" i="54" s="1"/>
  <c r="H682" i="54"/>
  <c r="M623" i="54"/>
  <c r="Y16" i="38"/>
  <c r="J14" i="42"/>
  <c r="H16" i="38"/>
  <c r="L14" i="42"/>
  <c r="O14" i="42" s="1"/>
  <c r="Q14" i="42" s="1"/>
  <c r="S14" i="42" s="1"/>
  <c r="U14" i="42" s="1"/>
  <c r="X14" i="42" s="1"/>
  <c r="Z14" i="42" s="1"/>
  <c r="AA14" i="42" s="1"/>
  <c r="AF14" i="42" s="1"/>
  <c r="AJ14" i="42" s="1"/>
  <c r="H14" i="42"/>
  <c r="Z14" i="38"/>
  <c r="AA14" i="38" s="1"/>
  <c r="AF14" i="38" s="1"/>
  <c r="AJ14" i="38" s="1"/>
  <c r="AT17" i="38" s="1"/>
  <c r="CD17" i="38" s="1"/>
  <c r="J16" i="42"/>
  <c r="AW19" i="42"/>
  <c r="Y16" i="42"/>
  <c r="L16" i="42"/>
  <c r="O16" i="42" s="1"/>
  <c r="Q16" i="42" s="1"/>
  <c r="S16" i="42" s="1"/>
  <c r="U16" i="42" s="1"/>
  <c r="X16" i="42" s="1"/>
  <c r="Z16" i="42" s="1"/>
  <c r="AA16" i="42" s="1"/>
  <c r="AF16" i="42" s="1"/>
  <c r="AJ16" i="42" s="1"/>
  <c r="AW33" i="42"/>
  <c r="BG13" i="38"/>
  <c r="BI16" i="38"/>
  <c r="BI18" i="38"/>
  <c r="AV13" i="39"/>
  <c r="BI14" i="38"/>
  <c r="Z16" i="38"/>
  <c r="AA16" i="38" s="1"/>
  <c r="AF16" i="38" s="1"/>
  <c r="AJ16" i="38" s="1"/>
  <c r="AW11" i="35"/>
  <c r="KI70" i="27"/>
  <c r="G16" i="15"/>
  <c r="S19" i="29" l="1"/>
  <c r="AA18" i="29"/>
  <c r="X18" i="29"/>
  <c r="W21" i="29"/>
  <c r="AZ51" i="57"/>
  <c r="GY42" i="57"/>
  <c r="AY42" i="57" s="1"/>
  <c r="CC42" i="57" s="1"/>
  <c r="AZ50" i="57"/>
  <c r="CC43" i="57"/>
  <c r="AZ8" i="57"/>
  <c r="BC8" i="57" s="1"/>
  <c r="BB8" i="57"/>
  <c r="CD49" i="57"/>
  <c r="AZ6" i="57"/>
  <c r="FC60" i="54"/>
  <c r="FC52" i="54"/>
  <c r="FC54" i="54" s="1"/>
  <c r="FC56" i="54" s="1"/>
  <c r="FC58" i="54" s="1"/>
  <c r="O79" i="54"/>
  <c r="O89" i="54" s="1"/>
  <c r="O92" i="54" s="1"/>
  <c r="J99" i="54" s="1" a="1"/>
  <c r="R104" i="54" s="1"/>
  <c r="O625" i="54"/>
  <c r="F99" i="54" a="1"/>
  <c r="G99" i="54" a="1"/>
  <c r="H99" i="54" a="1"/>
  <c r="I99" i="54" a="1"/>
  <c r="K99" i="54" a="1"/>
  <c r="L99" i="54" a="1"/>
  <c r="M99" i="54" a="1"/>
  <c r="N99" i="54" a="1"/>
  <c r="B140" i="54" s="1"/>
  <c r="D33" i="54" s="1"/>
  <c r="O99" i="54" a="1"/>
  <c r="P99" i="54" a="1"/>
  <c r="Q99" i="54" a="1"/>
  <c r="B146" i="54" s="1"/>
  <c r="D39" i="54" s="1"/>
  <c r="H98" i="54" a="1"/>
  <c r="K98" i="54" a="1"/>
  <c r="M98" i="54" a="1"/>
  <c r="N98" i="54" a="1"/>
  <c r="O98" i="54" a="1"/>
  <c r="P98" i="54" a="1"/>
  <c r="Q98" i="54" a="1"/>
  <c r="D146" i="54" s="1"/>
  <c r="AB146" i="54" s="1"/>
  <c r="R98" i="54" a="1"/>
  <c r="D98" i="54" a="1"/>
  <c r="D120" i="54" s="1"/>
  <c r="E97" i="54" a="1"/>
  <c r="C122" i="54" s="1"/>
  <c r="C15" i="54" s="1"/>
  <c r="F97" i="54" a="1"/>
  <c r="C124" i="54" s="1"/>
  <c r="C17" i="54" s="1"/>
  <c r="G97" i="54" a="1"/>
  <c r="H97" i="54" a="1"/>
  <c r="I97" i="54" a="1"/>
  <c r="J97" i="54" a="1"/>
  <c r="K97" i="54" a="1"/>
  <c r="L97" i="54" a="1"/>
  <c r="V103" i="54" s="1"/>
  <c r="M97" i="54" a="1"/>
  <c r="X103" i="54" s="1"/>
  <c r="N97" i="54" a="1"/>
  <c r="Z103" i="54" s="1"/>
  <c r="O97" i="54" a="1"/>
  <c r="P97" i="54" a="1"/>
  <c r="Q97" i="54" a="1"/>
  <c r="R97" i="54" a="1"/>
  <c r="D97" i="54" a="1"/>
  <c r="C120" i="54" s="1"/>
  <c r="AT16" i="38"/>
  <c r="CD16" i="38" s="1"/>
  <c r="AR18" i="38"/>
  <c r="CB18" i="38" s="1"/>
  <c r="AT15" i="38"/>
  <c r="CD15" i="38" s="1"/>
  <c r="AT13" i="38"/>
  <c r="CD13" i="38" s="1"/>
  <c r="AR17" i="38"/>
  <c r="CB17" i="38" s="1"/>
  <c r="AR16" i="38"/>
  <c r="CB16" i="38" s="1"/>
  <c r="AR14" i="38"/>
  <c r="CB14" i="38" s="1"/>
  <c r="AT18" i="38"/>
  <c r="CD18" i="38" s="1"/>
  <c r="AK14" i="38"/>
  <c r="AR13" i="38" s="1"/>
  <c r="AT14" i="38"/>
  <c r="BY18" i="38"/>
  <c r="BY16" i="38"/>
  <c r="AS42" i="46"/>
  <c r="AS44" i="46"/>
  <c r="AW46" i="46"/>
  <c r="AU42" i="46"/>
  <c r="AU46" i="46"/>
  <c r="AS43" i="46"/>
  <c r="AS45" i="46"/>
  <c r="AS46" i="46"/>
  <c r="AS47" i="46"/>
  <c r="AW42" i="46"/>
  <c r="AU43" i="46"/>
  <c r="AW47" i="46"/>
  <c r="AW45" i="46"/>
  <c r="AW43" i="46"/>
  <c r="AU44" i="46"/>
  <c r="AW44" i="46"/>
  <c r="AU45" i="46"/>
  <c r="AU47" i="46"/>
  <c r="AW19" i="46"/>
  <c r="AT18" i="46"/>
  <c r="AS18" i="46"/>
  <c r="BW18" i="46" s="1"/>
  <c r="AV17" i="46"/>
  <c r="AW14" i="46"/>
  <c r="AT19" i="46"/>
  <c r="AU16" i="46"/>
  <c r="AT16" i="46"/>
  <c r="AT17" i="46"/>
  <c r="AX19" i="46"/>
  <c r="AS15" i="46"/>
  <c r="DA15" i="46" s="1"/>
  <c r="AX15" i="46"/>
  <c r="AS16" i="46"/>
  <c r="BW16" i="46" s="1"/>
  <c r="AX14" i="46"/>
  <c r="AU17" i="46"/>
  <c r="AW18" i="46"/>
  <c r="AT14" i="46"/>
  <c r="AW17" i="46"/>
  <c r="AS19" i="46"/>
  <c r="DA19" i="46" s="1"/>
  <c r="AU14" i="46"/>
  <c r="AV15" i="46"/>
  <c r="AV18" i="46"/>
  <c r="AU18" i="46"/>
  <c r="AU19" i="46"/>
  <c r="AX18" i="46"/>
  <c r="AV16" i="46"/>
  <c r="AS14" i="46"/>
  <c r="AT15" i="46"/>
  <c r="AU15" i="46"/>
  <c r="AW16" i="46"/>
  <c r="AV19" i="46"/>
  <c r="AX16" i="46"/>
  <c r="AW15" i="46"/>
  <c r="AS17" i="46"/>
  <c r="BW17" i="46" s="1"/>
  <c r="AV14" i="46"/>
  <c r="AX17" i="46"/>
  <c r="AU28" i="46"/>
  <c r="DK28" i="46" s="1"/>
  <c r="EI28" i="46" s="1"/>
  <c r="AU31" i="46"/>
  <c r="DK31" i="46" s="1"/>
  <c r="EI31" i="46" s="1"/>
  <c r="AS29" i="46"/>
  <c r="DI29" i="46" s="1"/>
  <c r="EG29" i="46" s="1"/>
  <c r="AW31" i="46"/>
  <c r="AU30" i="46"/>
  <c r="DK30" i="46" s="1"/>
  <c r="EI30" i="46" s="1"/>
  <c r="AU32" i="46"/>
  <c r="DK32" i="46" s="1"/>
  <c r="EI32" i="46" s="1"/>
  <c r="AW30" i="46"/>
  <c r="AS32" i="46"/>
  <c r="DI32" i="46" s="1"/>
  <c r="EG32" i="46" s="1"/>
  <c r="AS31" i="46"/>
  <c r="DI31" i="46" s="1"/>
  <c r="EG31" i="46" s="1"/>
  <c r="AW32" i="46"/>
  <c r="AW28" i="46"/>
  <c r="AS33" i="46"/>
  <c r="DI33" i="46" s="1"/>
  <c r="EG33" i="46" s="1"/>
  <c r="AW33" i="46"/>
  <c r="AW29" i="46"/>
  <c r="AU29" i="46"/>
  <c r="DK29" i="46" s="1"/>
  <c r="EI29" i="46" s="1"/>
  <c r="AU33" i="46"/>
  <c r="DK33" i="46" s="1"/>
  <c r="EI33" i="46" s="1"/>
  <c r="AK16" i="42"/>
  <c r="AT28" i="42"/>
  <c r="CD28" i="42" s="1"/>
  <c r="AT30" i="42"/>
  <c r="CD30" i="42" s="1"/>
  <c r="AT31" i="42"/>
  <c r="CD31" i="42" s="1"/>
  <c r="AR28" i="42"/>
  <c r="CB28" i="42" s="1"/>
  <c r="AR31" i="42"/>
  <c r="CB31" i="42" s="1"/>
  <c r="AR29" i="42"/>
  <c r="CB29" i="42" s="1"/>
  <c r="AR30" i="42"/>
  <c r="CB30" i="42" s="1"/>
  <c r="AT29" i="42"/>
  <c r="CD29" i="42" s="1"/>
  <c r="AT32" i="42"/>
  <c r="CD32" i="42" s="1"/>
  <c r="AR32" i="42"/>
  <c r="CB32" i="42" s="1"/>
  <c r="AT27" i="42"/>
  <c r="CD27" i="42" s="1"/>
  <c r="AK14" i="42"/>
  <c r="AR13" i="42" s="1"/>
  <c r="AT18" i="42"/>
  <c r="AR16" i="42"/>
  <c r="AR17" i="42"/>
  <c r="AR18" i="42"/>
  <c r="AT16" i="42"/>
  <c r="AR14" i="42"/>
  <c r="AT15" i="42"/>
  <c r="AT14" i="42"/>
  <c r="CD14" i="42" s="1"/>
  <c r="AT13" i="42"/>
  <c r="AT17" i="42"/>
  <c r="CD17" i="42" s="1"/>
  <c r="BN19" i="39"/>
  <c r="AW13" i="39"/>
  <c r="BI13" i="38"/>
  <c r="BI15" i="38"/>
  <c r="AV16" i="39"/>
  <c r="BG14" i="38"/>
  <c r="AV11" i="39"/>
  <c r="BW18" i="38"/>
  <c r="BG18" i="38"/>
  <c r="BY17" i="38"/>
  <c r="BI17" i="38"/>
  <c r="BG16" i="38"/>
  <c r="BG17" i="38"/>
  <c r="AK16" i="38"/>
  <c r="AR31" i="38"/>
  <c r="CB31" i="38" s="1"/>
  <c r="AT28" i="38"/>
  <c r="CD28" i="38" s="1"/>
  <c r="AT31" i="38"/>
  <c r="CD31" i="38" s="1"/>
  <c r="AR32" i="38"/>
  <c r="CB32" i="38" s="1"/>
  <c r="AR28" i="38"/>
  <c r="CB28" i="38" s="1"/>
  <c r="AT29" i="38"/>
  <c r="CD29" i="38" s="1"/>
  <c r="AT27" i="38"/>
  <c r="CD27" i="38" s="1"/>
  <c r="AT32" i="38"/>
  <c r="CD32" i="38" s="1"/>
  <c r="AR30" i="38"/>
  <c r="CB30" i="38" s="1"/>
  <c r="AT30" i="38"/>
  <c r="CD30" i="38" s="1"/>
  <c r="AR29" i="38"/>
  <c r="CB29" i="38" s="1"/>
  <c r="G17" i="15"/>
  <c r="G18" i="15"/>
  <c r="W23" i="29" l="1"/>
  <c r="W25" i="29" s="1"/>
  <c r="E5" i="39"/>
  <c r="C16" i="40"/>
  <c r="AB18" i="29"/>
  <c r="AA21" i="29"/>
  <c r="L98" i="54" a="1"/>
  <c r="BB6" i="57"/>
  <c r="BC6" i="57"/>
  <c r="J98" i="54" a="1"/>
  <c r="D132" i="54" s="1"/>
  <c r="CD6" i="57" a="1"/>
  <c r="I98" i="54" a="1"/>
  <c r="D130" i="54" s="1"/>
  <c r="BD6" i="57"/>
  <c r="G98" i="54" a="1"/>
  <c r="D126" i="54" s="1"/>
  <c r="F98" i="54" a="1"/>
  <c r="D124" i="54" s="1"/>
  <c r="E98" i="54" a="1"/>
  <c r="CD50" i="57"/>
  <c r="AZ7" i="57"/>
  <c r="BD7" i="57" s="1"/>
  <c r="D99" i="54" a="1"/>
  <c r="B120" i="54" s="1"/>
  <c r="D13" i="54" s="1"/>
  <c r="R99" i="54" a="1"/>
  <c r="AH104" i="54" s="1"/>
  <c r="CD51" i="57"/>
  <c r="BD8" i="57"/>
  <c r="C152" i="54"/>
  <c r="C13" i="54"/>
  <c r="FC62" i="54"/>
  <c r="FC11" i="54" s="1"/>
  <c r="CO17" i="54" s="1"/>
  <c r="AD104" i="54"/>
  <c r="B144" i="54"/>
  <c r="D37" i="54" s="1"/>
  <c r="AB104" i="54"/>
  <c r="B142" i="54"/>
  <c r="D35" i="54" s="1"/>
  <c r="X104" i="54"/>
  <c r="B138" i="54"/>
  <c r="D31" i="54" s="1"/>
  <c r="V104" i="54"/>
  <c r="B136" i="54"/>
  <c r="D29" i="54" s="1"/>
  <c r="T104" i="54"/>
  <c r="B134" i="54"/>
  <c r="D27" i="54" s="1"/>
  <c r="B132" i="54"/>
  <c r="D25" i="54" s="1"/>
  <c r="P104" i="54"/>
  <c r="B130" i="54"/>
  <c r="D23" i="54" s="1"/>
  <c r="N104" i="54"/>
  <c r="B128" i="54"/>
  <c r="D21" i="54" s="1"/>
  <c r="L104" i="54"/>
  <c r="B126" i="54"/>
  <c r="D19" i="54" s="1"/>
  <c r="J104" i="54"/>
  <c r="B124" i="54"/>
  <c r="D17" i="54" s="1"/>
  <c r="Y146" i="54"/>
  <c r="AA146" i="54"/>
  <c r="AA178" i="54" s="1"/>
  <c r="X146" i="54"/>
  <c r="X178" i="54" s="1"/>
  <c r="V146" i="54"/>
  <c r="S146" i="54"/>
  <c r="U146" i="54"/>
  <c r="U178" i="54" s="1"/>
  <c r="P146" i="54"/>
  <c r="R146" i="54"/>
  <c r="R178" i="54" s="1"/>
  <c r="Q178" i="54" s="1"/>
  <c r="M146" i="54"/>
  <c r="O146" i="54"/>
  <c r="O178" i="54" s="1"/>
  <c r="J146" i="54"/>
  <c r="L146" i="54"/>
  <c r="L178" i="54" s="1"/>
  <c r="G146" i="54"/>
  <c r="G178" i="54" s="1"/>
  <c r="F178" i="54" s="1"/>
  <c r="H146" i="54"/>
  <c r="AH103" i="54"/>
  <c r="C148" i="54"/>
  <c r="AF103" i="54"/>
  <c r="C146" i="54"/>
  <c r="AD103" i="54"/>
  <c r="C144" i="54"/>
  <c r="AB103" i="54"/>
  <c r="C142" i="54"/>
  <c r="AH113" i="54"/>
  <c r="D148" i="54"/>
  <c r="AB148" i="54" s="1"/>
  <c r="AD113" i="54"/>
  <c r="D144" i="54"/>
  <c r="AB144" i="54" s="1"/>
  <c r="AB113" i="54"/>
  <c r="D142" i="54"/>
  <c r="AB142" i="54" s="1"/>
  <c r="AF113" i="54"/>
  <c r="AF104" i="54"/>
  <c r="Z104" i="54"/>
  <c r="F103" i="54"/>
  <c r="C140" i="54"/>
  <c r="C138" i="54"/>
  <c r="C136" i="54"/>
  <c r="C134" i="54"/>
  <c r="T103" i="54"/>
  <c r="C132" i="54"/>
  <c r="R103" i="54"/>
  <c r="C130" i="54"/>
  <c r="C23" i="54" s="1"/>
  <c r="P103" i="54"/>
  <c r="C128" i="54"/>
  <c r="C21" i="54" s="1"/>
  <c r="N103" i="54"/>
  <c r="C126" i="54"/>
  <c r="C19" i="54" s="1"/>
  <c r="L103" i="54"/>
  <c r="J103" i="54"/>
  <c r="H103" i="54"/>
  <c r="F113" i="54"/>
  <c r="D140" i="54"/>
  <c r="AB140" i="54" s="1"/>
  <c r="Z113" i="54"/>
  <c r="Z106" i="54" s="1"/>
  <c r="E140" i="54" s="1"/>
  <c r="D138" i="54"/>
  <c r="X113" i="54"/>
  <c r="X106" i="54" s="1"/>
  <c r="D136" i="54"/>
  <c r="V113" i="54"/>
  <c r="V106" i="54" s="1"/>
  <c r="D134" i="54"/>
  <c r="T113" i="54"/>
  <c r="R113" i="54"/>
  <c r="D128" i="54"/>
  <c r="N113" i="54"/>
  <c r="H113" i="54"/>
  <c r="D122" i="54"/>
  <c r="BY15" i="38"/>
  <c r="BY13" i="38"/>
  <c r="BW17" i="38"/>
  <c r="BW16" i="38"/>
  <c r="AS30" i="46"/>
  <c r="DI30" i="46" s="1"/>
  <c r="EG30" i="46" s="1"/>
  <c r="BW14" i="38"/>
  <c r="CD14" i="38"/>
  <c r="CD11" i="38" s="1"/>
  <c r="BY14" i="38"/>
  <c r="CB13" i="38"/>
  <c r="BW13" i="38"/>
  <c r="DA17" i="46"/>
  <c r="BY15" i="42"/>
  <c r="CD15" i="42"/>
  <c r="BW18" i="42"/>
  <c r="CB18" i="42"/>
  <c r="BW17" i="42"/>
  <c r="CB17" i="42"/>
  <c r="BW16" i="42"/>
  <c r="CB16" i="42"/>
  <c r="BY18" i="42"/>
  <c r="CD18" i="42"/>
  <c r="BW13" i="42"/>
  <c r="CB13" i="42"/>
  <c r="BW14" i="42"/>
  <c r="CB14" i="42"/>
  <c r="BY16" i="42"/>
  <c r="CD16" i="42"/>
  <c r="BY13" i="42"/>
  <c r="CD13" i="42"/>
  <c r="DI17" i="46"/>
  <c r="EG17" i="46" s="1"/>
  <c r="CA15" i="46"/>
  <c r="DM15" i="46"/>
  <c r="EK15" i="46" s="1"/>
  <c r="DE15" i="46"/>
  <c r="BY15" i="46"/>
  <c r="DK15" i="46"/>
  <c r="EI15" i="46" s="1"/>
  <c r="DC15" i="46"/>
  <c r="DB15" i="46"/>
  <c r="DJ15" i="46"/>
  <c r="EH15" i="46" s="1"/>
  <c r="DF15" i="46"/>
  <c r="DN15" i="46"/>
  <c r="EL15" i="46" s="1"/>
  <c r="DC44" i="46"/>
  <c r="DK44" i="46"/>
  <c r="EI44" i="46" s="1"/>
  <c r="BY44" i="46"/>
  <c r="CA44" i="46"/>
  <c r="DM44" i="46"/>
  <c r="EK44" i="46" s="1"/>
  <c r="DE44" i="46"/>
  <c r="BW14" i="46"/>
  <c r="DA14" i="46"/>
  <c r="BW15" i="46"/>
  <c r="DI15" i="46"/>
  <c r="EG15" i="46" s="1"/>
  <c r="DM43" i="46"/>
  <c r="EK43" i="46" s="1"/>
  <c r="DE43" i="46"/>
  <c r="CA43" i="46"/>
  <c r="DB14" i="46"/>
  <c r="DJ14" i="46"/>
  <c r="EH14" i="46" s="1"/>
  <c r="DI18" i="46"/>
  <c r="EG18" i="46" s="1"/>
  <c r="DL16" i="46"/>
  <c r="EJ16" i="46" s="1"/>
  <c r="DD16" i="46"/>
  <c r="DN19" i="46"/>
  <c r="EL19" i="46" s="1"/>
  <c r="DF19" i="46"/>
  <c r="CA45" i="46"/>
  <c r="DM45" i="46"/>
  <c r="EK45" i="46" s="1"/>
  <c r="DE45" i="46"/>
  <c r="DK43" i="46"/>
  <c r="EI43" i="46" s="1"/>
  <c r="BY43" i="46"/>
  <c r="DC43" i="46"/>
  <c r="CA47" i="46"/>
  <c r="DM47" i="46"/>
  <c r="EK47" i="46" s="1"/>
  <c r="DE47" i="46"/>
  <c r="DJ16" i="46"/>
  <c r="EH16" i="46" s="1"/>
  <c r="DB16" i="46"/>
  <c r="BY18" i="46"/>
  <c r="DK18" i="46"/>
  <c r="EI18" i="46" s="1"/>
  <c r="DC18" i="46"/>
  <c r="BY16" i="46"/>
  <c r="DK16" i="46"/>
  <c r="EI16" i="46" s="1"/>
  <c r="DC16" i="46"/>
  <c r="CA42" i="46"/>
  <c r="DE42" i="46"/>
  <c r="DM42" i="46"/>
  <c r="EK42" i="46" s="1"/>
  <c r="DF18" i="46"/>
  <c r="DN18" i="46"/>
  <c r="EL18" i="46" s="1"/>
  <c r="DJ17" i="46"/>
  <c r="EH17" i="46" s="1"/>
  <c r="DB17" i="46"/>
  <c r="BY19" i="46"/>
  <c r="DK19" i="46"/>
  <c r="EI19" i="46" s="1"/>
  <c r="DC19" i="46"/>
  <c r="DL18" i="46"/>
  <c r="EJ18" i="46" s="1"/>
  <c r="DD18" i="46"/>
  <c r="DJ19" i="46"/>
  <c r="EH19" i="46" s="1"/>
  <c r="DB19" i="46"/>
  <c r="DI47" i="46"/>
  <c r="EG47" i="46" s="1"/>
  <c r="DA47" i="46"/>
  <c r="BW47" i="46"/>
  <c r="BW46" i="46"/>
  <c r="DA46" i="46"/>
  <c r="DI46" i="46"/>
  <c r="EG46" i="46" s="1"/>
  <c r="CA14" i="46"/>
  <c r="DE14" i="46"/>
  <c r="DM14" i="46"/>
  <c r="EK14" i="46" s="1"/>
  <c r="DN17" i="46"/>
  <c r="EL17" i="46" s="1"/>
  <c r="DF17" i="46"/>
  <c r="BY14" i="46"/>
  <c r="DC14" i="46"/>
  <c r="DK14" i="46"/>
  <c r="EI14" i="46" s="1"/>
  <c r="DD17" i="46"/>
  <c r="DL17" i="46"/>
  <c r="EJ17" i="46" s="1"/>
  <c r="DA45" i="46"/>
  <c r="BW45" i="46"/>
  <c r="DI45" i="46"/>
  <c r="EG45" i="46" s="1"/>
  <c r="BW43" i="46"/>
  <c r="DI43" i="46"/>
  <c r="EG43" i="46" s="1"/>
  <c r="DA43" i="46"/>
  <c r="DL15" i="46"/>
  <c r="EJ15" i="46" s="1"/>
  <c r="DD15" i="46"/>
  <c r="DD14" i="46"/>
  <c r="DL14" i="46"/>
  <c r="EJ14" i="46" s="1"/>
  <c r="BW19" i="46"/>
  <c r="DI19" i="46"/>
  <c r="EG19" i="46" s="1"/>
  <c r="CA17" i="46"/>
  <c r="DE17" i="46"/>
  <c r="DM17" i="46"/>
  <c r="EK17" i="46" s="1"/>
  <c r="DB18" i="46"/>
  <c r="DJ18" i="46"/>
  <c r="EH18" i="46" s="1"/>
  <c r="DC46" i="46"/>
  <c r="DK46" i="46"/>
  <c r="EI46" i="46" s="1"/>
  <c r="BY46" i="46"/>
  <c r="DM46" i="46"/>
  <c r="EK46" i="46" s="1"/>
  <c r="DE46" i="46"/>
  <c r="CA46" i="46"/>
  <c r="DC42" i="46"/>
  <c r="BY42" i="46"/>
  <c r="DK42" i="46"/>
  <c r="EI42" i="46" s="1"/>
  <c r="DN16" i="46"/>
  <c r="EL16" i="46" s="1"/>
  <c r="DF16" i="46"/>
  <c r="CA18" i="46"/>
  <c r="DE18" i="46"/>
  <c r="DM18" i="46"/>
  <c r="EK18" i="46" s="1"/>
  <c r="DI14" i="46"/>
  <c r="DL19" i="46"/>
  <c r="EJ19" i="46" s="1"/>
  <c r="DD19" i="46"/>
  <c r="BY17" i="46"/>
  <c r="DK17" i="46"/>
  <c r="EI17" i="46" s="1"/>
  <c r="DC17" i="46"/>
  <c r="BY47" i="46"/>
  <c r="DC47" i="46"/>
  <c r="DK47" i="46"/>
  <c r="EI47" i="46" s="1"/>
  <c r="DI44" i="46"/>
  <c r="EG44" i="46" s="1"/>
  <c r="DA44" i="46"/>
  <c r="BW44" i="46"/>
  <c r="CA19" i="46"/>
  <c r="DM19" i="46"/>
  <c r="EK19" i="46" s="1"/>
  <c r="DE19" i="46"/>
  <c r="CA16" i="46"/>
  <c r="DM16" i="46"/>
  <c r="EK16" i="46" s="1"/>
  <c r="DE16" i="46"/>
  <c r="DF14" i="46"/>
  <c r="DN14" i="46"/>
  <c r="EL14" i="46" s="1"/>
  <c r="DC45" i="46"/>
  <c r="BY45" i="46"/>
  <c r="DK45" i="46"/>
  <c r="EI45" i="46" s="1"/>
  <c r="BW42" i="46"/>
  <c r="DA42" i="46"/>
  <c r="DI42" i="46"/>
  <c r="DA18" i="46"/>
  <c r="CA33" i="46"/>
  <c r="DE33" i="46"/>
  <c r="DM33" i="46"/>
  <c r="EK33" i="46" s="1"/>
  <c r="CA28" i="46"/>
  <c r="DE28" i="46"/>
  <c r="DM28" i="46"/>
  <c r="EK28" i="46" s="1"/>
  <c r="CA30" i="46"/>
  <c r="DE30" i="46"/>
  <c r="DM30" i="46"/>
  <c r="EK30" i="46" s="1"/>
  <c r="CA31" i="46"/>
  <c r="DE31" i="46"/>
  <c r="DM31" i="46"/>
  <c r="EK31" i="46" s="1"/>
  <c r="CA29" i="46"/>
  <c r="DE29" i="46"/>
  <c r="DM29" i="46"/>
  <c r="EK29" i="46" s="1"/>
  <c r="CA32" i="46"/>
  <c r="DE32" i="46"/>
  <c r="DM32" i="46"/>
  <c r="EK32" i="46" s="1"/>
  <c r="DI16" i="46"/>
  <c r="EG16" i="46" s="1"/>
  <c r="AS28" i="46"/>
  <c r="DI28" i="46" s="1"/>
  <c r="DC31" i="46"/>
  <c r="BY31" i="46"/>
  <c r="BI27" i="42"/>
  <c r="BY27" i="42"/>
  <c r="BY31" i="42"/>
  <c r="BI31" i="42"/>
  <c r="DA29" i="46"/>
  <c r="BW29" i="46"/>
  <c r="BW31" i="42"/>
  <c r="BG31" i="42"/>
  <c r="BG32" i="42"/>
  <c r="BW32" i="42"/>
  <c r="DA32" i="46"/>
  <c r="BW32" i="46"/>
  <c r="DA31" i="46"/>
  <c r="BW31" i="46"/>
  <c r="BY32" i="42"/>
  <c r="BI32" i="42"/>
  <c r="BY30" i="42"/>
  <c r="BI30" i="42"/>
  <c r="DC32" i="46"/>
  <c r="BY32" i="46"/>
  <c r="DC28" i="46"/>
  <c r="BY28" i="46"/>
  <c r="BY28" i="42"/>
  <c r="BI28" i="42"/>
  <c r="DK26" i="46"/>
  <c r="BY29" i="42"/>
  <c r="BI29" i="42"/>
  <c r="BI14" i="42"/>
  <c r="BY14" i="42"/>
  <c r="DC33" i="46"/>
  <c r="BY33" i="46"/>
  <c r="BW28" i="42"/>
  <c r="BG28" i="42"/>
  <c r="AR27" i="42"/>
  <c r="CB27" i="42" s="1"/>
  <c r="DT28" i="42" s="1"/>
  <c r="AR15" i="42"/>
  <c r="BI17" i="42"/>
  <c r="BY17" i="42"/>
  <c r="BG30" i="42"/>
  <c r="BW30" i="42"/>
  <c r="DC30" i="46"/>
  <c r="BY30" i="46"/>
  <c r="DC29" i="46"/>
  <c r="BY29" i="46"/>
  <c r="CD25" i="42"/>
  <c r="DA33" i="46"/>
  <c r="BW33" i="46"/>
  <c r="BW29" i="42"/>
  <c r="BG29" i="42"/>
  <c r="BW29" i="38"/>
  <c r="BG29" i="38"/>
  <c r="CD25" i="38"/>
  <c r="BY30" i="38"/>
  <c r="BI30" i="38"/>
  <c r="BW30" i="38"/>
  <c r="BG30" i="38"/>
  <c r="AW11" i="39"/>
  <c r="BP17" i="39" s="1"/>
  <c r="BN17" i="39"/>
  <c r="BW32" i="38"/>
  <c r="BG32" i="38"/>
  <c r="BW31" i="38"/>
  <c r="BG31" i="38"/>
  <c r="BI32" i="38"/>
  <c r="BY32" i="38"/>
  <c r="BY11" i="38"/>
  <c r="BG28" i="38"/>
  <c r="BW28" i="38"/>
  <c r="BI28" i="38"/>
  <c r="BY28" i="38"/>
  <c r="AR27" i="38"/>
  <c r="CB27" i="38" s="1"/>
  <c r="CB25" i="38" s="1"/>
  <c r="AR15" i="38"/>
  <c r="CB15" i="38" s="1"/>
  <c r="BI29" i="38"/>
  <c r="BY29" i="38"/>
  <c r="BP19" i="39"/>
  <c r="BY31" i="38"/>
  <c r="BI31" i="38"/>
  <c r="AW16" i="39"/>
  <c r="BN22" i="39"/>
  <c r="BI27" i="38"/>
  <c r="BY27" i="38"/>
  <c r="AX11" i="27"/>
  <c r="AA25" i="29" l="1"/>
  <c r="AA27" i="29" s="1"/>
  <c r="AA29" i="29" s="1"/>
  <c r="E5" i="43"/>
  <c r="C16" i="44"/>
  <c r="AA23" i="29"/>
  <c r="E16" i="44" s="1"/>
  <c r="Q8" i="39"/>
  <c r="R8" i="39"/>
  <c r="M8" i="39"/>
  <c r="M10" i="39"/>
  <c r="N5" i="35"/>
  <c r="BH6" i="57"/>
  <c r="B148" i="54"/>
  <c r="D41" i="54" s="1"/>
  <c r="H106" i="54"/>
  <c r="E122" i="54" s="1"/>
  <c r="J113" i="54"/>
  <c r="J106" i="54" s="1"/>
  <c r="CD7" i="57" a="1"/>
  <c r="BC7" i="57"/>
  <c r="BG6" i="57" s="1"/>
  <c r="BB7" i="57"/>
  <c r="BF6" i="57" s="1"/>
  <c r="L113" i="54"/>
  <c r="L106" i="54" s="1"/>
  <c r="K107" i="54" s="1"/>
  <c r="N106" i="54"/>
  <c r="P113" i="54"/>
  <c r="P106" i="54" s="1"/>
  <c r="F104" i="54"/>
  <c r="R106" i="54"/>
  <c r="T106" i="54"/>
  <c r="S107" i="54" s="1"/>
  <c r="CD8" i="57" a="1"/>
  <c r="D106" i="54"/>
  <c r="E116" i="54" s="1"/>
  <c r="AH106" i="54"/>
  <c r="E148" i="54" s="1"/>
  <c r="AF106" i="54"/>
  <c r="AG107" i="54"/>
  <c r="C154" i="54"/>
  <c r="C156" i="54"/>
  <c r="C158" i="54"/>
  <c r="C160" i="54"/>
  <c r="C162" i="54"/>
  <c r="C164" i="54"/>
  <c r="C25" i="54"/>
  <c r="C166" i="54"/>
  <c r="C27" i="54"/>
  <c r="C168" i="54"/>
  <c r="C29" i="54"/>
  <c r="C170" i="54"/>
  <c r="C31" i="54"/>
  <c r="C172" i="54"/>
  <c r="C33" i="54"/>
  <c r="C174" i="54"/>
  <c r="C35" i="54"/>
  <c r="C176" i="54"/>
  <c r="C37" i="54"/>
  <c r="C178" i="54"/>
  <c r="C39" i="54"/>
  <c r="C180" i="54"/>
  <c r="C41" i="54"/>
  <c r="X179" i="54"/>
  <c r="W178" i="54"/>
  <c r="Z178" i="54"/>
  <c r="AB120" i="54"/>
  <c r="X120" i="54"/>
  <c r="X152" i="54" s="1"/>
  <c r="AB178" i="54"/>
  <c r="Y178" i="54"/>
  <c r="V178" i="54"/>
  <c r="T178" i="54"/>
  <c r="M178" i="54"/>
  <c r="U179" i="54"/>
  <c r="R179" i="54"/>
  <c r="S178" i="54"/>
  <c r="P178" i="54"/>
  <c r="G179" i="54"/>
  <c r="H178" i="54"/>
  <c r="AB145" i="54"/>
  <c r="AA138" i="54"/>
  <c r="AA170" i="54" s="1"/>
  <c r="Z170" i="54" s="1"/>
  <c r="AB138" i="54"/>
  <c r="AA136" i="54"/>
  <c r="AA168" i="54" s="1"/>
  <c r="Z168" i="54" s="1"/>
  <c r="AB136" i="54"/>
  <c r="AA134" i="54"/>
  <c r="AA166" i="54" s="1"/>
  <c r="AB134" i="54"/>
  <c r="AB135" i="54" s="1"/>
  <c r="AA132" i="54"/>
  <c r="AA164" i="54" s="1"/>
  <c r="AB132" i="54"/>
  <c r="AA130" i="54"/>
  <c r="AA162" i="54" s="1"/>
  <c r="AB130" i="54"/>
  <c r="AA128" i="54"/>
  <c r="AA160" i="54" s="1"/>
  <c r="AB128" i="54"/>
  <c r="AA126" i="54"/>
  <c r="AA158" i="54" s="1"/>
  <c r="AB126" i="54"/>
  <c r="AA124" i="54"/>
  <c r="AA156" i="54" s="1"/>
  <c r="AB124" i="54"/>
  <c r="AA122" i="54"/>
  <c r="AA154" i="54" s="1"/>
  <c r="AB122" i="54"/>
  <c r="Y148" i="54"/>
  <c r="AA148" i="54"/>
  <c r="AA180" i="54" s="1"/>
  <c r="Z180" i="54" s="1"/>
  <c r="Y144" i="54"/>
  <c r="Y145" i="54" s="1"/>
  <c r="AA144" i="54"/>
  <c r="AA176" i="54" s="1"/>
  <c r="Z176" i="54" s="1"/>
  <c r="Y142" i="54"/>
  <c r="AA142" i="54"/>
  <c r="AA174" i="54" s="1"/>
  <c r="Z174" i="54" s="1"/>
  <c r="Y140" i="54"/>
  <c r="AA140" i="54"/>
  <c r="AA172" i="54" s="1"/>
  <c r="Z172" i="54" s="1"/>
  <c r="Y120" i="54"/>
  <c r="AA120" i="54"/>
  <c r="Y143" i="54"/>
  <c r="X138" i="54"/>
  <c r="X170" i="54" s="1"/>
  <c r="Y138" i="54"/>
  <c r="X136" i="54"/>
  <c r="X168" i="54" s="1"/>
  <c r="Y136" i="54"/>
  <c r="X134" i="54"/>
  <c r="X166" i="54" s="1"/>
  <c r="W166" i="54" s="1"/>
  <c r="Y134" i="54"/>
  <c r="X132" i="54"/>
  <c r="X164" i="54" s="1"/>
  <c r="Y132" i="54"/>
  <c r="X130" i="54"/>
  <c r="X162" i="54" s="1"/>
  <c r="W162" i="54" s="1"/>
  <c r="Y130" i="54"/>
  <c r="X128" i="54"/>
  <c r="X160" i="54" s="1"/>
  <c r="W160" i="54" s="1"/>
  <c r="Y128" i="54"/>
  <c r="X126" i="54"/>
  <c r="X158" i="54" s="1"/>
  <c r="W158" i="54" s="1"/>
  <c r="Y126" i="54"/>
  <c r="X124" i="54"/>
  <c r="X156" i="54" s="1"/>
  <c r="W156" i="54" s="1"/>
  <c r="Y124" i="54"/>
  <c r="X122" i="54"/>
  <c r="X154" i="54" s="1"/>
  <c r="W154" i="54" s="1"/>
  <c r="Y122" i="54"/>
  <c r="AB147" i="54"/>
  <c r="X148" i="54"/>
  <c r="X180" i="54" s="1"/>
  <c r="W180" i="54" s="1"/>
  <c r="X144" i="54"/>
  <c r="X176" i="54" s="1"/>
  <c r="X142" i="54"/>
  <c r="X174" i="54" s="1"/>
  <c r="X140" i="54"/>
  <c r="X172" i="54" s="1"/>
  <c r="Y147" i="54"/>
  <c r="AA147" i="54"/>
  <c r="AA179" i="54" s="1"/>
  <c r="V148" i="54"/>
  <c r="V147" i="54" s="1"/>
  <c r="X147" i="54"/>
  <c r="V144" i="54"/>
  <c r="V145" i="54" s="1"/>
  <c r="V142" i="54"/>
  <c r="V140" i="54"/>
  <c r="V141" i="54" s="1"/>
  <c r="S148" i="54"/>
  <c r="S147" i="54" s="1"/>
  <c r="U148" i="54"/>
  <c r="U180" i="54" s="1"/>
  <c r="U147" i="54"/>
  <c r="S144" i="54"/>
  <c r="S145" i="54" s="1"/>
  <c r="U144" i="54"/>
  <c r="S142" i="54"/>
  <c r="S143" i="54" s="1"/>
  <c r="U142" i="54"/>
  <c r="S140" i="54"/>
  <c r="S141" i="54" s="1"/>
  <c r="U140" i="54"/>
  <c r="P142" i="54"/>
  <c r="R142" i="54"/>
  <c r="R174" i="54" s="1"/>
  <c r="Q174" i="54" s="1"/>
  <c r="P144" i="54"/>
  <c r="P145" i="54" s="1"/>
  <c r="R144" i="54"/>
  <c r="P148" i="54"/>
  <c r="P147" i="54" s="1"/>
  <c r="R148" i="54"/>
  <c r="R180" i="54" s="1"/>
  <c r="R147" i="54"/>
  <c r="P140" i="54"/>
  <c r="P141" i="54" s="1"/>
  <c r="R140" i="54"/>
  <c r="M142" i="54"/>
  <c r="O142" i="54"/>
  <c r="O174" i="54" s="1"/>
  <c r="N174" i="54" s="1"/>
  <c r="M144" i="54"/>
  <c r="M145" i="54" s="1"/>
  <c r="O144" i="54"/>
  <c r="M148" i="54"/>
  <c r="M147" i="54" s="1"/>
  <c r="O148" i="54"/>
  <c r="O180" i="54" s="1"/>
  <c r="O147" i="54"/>
  <c r="O179" i="54" s="1"/>
  <c r="M140" i="54"/>
  <c r="O140" i="54"/>
  <c r="J142" i="54"/>
  <c r="L142" i="54"/>
  <c r="L174" i="54" s="1"/>
  <c r="K174" i="54" s="1"/>
  <c r="J144" i="54"/>
  <c r="J145" i="54" s="1"/>
  <c r="L144" i="54"/>
  <c r="J148" i="54"/>
  <c r="J147" i="54" s="1"/>
  <c r="L148" i="54"/>
  <c r="L180" i="54" s="1"/>
  <c r="K180" i="54" s="1"/>
  <c r="L147" i="54"/>
  <c r="L179" i="54" s="1"/>
  <c r="K179" i="54" s="1"/>
  <c r="H140" i="54"/>
  <c r="L140" i="54"/>
  <c r="J140" i="54"/>
  <c r="J141" i="54" s="1"/>
  <c r="G142" i="54"/>
  <c r="G174" i="54" s="1"/>
  <c r="F174" i="54" s="1"/>
  <c r="H142" i="54"/>
  <c r="G144" i="54"/>
  <c r="H144" i="54"/>
  <c r="H145" i="54" s="1"/>
  <c r="G148" i="54"/>
  <c r="G147" i="54" s="1"/>
  <c r="H148" i="54"/>
  <c r="H147" i="54" s="1"/>
  <c r="G138" i="54"/>
  <c r="H138" i="54"/>
  <c r="G136" i="54"/>
  <c r="H136" i="54"/>
  <c r="G134" i="54"/>
  <c r="H134" i="54"/>
  <c r="G132" i="54"/>
  <c r="H132" i="54"/>
  <c r="G130" i="54"/>
  <c r="H130" i="54"/>
  <c r="H131" i="54" s="1"/>
  <c r="G128" i="54"/>
  <c r="H128" i="54"/>
  <c r="G126" i="54"/>
  <c r="H126" i="54"/>
  <c r="G124" i="54"/>
  <c r="H124" i="54"/>
  <c r="G122" i="54"/>
  <c r="H122" i="54"/>
  <c r="G140" i="54"/>
  <c r="H139" i="54"/>
  <c r="AD106" i="54"/>
  <c r="F106" i="54"/>
  <c r="E120" i="54" s="1"/>
  <c r="AB106" i="54"/>
  <c r="E142" i="54" s="1"/>
  <c r="AB123" i="54"/>
  <c r="AA123" i="54"/>
  <c r="AB125" i="54"/>
  <c r="AB127" i="54"/>
  <c r="AB137" i="54"/>
  <c r="X123" i="54"/>
  <c r="Y125" i="54"/>
  <c r="X125" i="54"/>
  <c r="Y127" i="54"/>
  <c r="X127" i="54"/>
  <c r="Y129" i="54"/>
  <c r="X129" i="54"/>
  <c r="Y131" i="54"/>
  <c r="X131" i="54"/>
  <c r="Y133" i="54"/>
  <c r="V122" i="54"/>
  <c r="U122" i="54"/>
  <c r="S122" i="54"/>
  <c r="R122" i="54"/>
  <c r="P122" i="54"/>
  <c r="O122" i="54"/>
  <c r="M122" i="54"/>
  <c r="L122" i="54"/>
  <c r="J122" i="54"/>
  <c r="I107" i="54"/>
  <c r="E124" i="54"/>
  <c r="V124" i="54"/>
  <c r="V123" i="54" s="1"/>
  <c r="U124" i="54"/>
  <c r="S124" i="54"/>
  <c r="S123" i="54" s="1"/>
  <c r="R124" i="54"/>
  <c r="P124" i="54"/>
  <c r="P123" i="54" s="1"/>
  <c r="O124" i="54"/>
  <c r="M124" i="54"/>
  <c r="L124" i="54"/>
  <c r="J124" i="54"/>
  <c r="E126" i="54"/>
  <c r="V126" i="54"/>
  <c r="U126" i="54"/>
  <c r="S126" i="54"/>
  <c r="R126" i="54"/>
  <c r="P126" i="54"/>
  <c r="O126" i="54"/>
  <c r="M126" i="54"/>
  <c r="M125" i="54" s="1"/>
  <c r="L126" i="54"/>
  <c r="J126" i="54"/>
  <c r="J125" i="54" s="1"/>
  <c r="H125" i="54"/>
  <c r="E128" i="54"/>
  <c r="M107" i="54"/>
  <c r="D127" i="54" s="1"/>
  <c r="E127" i="54" s="1"/>
  <c r="P128" i="54"/>
  <c r="P127" i="54" s="1"/>
  <c r="O128" i="54"/>
  <c r="M128" i="54"/>
  <c r="M127" i="54" s="1"/>
  <c r="L128" i="54"/>
  <c r="J128" i="54"/>
  <c r="V128" i="54"/>
  <c r="U128" i="54"/>
  <c r="S128" i="54"/>
  <c r="S127" i="54" s="1"/>
  <c r="R128" i="54"/>
  <c r="E130" i="54"/>
  <c r="O107" i="54"/>
  <c r="J130" i="54"/>
  <c r="P130" i="54"/>
  <c r="O130" i="54"/>
  <c r="M130" i="54"/>
  <c r="L130" i="54"/>
  <c r="V130" i="54"/>
  <c r="V129" i="54" s="1"/>
  <c r="U130" i="54"/>
  <c r="S130" i="54"/>
  <c r="S129" i="54" s="1"/>
  <c r="R130" i="54"/>
  <c r="E132" i="54"/>
  <c r="Q107" i="54"/>
  <c r="D131" i="54" s="1"/>
  <c r="E131" i="54" s="1"/>
  <c r="V132" i="54"/>
  <c r="V131" i="54" s="1"/>
  <c r="U132" i="54"/>
  <c r="S132" i="54"/>
  <c r="S131" i="54" s="1"/>
  <c r="R132" i="54"/>
  <c r="P132" i="54"/>
  <c r="O132" i="54"/>
  <c r="M132" i="54"/>
  <c r="L132" i="54"/>
  <c r="J132" i="54"/>
  <c r="J131" i="54" s="1"/>
  <c r="G131" i="54"/>
  <c r="E134" i="54"/>
  <c r="V134" i="54"/>
  <c r="U134" i="54"/>
  <c r="S134" i="54"/>
  <c r="R134" i="54"/>
  <c r="P134" i="54"/>
  <c r="P133" i="54" s="1"/>
  <c r="O134" i="54"/>
  <c r="M134" i="54"/>
  <c r="M133" i="54" s="1"/>
  <c r="L134" i="54"/>
  <c r="J134" i="54"/>
  <c r="J133" i="54" s="1"/>
  <c r="H133" i="54"/>
  <c r="E136" i="54"/>
  <c r="U107" i="54"/>
  <c r="D135" i="54" s="1"/>
  <c r="E135" i="54" s="1"/>
  <c r="V136" i="54"/>
  <c r="V135" i="54" s="1"/>
  <c r="U136" i="54"/>
  <c r="S136" i="54"/>
  <c r="R136" i="54"/>
  <c r="P136" i="54"/>
  <c r="O136" i="54"/>
  <c r="M136" i="54"/>
  <c r="L136" i="54"/>
  <c r="J136" i="54"/>
  <c r="H135" i="54"/>
  <c r="G135" i="54"/>
  <c r="W107" i="54"/>
  <c r="E138" i="54"/>
  <c r="V138" i="54"/>
  <c r="U138" i="54"/>
  <c r="S138" i="54"/>
  <c r="S137" i="54" s="1"/>
  <c r="R138" i="54"/>
  <c r="P138" i="54"/>
  <c r="P137" i="54" s="1"/>
  <c r="O138" i="54"/>
  <c r="M138" i="54"/>
  <c r="M137" i="54" s="1"/>
  <c r="L138" i="54"/>
  <c r="J138" i="54"/>
  <c r="J137" i="54" s="1"/>
  <c r="H137" i="54"/>
  <c r="G137" i="54"/>
  <c r="Y107" i="54"/>
  <c r="V139" i="54"/>
  <c r="G120" i="54"/>
  <c r="V120" i="54"/>
  <c r="U120" i="54"/>
  <c r="U152" i="54" s="1"/>
  <c r="S120" i="54"/>
  <c r="R120" i="54"/>
  <c r="R152" i="54" s="1"/>
  <c r="L120" i="54"/>
  <c r="L152" i="54" s="1"/>
  <c r="P120" i="54"/>
  <c r="O120" i="54"/>
  <c r="O152" i="54" s="1"/>
  <c r="M120" i="54"/>
  <c r="J120" i="54"/>
  <c r="H120" i="54"/>
  <c r="DA30" i="46"/>
  <c r="BW30" i="46"/>
  <c r="DT28" i="38"/>
  <c r="BY11" i="42"/>
  <c r="GS29" i="46"/>
  <c r="GS43" i="46"/>
  <c r="GS15" i="46"/>
  <c r="EG28" i="46"/>
  <c r="EX31" i="46" s="1"/>
  <c r="EG42" i="46"/>
  <c r="EX45" i="46" s="1"/>
  <c r="EG14" i="46"/>
  <c r="EX17" i="46" s="1"/>
  <c r="FU45" i="46"/>
  <c r="CS28" i="38"/>
  <c r="CG30" i="38" s="1"/>
  <c r="CL30" i="38" s="1"/>
  <c r="CS14" i="38"/>
  <c r="DT14" i="38"/>
  <c r="CB11" i="38"/>
  <c r="CQ14" i="38" s="1"/>
  <c r="CS28" i="42"/>
  <c r="CG30" i="42" s="1"/>
  <c r="CL30" i="42" s="1"/>
  <c r="CB25" i="42"/>
  <c r="CQ28" i="42" s="1"/>
  <c r="BW15" i="42"/>
  <c r="BW11" i="42" s="1"/>
  <c r="CB15" i="42"/>
  <c r="CB11" i="42" s="1"/>
  <c r="CD11" i="42"/>
  <c r="DB12" i="46"/>
  <c r="DN12" i="46"/>
  <c r="DF12" i="46"/>
  <c r="DK12" i="46"/>
  <c r="DC12" i="46"/>
  <c r="DJ12" i="46"/>
  <c r="DK40" i="46"/>
  <c r="DL12" i="46"/>
  <c r="DI40" i="46"/>
  <c r="DD12" i="46"/>
  <c r="DM12" i="46"/>
  <c r="DA40" i="46"/>
  <c r="DC40" i="46"/>
  <c r="DE12" i="46"/>
  <c r="DM40" i="46"/>
  <c r="DE40" i="46"/>
  <c r="DI12" i="46"/>
  <c r="DM26" i="46"/>
  <c r="DE26" i="46"/>
  <c r="DA16" i="46"/>
  <c r="DA12" i="46" s="1"/>
  <c r="DI26" i="46"/>
  <c r="DA28" i="46"/>
  <c r="DA26" i="46" s="1"/>
  <c r="BW28" i="46"/>
  <c r="DC26" i="46"/>
  <c r="BW27" i="42"/>
  <c r="BW25" i="42" s="1"/>
  <c r="BG27" i="42"/>
  <c r="CQ28" i="38"/>
  <c r="BY25" i="42"/>
  <c r="AW14" i="39"/>
  <c r="BG15" i="38"/>
  <c r="BW15" i="38"/>
  <c r="BW11" i="38" s="1"/>
  <c r="BY25" i="38"/>
  <c r="BG27" i="38"/>
  <c r="BW27" i="38"/>
  <c r="BW25" i="38" s="1"/>
  <c r="BP22" i="39"/>
  <c r="BP20" i="39"/>
  <c r="BP17" i="27"/>
  <c r="AK21" i="39" l="1"/>
  <c r="AL21" i="39" s="1"/>
  <c r="AM21" i="39" s="1"/>
  <c r="N10" i="39"/>
  <c r="AK13" i="39"/>
  <c r="N8" i="39"/>
  <c r="S8" i="39"/>
  <c r="AK18" i="39" s="1"/>
  <c r="AL18" i="39" s="1"/>
  <c r="AM18" i="39" s="1"/>
  <c r="AK16" i="39"/>
  <c r="AL16" i="39" s="1"/>
  <c r="AM16" i="39" s="1"/>
  <c r="AM19" i="39" s="1"/>
  <c r="N12" i="39"/>
  <c r="O12" i="39" s="1"/>
  <c r="M12" i="39"/>
  <c r="V8" i="39" s="1"/>
  <c r="M8" i="43"/>
  <c r="Q8" i="43"/>
  <c r="M10" i="43"/>
  <c r="R8" i="43"/>
  <c r="S8" i="43"/>
  <c r="AK18" i="43" s="1"/>
  <c r="AL18" i="43" s="1"/>
  <c r="AM18" i="43" s="1"/>
  <c r="H123" i="54"/>
  <c r="G123" i="54"/>
  <c r="H127" i="54"/>
  <c r="G127" i="54"/>
  <c r="Y123" i="54"/>
  <c r="Y135" i="54"/>
  <c r="Y137" i="54"/>
  <c r="AB129" i="54"/>
  <c r="AB131" i="54"/>
  <c r="G125" i="54"/>
  <c r="X145" i="54"/>
  <c r="H129" i="54"/>
  <c r="G107" i="54"/>
  <c r="S133" i="54"/>
  <c r="M129" i="54"/>
  <c r="V137" i="54"/>
  <c r="P125" i="54"/>
  <c r="AA135" i="54"/>
  <c r="AA145" i="54"/>
  <c r="P129" i="54"/>
  <c r="S125" i="54"/>
  <c r="AA133" i="54"/>
  <c r="AA137" i="54"/>
  <c r="J135" i="54"/>
  <c r="BJ6" i="57"/>
  <c r="BN6" i="57" s="1" a="1"/>
  <c r="BJ5" i="57" a="1"/>
  <c r="BB12" i="57" s="1"/>
  <c r="X137" i="54"/>
  <c r="M135" i="54"/>
  <c r="M141" i="54"/>
  <c r="V125" i="54"/>
  <c r="X135" i="54"/>
  <c r="AA127" i="54"/>
  <c r="AE107" i="54"/>
  <c r="AE109" i="54" s="1"/>
  <c r="AB133" i="54"/>
  <c r="J139" i="54"/>
  <c r="M139" i="54"/>
  <c r="P135" i="54"/>
  <c r="J123" i="54"/>
  <c r="V127" i="54"/>
  <c r="P139" i="54"/>
  <c r="P131" i="54"/>
  <c r="X133" i="54"/>
  <c r="AA125" i="54"/>
  <c r="V133" i="54"/>
  <c r="AA131" i="54"/>
  <c r="AA129" i="54"/>
  <c r="M131" i="54"/>
  <c r="S139" i="54"/>
  <c r="S135" i="54"/>
  <c r="M123" i="54"/>
  <c r="V143" i="54"/>
  <c r="K178" i="54"/>
  <c r="N178" i="54"/>
  <c r="G121" i="54"/>
  <c r="G133" i="54"/>
  <c r="G152" i="54"/>
  <c r="G129" i="54"/>
  <c r="D121" i="54"/>
  <c r="G108" i="54"/>
  <c r="K152" i="54"/>
  <c r="S109" i="54"/>
  <c r="W172" i="54"/>
  <c r="X175" i="54"/>
  <c r="W174" i="54"/>
  <c r="X177" i="54"/>
  <c r="W177" i="54" s="1"/>
  <c r="W176" i="54"/>
  <c r="X165" i="54"/>
  <c r="W165" i="54" s="1"/>
  <c r="W164" i="54"/>
  <c r="X169" i="54"/>
  <c r="W169" i="54" s="1"/>
  <c r="W168" i="54"/>
  <c r="W170" i="54"/>
  <c r="W179" i="54"/>
  <c r="W152" i="54"/>
  <c r="X167" i="54"/>
  <c r="W167" i="54" s="1"/>
  <c r="AA155" i="54"/>
  <c r="Z155" i="54" s="1"/>
  <c r="Z154" i="54"/>
  <c r="AA157" i="54"/>
  <c r="Z156" i="54"/>
  <c r="AA159" i="54"/>
  <c r="Z159" i="54" s="1"/>
  <c r="Z158" i="54"/>
  <c r="AA161" i="54"/>
  <c r="Z160" i="54"/>
  <c r="AA163" i="54"/>
  <c r="Z162" i="54"/>
  <c r="AA165" i="54"/>
  <c r="Z164" i="54"/>
  <c r="AA167" i="54"/>
  <c r="Z167" i="54" s="1"/>
  <c r="Z166" i="54"/>
  <c r="Z179" i="54"/>
  <c r="AA177" i="54"/>
  <c r="Z177" i="54" s="1"/>
  <c r="AA169" i="54"/>
  <c r="Z169" i="54" s="1"/>
  <c r="AA152" i="54"/>
  <c r="Z152" i="54" s="1"/>
  <c r="X163" i="54"/>
  <c r="W163" i="54" s="1"/>
  <c r="X161" i="54"/>
  <c r="W161" i="54" s="1"/>
  <c r="X159" i="54"/>
  <c r="W159" i="54" s="1"/>
  <c r="X157" i="54"/>
  <c r="W157" i="54" s="1"/>
  <c r="X155" i="54"/>
  <c r="W155" i="54" s="1"/>
  <c r="AB179" i="54"/>
  <c r="AB152" i="54"/>
  <c r="AB172" i="54"/>
  <c r="AB174" i="54"/>
  <c r="AB176" i="54"/>
  <c r="AB180" i="54"/>
  <c r="AB154" i="54"/>
  <c r="AB156" i="54"/>
  <c r="AB158" i="54"/>
  <c r="AB160" i="54"/>
  <c r="AB162" i="54"/>
  <c r="AB164" i="54"/>
  <c r="AB166" i="54"/>
  <c r="AB168" i="54"/>
  <c r="AB170" i="54"/>
  <c r="Y152" i="54"/>
  <c r="Y172" i="54"/>
  <c r="Y174" i="54"/>
  <c r="Y176" i="54"/>
  <c r="Y180" i="54"/>
  <c r="Y154" i="54"/>
  <c r="Y156" i="54"/>
  <c r="Y158" i="54"/>
  <c r="Y160" i="54"/>
  <c r="Y162" i="54"/>
  <c r="Y164" i="54"/>
  <c r="Y166" i="54"/>
  <c r="Y168" i="54"/>
  <c r="Y170" i="54"/>
  <c r="Y179" i="54"/>
  <c r="V180" i="54"/>
  <c r="T180" i="54"/>
  <c r="V179" i="54"/>
  <c r="T179" i="54"/>
  <c r="S180" i="54"/>
  <c r="Q180" i="54"/>
  <c r="S179" i="54"/>
  <c r="Q179" i="54"/>
  <c r="P180" i="54"/>
  <c r="N180" i="54"/>
  <c r="P179" i="54"/>
  <c r="N179" i="54"/>
  <c r="M180" i="54"/>
  <c r="M179" i="54"/>
  <c r="M174" i="54"/>
  <c r="H179" i="54"/>
  <c r="U145" i="54"/>
  <c r="U176" i="54"/>
  <c r="U143" i="54"/>
  <c r="U174" i="54"/>
  <c r="U141" i="54"/>
  <c r="U172" i="54"/>
  <c r="S174" i="54"/>
  <c r="R145" i="54"/>
  <c r="R176" i="54"/>
  <c r="Q176" i="54" s="1"/>
  <c r="R141" i="54"/>
  <c r="R172" i="54"/>
  <c r="P174" i="54"/>
  <c r="O145" i="54"/>
  <c r="O176" i="54"/>
  <c r="N176" i="54" s="1"/>
  <c r="O141" i="54"/>
  <c r="O172" i="54"/>
  <c r="L145" i="54"/>
  <c r="L176" i="54"/>
  <c r="K176" i="54" s="1"/>
  <c r="L141" i="54"/>
  <c r="L172" i="54"/>
  <c r="K172" i="54" s="1"/>
  <c r="G175" i="54"/>
  <c r="H174" i="54"/>
  <c r="F179" i="54"/>
  <c r="G180" i="54"/>
  <c r="F180" i="54" s="1"/>
  <c r="G145" i="54"/>
  <c r="G176" i="54"/>
  <c r="F176" i="54" s="1"/>
  <c r="G141" i="54"/>
  <c r="G172" i="54"/>
  <c r="F172" i="54" s="1"/>
  <c r="AB143" i="54"/>
  <c r="AB141" i="54"/>
  <c r="AB139" i="54"/>
  <c r="AA143" i="54"/>
  <c r="AA175" i="54" s="1"/>
  <c r="Z175" i="54" s="1"/>
  <c r="AA141" i="54"/>
  <c r="AA173" i="54" s="1"/>
  <c r="Z173" i="54" s="1"/>
  <c r="AA139" i="54"/>
  <c r="AA171" i="54" s="1"/>
  <c r="Z171" i="54" s="1"/>
  <c r="Y141" i="54"/>
  <c r="Y139" i="54"/>
  <c r="X143" i="54"/>
  <c r="X141" i="54"/>
  <c r="X173" i="54" s="1"/>
  <c r="X139" i="54"/>
  <c r="X171" i="54" s="1"/>
  <c r="R143" i="54"/>
  <c r="R175" i="54" s="1"/>
  <c r="P143" i="54"/>
  <c r="O143" i="54"/>
  <c r="O175" i="54" s="1"/>
  <c r="M143" i="54"/>
  <c r="L143" i="54"/>
  <c r="L175" i="54" s="1"/>
  <c r="K175" i="54" s="1"/>
  <c r="J143" i="54"/>
  <c r="H143" i="54"/>
  <c r="H141" i="54"/>
  <c r="G143" i="54"/>
  <c r="G139" i="54"/>
  <c r="E144" i="54"/>
  <c r="D147" i="54"/>
  <c r="E147" i="54" s="1"/>
  <c r="E146" i="54"/>
  <c r="D139" i="54"/>
  <c r="E139" i="54" s="1"/>
  <c r="AA107" i="54"/>
  <c r="AC107" i="54"/>
  <c r="D143" i="54" s="1"/>
  <c r="E143" i="54" s="1"/>
  <c r="AA121" i="54"/>
  <c r="AB121" i="54"/>
  <c r="X121" i="54"/>
  <c r="X153" i="54" s="1"/>
  <c r="Y121" i="54"/>
  <c r="N152" i="54"/>
  <c r="O153" i="54"/>
  <c r="P153" i="54" s="1"/>
  <c r="P152" i="54"/>
  <c r="M152" i="54"/>
  <c r="Q152" i="54"/>
  <c r="R153" i="54"/>
  <c r="S152" i="54"/>
  <c r="T152" i="54"/>
  <c r="V152" i="54"/>
  <c r="U153" i="54"/>
  <c r="F152" i="54"/>
  <c r="G153" i="54"/>
  <c r="H152" i="54"/>
  <c r="L139" i="54"/>
  <c r="O139" i="54"/>
  <c r="R139" i="54"/>
  <c r="U139" i="54"/>
  <c r="G170" i="54"/>
  <c r="F170" i="54" s="1"/>
  <c r="L170" i="54"/>
  <c r="K170" i="54" s="1"/>
  <c r="L137" i="54"/>
  <c r="O170" i="54"/>
  <c r="N170" i="54" s="1"/>
  <c r="O137" i="54"/>
  <c r="R170" i="54"/>
  <c r="R137" i="54"/>
  <c r="U170" i="54"/>
  <c r="T170" i="54" s="1"/>
  <c r="U137" i="54"/>
  <c r="D137" i="54"/>
  <c r="E137" i="54" s="1"/>
  <c r="W109" i="54"/>
  <c r="G168" i="54"/>
  <c r="F168" i="54" s="1"/>
  <c r="L168" i="54"/>
  <c r="K168" i="54" s="1"/>
  <c r="L135" i="54"/>
  <c r="O168" i="54"/>
  <c r="O135" i="54"/>
  <c r="R168" i="54"/>
  <c r="R135" i="54"/>
  <c r="U168" i="54"/>
  <c r="T168" i="54" s="1"/>
  <c r="U135" i="54"/>
  <c r="G166" i="54"/>
  <c r="F166" i="54" s="1"/>
  <c r="L166" i="54"/>
  <c r="K166" i="54" s="1"/>
  <c r="L133" i="54"/>
  <c r="O166" i="54"/>
  <c r="O133" i="54"/>
  <c r="R166" i="54"/>
  <c r="R133" i="54"/>
  <c r="U166" i="54"/>
  <c r="U133" i="54"/>
  <c r="D133" i="54"/>
  <c r="E133" i="54" s="1"/>
  <c r="G164" i="54"/>
  <c r="F164" i="54" s="1"/>
  <c r="L164" i="54"/>
  <c r="K164" i="54" s="1"/>
  <c r="L131" i="54"/>
  <c r="O164" i="54"/>
  <c r="O131" i="54"/>
  <c r="R164" i="54"/>
  <c r="R131" i="54"/>
  <c r="U164" i="54"/>
  <c r="U131" i="54"/>
  <c r="R162" i="54"/>
  <c r="R129" i="54"/>
  <c r="U162" i="54"/>
  <c r="U129" i="54"/>
  <c r="G162" i="54"/>
  <c r="L162" i="54"/>
  <c r="K162" i="54" s="1"/>
  <c r="L129" i="54"/>
  <c r="O162" i="54"/>
  <c r="O129" i="54"/>
  <c r="D129" i="54"/>
  <c r="E129" i="54" s="1"/>
  <c r="O109" i="54"/>
  <c r="R160" i="54"/>
  <c r="R127" i="54"/>
  <c r="U160" i="54"/>
  <c r="U127" i="54"/>
  <c r="G160" i="54"/>
  <c r="J129" i="54"/>
  <c r="J127" i="54"/>
  <c r="L160" i="54"/>
  <c r="K160" i="54" s="1"/>
  <c r="L127" i="54"/>
  <c r="O160" i="54"/>
  <c r="O127" i="54"/>
  <c r="G158" i="54"/>
  <c r="L158" i="54"/>
  <c r="K158" i="54" s="1"/>
  <c r="L125" i="54"/>
  <c r="O158" i="54"/>
  <c r="O125" i="54"/>
  <c r="R158" i="54"/>
  <c r="R125" i="54"/>
  <c r="U158" i="54"/>
  <c r="U125" i="54"/>
  <c r="D125" i="54"/>
  <c r="E125" i="54" s="1"/>
  <c r="K109" i="54"/>
  <c r="G156" i="54"/>
  <c r="L156" i="54"/>
  <c r="K156" i="54" s="1"/>
  <c r="L123" i="54"/>
  <c r="O156" i="54"/>
  <c r="O123" i="54"/>
  <c r="R156" i="54"/>
  <c r="R123" i="54"/>
  <c r="U156" i="54"/>
  <c r="U123" i="54"/>
  <c r="D123" i="54"/>
  <c r="E123" i="54" s="1"/>
  <c r="E121" i="54"/>
  <c r="G109" i="54"/>
  <c r="G154" i="54"/>
  <c r="H121" i="54"/>
  <c r="J121" i="54"/>
  <c r="L154" i="54"/>
  <c r="K154" i="54" s="1"/>
  <c r="L121" i="54"/>
  <c r="M121" i="54"/>
  <c r="O154" i="54"/>
  <c r="O121" i="54"/>
  <c r="N153" i="54" s="1"/>
  <c r="P121" i="54"/>
  <c r="R154" i="54"/>
  <c r="R121" i="54"/>
  <c r="S121" i="54"/>
  <c r="U154" i="54"/>
  <c r="U121" i="54"/>
  <c r="V121" i="54"/>
  <c r="DU28" i="42"/>
  <c r="CI29" i="42"/>
  <c r="CN29" i="42" s="1"/>
  <c r="CZ28" i="42"/>
  <c r="DK28" i="42" s="1"/>
  <c r="CG28" i="38"/>
  <c r="CL28" i="38" s="1"/>
  <c r="CG29" i="42"/>
  <c r="CL29" i="42" s="1"/>
  <c r="CG28" i="42"/>
  <c r="CL28" i="42" s="1"/>
  <c r="CI32" i="42"/>
  <c r="CN32" i="42" s="1"/>
  <c r="CI31" i="42"/>
  <c r="CN31" i="42" s="1"/>
  <c r="CG31" i="42"/>
  <c r="CL31" i="42" s="1"/>
  <c r="CV28" i="42"/>
  <c r="FU17" i="46"/>
  <c r="FU31" i="46"/>
  <c r="DQ16" i="46"/>
  <c r="DY16" i="46" s="1"/>
  <c r="CI30" i="38"/>
  <c r="CN30" i="38" s="1"/>
  <c r="CG32" i="38"/>
  <c r="CL32" i="38" s="1"/>
  <c r="CI31" i="38"/>
  <c r="CN31" i="38" s="1"/>
  <c r="CI27" i="38"/>
  <c r="CN27" i="38" s="1"/>
  <c r="DU28" i="38"/>
  <c r="DX28" i="38" s="1"/>
  <c r="CZ28" i="38"/>
  <c r="DK28" i="38" s="1"/>
  <c r="CI28" i="38"/>
  <c r="CN28" i="38" s="1"/>
  <c r="CG31" i="38"/>
  <c r="CL31" i="38" s="1"/>
  <c r="CG29" i="38"/>
  <c r="CL29" i="38" s="1"/>
  <c r="CV28" i="38"/>
  <c r="CI32" i="38"/>
  <c r="CN32" i="38" s="1"/>
  <c r="CG27" i="38"/>
  <c r="CL27" i="38" s="1"/>
  <c r="CI29" i="38"/>
  <c r="CN29" i="38" s="1"/>
  <c r="CI14" i="38"/>
  <c r="CN14" i="38" s="1"/>
  <c r="CG13" i="38"/>
  <c r="CG17" i="38"/>
  <c r="CL17" i="38" s="1"/>
  <c r="CI16" i="38"/>
  <c r="CN16" i="38" s="1"/>
  <c r="CI15" i="38"/>
  <c r="CN15" i="38" s="1"/>
  <c r="CI18" i="38"/>
  <c r="CN18" i="38" s="1"/>
  <c r="CG14" i="38"/>
  <c r="CL14" i="38" s="1"/>
  <c r="CI17" i="38"/>
  <c r="CN17" i="38" s="1"/>
  <c r="CG18" i="38"/>
  <c r="CL18" i="38" s="1"/>
  <c r="CI13" i="38"/>
  <c r="CN13" i="38" s="1"/>
  <c r="CG16" i="38"/>
  <c r="CL16" i="38" s="1"/>
  <c r="DU14" i="38"/>
  <c r="CZ14" i="38"/>
  <c r="CV14" i="38"/>
  <c r="CG15" i="38"/>
  <c r="CL15" i="38" s="1"/>
  <c r="CG32" i="42"/>
  <c r="CL32" i="42" s="1"/>
  <c r="CI30" i="42"/>
  <c r="CN30" i="42" s="1"/>
  <c r="CI28" i="42"/>
  <c r="CN28" i="42" s="1"/>
  <c r="CQ14" i="42"/>
  <c r="CI27" i="42"/>
  <c r="CN27" i="42" s="1"/>
  <c r="CG27" i="42"/>
  <c r="CL27" i="42" s="1"/>
  <c r="CS14" i="42"/>
  <c r="CG15" i="42" s="1"/>
  <c r="CL15" i="42" s="1"/>
  <c r="DT14" i="42"/>
  <c r="DU43" i="46"/>
  <c r="EC43" i="46" s="1"/>
  <c r="DQ46" i="46"/>
  <c r="DY46" i="46" s="1"/>
  <c r="DS47" i="46"/>
  <c r="EA47" i="46" s="1"/>
  <c r="DS46" i="46"/>
  <c r="EA46" i="46" s="1"/>
  <c r="DQ45" i="46"/>
  <c r="DY45" i="46" s="1"/>
  <c r="DS43" i="46"/>
  <c r="EA43" i="46" s="1"/>
  <c r="DU44" i="46"/>
  <c r="EC44" i="46" s="1"/>
  <c r="DU47" i="46"/>
  <c r="EC47" i="46" s="1"/>
  <c r="DU46" i="46"/>
  <c r="EC46" i="46" s="1"/>
  <c r="DQ43" i="46"/>
  <c r="DY43" i="46" s="1"/>
  <c r="DS45" i="46"/>
  <c r="EA45" i="46" s="1"/>
  <c r="DQ42" i="46"/>
  <c r="DQ47" i="46"/>
  <c r="DY47" i="46" s="1"/>
  <c r="DU42" i="46"/>
  <c r="EC42" i="46" s="1"/>
  <c r="DS44" i="46"/>
  <c r="EA44" i="46" s="1"/>
  <c r="DS42" i="46"/>
  <c r="EA42" i="46" s="1"/>
  <c r="DQ44" i="46"/>
  <c r="DY44" i="46" s="1"/>
  <c r="DU45" i="46"/>
  <c r="EC45" i="46" s="1"/>
  <c r="DQ28" i="46"/>
  <c r="DR17" i="46"/>
  <c r="DZ17" i="46" s="1"/>
  <c r="DS19" i="46"/>
  <c r="EA19" i="46" s="1"/>
  <c r="DT18" i="46"/>
  <c r="EB18" i="46" s="1"/>
  <c r="DT15" i="46"/>
  <c r="EB15" i="46" s="1"/>
  <c r="DU16" i="46"/>
  <c r="EC16" i="46" s="1"/>
  <c r="DU19" i="46"/>
  <c r="EC19" i="46" s="1"/>
  <c r="DS15" i="46"/>
  <c r="EA15" i="46" s="1"/>
  <c r="DR19" i="46"/>
  <c r="DZ19" i="46" s="1"/>
  <c r="DV14" i="46"/>
  <c r="ED14" i="46" s="1"/>
  <c r="DS17" i="46"/>
  <c r="EA17" i="46" s="1"/>
  <c r="DU14" i="46"/>
  <c r="EC14" i="46" s="1"/>
  <c r="DV18" i="46"/>
  <c r="ED18" i="46" s="1"/>
  <c r="DT17" i="46"/>
  <c r="EB17" i="46" s="1"/>
  <c r="DR15" i="46"/>
  <c r="DZ15" i="46" s="1"/>
  <c r="DT19" i="46"/>
  <c r="EB19" i="46" s="1"/>
  <c r="DU18" i="46"/>
  <c r="EC18" i="46" s="1"/>
  <c r="DT16" i="46"/>
  <c r="EB16" i="46" s="1"/>
  <c r="DR16" i="46"/>
  <c r="DZ16" i="46" s="1"/>
  <c r="DV17" i="46"/>
  <c r="ED17" i="46" s="1"/>
  <c r="DU15" i="46"/>
  <c r="EC15" i="46" s="1"/>
  <c r="DQ19" i="46"/>
  <c r="DY19" i="46" s="1"/>
  <c r="DS14" i="46"/>
  <c r="EA14" i="46" s="1"/>
  <c r="DU17" i="46"/>
  <c r="EC17" i="46" s="1"/>
  <c r="DQ15" i="46"/>
  <c r="DY15" i="46" s="1"/>
  <c r="DS18" i="46"/>
  <c r="EA18" i="46" s="1"/>
  <c r="DV19" i="46"/>
  <c r="ED19" i="46" s="1"/>
  <c r="DT14" i="46"/>
  <c r="EB14" i="46" s="1"/>
  <c r="DV15" i="46"/>
  <c r="ED15" i="46" s="1"/>
  <c r="DR18" i="46"/>
  <c r="DZ18" i="46" s="1"/>
  <c r="DR14" i="46"/>
  <c r="DZ14" i="46" s="1"/>
  <c r="DV16" i="46"/>
  <c r="ED16" i="46" s="1"/>
  <c r="DS16" i="46"/>
  <c r="EA16" i="46" s="1"/>
  <c r="DQ17" i="46"/>
  <c r="DY17" i="46" s="1"/>
  <c r="DQ18" i="46"/>
  <c r="DY18" i="46" s="1"/>
  <c r="DU28" i="46"/>
  <c r="EC28" i="46" s="1"/>
  <c r="DQ31" i="46"/>
  <c r="DY31" i="46" s="1"/>
  <c r="DS28" i="46"/>
  <c r="EA28" i="46" s="1"/>
  <c r="DQ32" i="46"/>
  <c r="DY32" i="46" s="1"/>
  <c r="DS32" i="46"/>
  <c r="EA32" i="46" s="1"/>
  <c r="DQ30" i="46"/>
  <c r="DY30" i="46" s="1"/>
  <c r="DS31" i="46"/>
  <c r="EA31" i="46" s="1"/>
  <c r="DQ33" i="46"/>
  <c r="DY33" i="46" s="1"/>
  <c r="DS33" i="46"/>
  <c r="EA33" i="46" s="1"/>
  <c r="DS30" i="46"/>
  <c r="EA30" i="46" s="1"/>
  <c r="DS29" i="46"/>
  <c r="EA29" i="46" s="1"/>
  <c r="DQ29" i="46"/>
  <c r="DY29" i="46" s="1"/>
  <c r="DU29" i="46"/>
  <c r="EC29" i="46" s="1"/>
  <c r="DU31" i="46"/>
  <c r="EC31" i="46" s="1"/>
  <c r="DU30" i="46"/>
  <c r="EC30" i="46" s="1"/>
  <c r="DU33" i="46"/>
  <c r="EC33" i="46" s="1"/>
  <c r="DU32" i="46"/>
  <c r="EC32" i="46" s="1"/>
  <c r="DQ14" i="46"/>
  <c r="DX28" i="42"/>
  <c r="EB28" i="42"/>
  <c r="EJ28" i="42" s="1"/>
  <c r="KH79" i="27"/>
  <c r="KF70" i="27"/>
  <c r="A17" i="21"/>
  <c r="A18" i="21"/>
  <c r="AK16" i="43" l="1"/>
  <c r="AL16" i="43" s="1"/>
  <c r="AM16" i="43" s="1"/>
  <c r="AM19" i="43" s="1"/>
  <c r="M12" i="43"/>
  <c r="N12" i="43"/>
  <c r="O12" i="43" s="1"/>
  <c r="AK21" i="43"/>
  <c r="AL21" i="43" s="1"/>
  <c r="AM21" i="43" s="1"/>
  <c r="N10" i="43"/>
  <c r="AK13" i="43"/>
  <c r="N8" i="43"/>
  <c r="Z10" i="39"/>
  <c r="Z9" i="39"/>
  <c r="AC9" i="39" s="1"/>
  <c r="Z8" i="39"/>
  <c r="O8" i="39"/>
  <c r="W8" i="39"/>
  <c r="AA8" i="39" s="1"/>
  <c r="AV8" i="39"/>
  <c r="AL13" i="39"/>
  <c r="AM13" i="39" s="1"/>
  <c r="AA10" i="39"/>
  <c r="AC10" i="39" s="1"/>
  <c r="O10" i="39"/>
  <c r="BB26" i="57"/>
  <c r="BB40" i="57" s="1"/>
  <c r="BL12" i="57"/>
  <c r="HD12" i="57" s="1"/>
  <c r="BI19" i="57" a="1"/>
  <c r="BF14" i="57" a="1"/>
  <c r="BF17" i="57" a="1"/>
  <c r="BF16" i="57" a="1"/>
  <c r="BD14" i="57" a="1"/>
  <c r="BH19" i="57" a="1"/>
  <c r="BI15" i="57" a="1"/>
  <c r="BB19" i="57" a="1"/>
  <c r="BB15" i="57" a="1"/>
  <c r="BH14" i="57" a="1"/>
  <c r="BD19" i="57" a="1"/>
  <c r="BB16" i="57" a="1"/>
  <c r="BH15" i="57" a="1"/>
  <c r="BF18" i="57" a="1"/>
  <c r="BD18" i="57" a="1"/>
  <c r="BI16" i="57" a="1"/>
  <c r="BI18" i="57" a="1"/>
  <c r="BF15" i="57" a="1"/>
  <c r="BB14" i="57" a="1"/>
  <c r="BD15" i="57" a="1"/>
  <c r="BB18" i="57" a="1"/>
  <c r="BB17" i="57" a="1"/>
  <c r="BD17" i="57" a="1"/>
  <c r="BH16" i="57" a="1"/>
  <c r="BD16" i="57" a="1"/>
  <c r="BF19" i="57" a="1"/>
  <c r="Z165" i="54"/>
  <c r="Z163" i="54"/>
  <c r="Z161" i="54"/>
  <c r="Z157" i="54"/>
  <c r="L153" i="54"/>
  <c r="K153" i="54" s="1"/>
  <c r="D145" i="54"/>
  <c r="E145" i="54" s="1"/>
  <c r="D141" i="54"/>
  <c r="E141" i="54" s="1"/>
  <c r="AA109" i="54"/>
  <c r="W153" i="54"/>
  <c r="W171" i="54"/>
  <c r="W175" i="54"/>
  <c r="W173" i="54"/>
  <c r="AA153" i="54"/>
  <c r="Z153" i="54" s="1"/>
  <c r="Z183" i="54" s="1" a="1"/>
  <c r="AB171" i="54"/>
  <c r="AB173" i="54"/>
  <c r="AB175" i="54"/>
  <c r="AB169" i="54"/>
  <c r="AB167" i="54"/>
  <c r="AB165" i="54"/>
  <c r="AB163" i="54"/>
  <c r="AB161" i="54"/>
  <c r="AB159" i="54"/>
  <c r="AB157" i="54"/>
  <c r="AB155" i="54"/>
  <c r="AB177" i="54"/>
  <c r="Y171" i="54"/>
  <c r="Y173" i="54"/>
  <c r="Y175" i="54"/>
  <c r="Y169" i="54"/>
  <c r="Y167" i="54"/>
  <c r="Y165" i="54"/>
  <c r="Y163" i="54"/>
  <c r="Y161" i="54"/>
  <c r="Y159" i="54"/>
  <c r="Y157" i="54"/>
  <c r="Y155" i="54"/>
  <c r="Y177" i="54"/>
  <c r="Y153" i="54"/>
  <c r="V172" i="54"/>
  <c r="T172" i="54"/>
  <c r="V174" i="54"/>
  <c r="T174" i="54"/>
  <c r="V176" i="54"/>
  <c r="T176" i="54"/>
  <c r="S175" i="54"/>
  <c r="Q175" i="54"/>
  <c r="P175" i="54"/>
  <c r="N175" i="54"/>
  <c r="F175" i="54"/>
  <c r="M175" i="54"/>
  <c r="H180" i="54"/>
  <c r="H175" i="54"/>
  <c r="U177" i="54"/>
  <c r="U175" i="54"/>
  <c r="U173" i="54"/>
  <c r="R177" i="54"/>
  <c r="S176" i="54"/>
  <c r="R173" i="54"/>
  <c r="S172" i="54"/>
  <c r="O177" i="54"/>
  <c r="P176" i="54"/>
  <c r="O173" i="54"/>
  <c r="P172" i="54"/>
  <c r="L177" i="54"/>
  <c r="K177" i="54" s="1"/>
  <c r="M176" i="54"/>
  <c r="L173" i="54"/>
  <c r="K173" i="54" s="1"/>
  <c r="M172" i="54"/>
  <c r="G177" i="54"/>
  <c r="F177" i="54" s="1"/>
  <c r="H176" i="54"/>
  <c r="G173" i="54"/>
  <c r="F173" i="54" s="1"/>
  <c r="H172" i="54"/>
  <c r="T154" i="54"/>
  <c r="V154" i="54"/>
  <c r="Q154" i="54"/>
  <c r="R155" i="54"/>
  <c r="S154" i="54"/>
  <c r="N154" i="54"/>
  <c r="O155" i="54"/>
  <c r="P154" i="54"/>
  <c r="M153" i="54"/>
  <c r="M154" i="54"/>
  <c r="F154" i="54"/>
  <c r="G155" i="54"/>
  <c r="H154" i="54"/>
  <c r="U155" i="54"/>
  <c r="T155" i="54" s="1"/>
  <c r="T156" i="54"/>
  <c r="V156" i="54"/>
  <c r="Q156" i="54"/>
  <c r="R157" i="54"/>
  <c r="S156" i="54"/>
  <c r="N156" i="54"/>
  <c r="P156" i="54"/>
  <c r="L155" i="54"/>
  <c r="K155" i="54" s="1"/>
  <c r="M156" i="54"/>
  <c r="F156" i="54"/>
  <c r="G157" i="54"/>
  <c r="H156" i="54"/>
  <c r="U157" i="54"/>
  <c r="T157" i="54" s="1"/>
  <c r="T158" i="54"/>
  <c r="V158" i="54"/>
  <c r="Q158" i="54"/>
  <c r="S158" i="54"/>
  <c r="O157" i="54"/>
  <c r="N158" i="54"/>
  <c r="P158" i="54"/>
  <c r="L157" i="54"/>
  <c r="K157" i="54" s="1"/>
  <c r="M158" i="54"/>
  <c r="F158" i="54"/>
  <c r="G159" i="54"/>
  <c r="H158" i="54"/>
  <c r="O159" i="54"/>
  <c r="N160" i="54"/>
  <c r="P160" i="54"/>
  <c r="L159" i="54"/>
  <c r="K159" i="54" s="1"/>
  <c r="M160" i="54"/>
  <c r="F160" i="54"/>
  <c r="H160" i="54"/>
  <c r="U159" i="54"/>
  <c r="T160" i="54"/>
  <c r="V160" i="54"/>
  <c r="R159" i="54"/>
  <c r="Q160" i="54"/>
  <c r="R161" i="54"/>
  <c r="S160" i="54"/>
  <c r="O161" i="54"/>
  <c r="N162" i="54"/>
  <c r="P162" i="54"/>
  <c r="L161" i="54"/>
  <c r="K161" i="54" s="1"/>
  <c r="M162" i="54"/>
  <c r="G161" i="54"/>
  <c r="F162" i="54"/>
  <c r="H162" i="54"/>
  <c r="U161" i="54"/>
  <c r="T162" i="54"/>
  <c r="V162" i="54"/>
  <c r="Q162" i="54"/>
  <c r="S162" i="54"/>
  <c r="U163" i="54"/>
  <c r="T164" i="54"/>
  <c r="V164" i="54"/>
  <c r="R163" i="54"/>
  <c r="Q164" i="54"/>
  <c r="R165" i="54"/>
  <c r="S164" i="54"/>
  <c r="O163" i="54"/>
  <c r="N164" i="54"/>
  <c r="P164" i="54"/>
  <c r="L163" i="54"/>
  <c r="K163" i="54" s="1"/>
  <c r="M164" i="54"/>
  <c r="G163" i="54"/>
  <c r="F163" i="54" s="1"/>
  <c r="G165" i="54"/>
  <c r="F165" i="54" s="1"/>
  <c r="H164" i="54"/>
  <c r="U165" i="54"/>
  <c r="T166" i="54"/>
  <c r="V166" i="54"/>
  <c r="Q166" i="54"/>
  <c r="S166" i="54"/>
  <c r="O165" i="54"/>
  <c r="N166" i="54"/>
  <c r="P166" i="54"/>
  <c r="L165" i="54"/>
  <c r="K165" i="54" s="1"/>
  <c r="M166" i="54"/>
  <c r="H166" i="54"/>
  <c r="U167" i="54"/>
  <c r="T167" i="54" s="1"/>
  <c r="V168" i="54"/>
  <c r="R167" i="54"/>
  <c r="Q168" i="54"/>
  <c r="R169" i="54"/>
  <c r="S168" i="54"/>
  <c r="O167" i="54"/>
  <c r="N168" i="54"/>
  <c r="P168" i="54"/>
  <c r="L167" i="54"/>
  <c r="K167" i="54" s="1"/>
  <c r="M168" i="54"/>
  <c r="G167" i="54"/>
  <c r="F167" i="54" s="1"/>
  <c r="G169" i="54"/>
  <c r="F169" i="54" s="1"/>
  <c r="H168" i="54"/>
  <c r="U169" i="54"/>
  <c r="T169" i="54" s="1"/>
  <c r="V170" i="54"/>
  <c r="Q170" i="54"/>
  <c r="S170" i="54"/>
  <c r="O169" i="54"/>
  <c r="P170" i="54"/>
  <c r="L169" i="54"/>
  <c r="K169" i="54" s="1"/>
  <c r="M170" i="54"/>
  <c r="G171" i="54"/>
  <c r="F171" i="54" s="1"/>
  <c r="H170" i="54"/>
  <c r="U171" i="54"/>
  <c r="T171" i="54" s="1"/>
  <c r="R171" i="54"/>
  <c r="Q172" i="54"/>
  <c r="O171" i="54"/>
  <c r="N171" i="54" s="1"/>
  <c r="N172" i="54"/>
  <c r="L171" i="54"/>
  <c r="K171" i="54" s="1"/>
  <c r="H153" i="54"/>
  <c r="F153" i="54"/>
  <c r="T153" i="54"/>
  <c r="V153" i="54"/>
  <c r="S153" i="54"/>
  <c r="Q153" i="54"/>
  <c r="DF28" i="42"/>
  <c r="DF28" i="38"/>
  <c r="DW28" i="38" a="1"/>
  <c r="EB28" i="38"/>
  <c r="EJ28" i="38" s="1"/>
  <c r="EO28" i="46"/>
  <c r="EO14" i="46"/>
  <c r="EO42" i="46"/>
  <c r="DY42" i="46"/>
  <c r="FK42" i="46" s="1"/>
  <c r="DY14" i="46"/>
  <c r="EX14" i="46" s="1"/>
  <c r="DY28" i="46"/>
  <c r="FU28" i="46" s="1"/>
  <c r="CU28" i="38" a="1"/>
  <c r="DW28" i="42" a="1"/>
  <c r="DK14" i="38"/>
  <c r="DF14" i="38"/>
  <c r="EB14" i="38"/>
  <c r="EJ14" i="38" s="1"/>
  <c r="DX14" i="38"/>
  <c r="CU28" i="42" a="1"/>
  <c r="CL13" i="38"/>
  <c r="DW14" i="38" s="1" a="1"/>
  <c r="CU14" i="38" a="1"/>
  <c r="CI14" i="42"/>
  <c r="CN14" i="42" s="1"/>
  <c r="CI17" i="42"/>
  <c r="CN17" i="42" s="1"/>
  <c r="CI18" i="42"/>
  <c r="CN18" i="42" s="1"/>
  <c r="CV14" i="42"/>
  <c r="CG13" i="42"/>
  <c r="CG14" i="42"/>
  <c r="CL14" i="42" s="1"/>
  <c r="CG18" i="42"/>
  <c r="CL18" i="42" s="1"/>
  <c r="CG17" i="42"/>
  <c r="CL17" i="42" s="1"/>
  <c r="CG16" i="42"/>
  <c r="CL16" i="42" s="1"/>
  <c r="CI13" i="42"/>
  <c r="CN13" i="42" s="1"/>
  <c r="CI15" i="42"/>
  <c r="CN15" i="42" s="1"/>
  <c r="CI16" i="42"/>
  <c r="CN16" i="42" s="1"/>
  <c r="CZ14" i="42"/>
  <c r="DU14" i="42"/>
  <c r="KL65" i="27"/>
  <c r="KL66" i="27"/>
  <c r="KL67" i="27"/>
  <c r="KN67" i="27"/>
  <c r="KN64" i="27"/>
  <c r="KN62" i="27"/>
  <c r="KL64" i="27"/>
  <c r="KN65" i="27"/>
  <c r="KL63" i="27"/>
  <c r="KN63" i="27"/>
  <c r="KN66" i="27"/>
  <c r="KL62" i="27"/>
  <c r="B17" i="21"/>
  <c r="B18" i="21"/>
  <c r="BN14" i="39" l="1"/>
  <c r="BA8" i="39" a="1"/>
  <c r="AW8" i="39"/>
  <c r="AC8" i="39"/>
  <c r="O8" i="43"/>
  <c r="W8" i="43"/>
  <c r="AA8" i="43" s="1"/>
  <c r="AL13" i="43"/>
  <c r="AM13" i="43" s="1"/>
  <c r="AV8" i="43"/>
  <c r="AA10" i="43"/>
  <c r="O10" i="43"/>
  <c r="V8" i="43"/>
  <c r="Z10" i="43"/>
  <c r="AC10" i="43" s="1"/>
  <c r="BD43" i="57"/>
  <c r="BE43" i="57"/>
  <c r="BE29" i="57"/>
  <c r="BO15" i="57" s="1"/>
  <c r="HG15" i="57" s="1"/>
  <c r="BD29" i="57"/>
  <c r="BN15" i="57" s="1"/>
  <c r="HF15" i="57" s="1"/>
  <c r="BB42" i="57"/>
  <c r="BB28" i="57"/>
  <c r="BL14" i="57" s="1"/>
  <c r="HD14" i="57" s="1"/>
  <c r="BC42" i="57"/>
  <c r="BC28" i="57"/>
  <c r="BM14" i="57" s="1"/>
  <c r="HE14" i="57" s="1"/>
  <c r="BF43" i="57"/>
  <c r="BG29" i="57"/>
  <c r="BQ15" i="57" s="1"/>
  <c r="HI15" i="57" s="1"/>
  <c r="BG43" i="57"/>
  <c r="BF29" i="57"/>
  <c r="BP15" i="57" s="1"/>
  <c r="HH15" i="57" s="1"/>
  <c r="BI32" i="57"/>
  <c r="BS18" i="57"/>
  <c r="HK18" i="57" s="1"/>
  <c r="BI46" i="57"/>
  <c r="BC45" i="57"/>
  <c r="BB31" i="57"/>
  <c r="BL17" i="57" s="1"/>
  <c r="HD17" i="57" s="1"/>
  <c r="BB45" i="57"/>
  <c r="BC31" i="57"/>
  <c r="BM17" i="57" s="1"/>
  <c r="HE17" i="57" s="1"/>
  <c r="BE46" i="57"/>
  <c r="BE32" i="57"/>
  <c r="BO18" i="57" s="1"/>
  <c r="HG18" i="57" s="1"/>
  <c r="BD46" i="57"/>
  <c r="BD32" i="57"/>
  <c r="BN18" i="57" s="1"/>
  <c r="HF18" i="57" s="1"/>
  <c r="BI30" i="57"/>
  <c r="BI44" i="57" s="1"/>
  <c r="BS16" i="57"/>
  <c r="HK16" i="57" s="1"/>
  <c r="BG46" i="57"/>
  <c r="BG32" i="57"/>
  <c r="BQ18" i="57" s="1"/>
  <c r="HI18" i="57" s="1"/>
  <c r="BF46" i="57"/>
  <c r="BF32" i="57"/>
  <c r="BP18" i="57" s="1"/>
  <c r="HH18" i="57" s="1"/>
  <c r="BH29" i="57"/>
  <c r="BH43" i="57" s="1"/>
  <c r="BR15" i="57"/>
  <c r="HJ15" i="57" s="1"/>
  <c r="BC30" i="57"/>
  <c r="BM16" i="57" s="1"/>
  <c r="HE16" i="57" s="1"/>
  <c r="BB30" i="57"/>
  <c r="BL16" i="57" s="1"/>
  <c r="HD16" i="57" s="1"/>
  <c r="BC44" i="57"/>
  <c r="BB44" i="57"/>
  <c r="BE47" i="57"/>
  <c r="BE33" i="57"/>
  <c r="BO19" i="57" s="1"/>
  <c r="HG19" i="57" s="1"/>
  <c r="BD47" i="57"/>
  <c r="BD33" i="57"/>
  <c r="BN19" i="57" s="1"/>
  <c r="HF19" i="57" s="1"/>
  <c r="BH28" i="57"/>
  <c r="BH42" i="57" s="1"/>
  <c r="BR14" i="57"/>
  <c r="HJ14" i="57" s="1"/>
  <c r="BC43" i="57"/>
  <c r="BC29" i="57"/>
  <c r="BM15" i="57" s="1"/>
  <c r="HE15" i="57" s="1"/>
  <c r="BB43" i="57"/>
  <c r="BB29" i="57"/>
  <c r="BL15" i="57" s="1"/>
  <c r="HD15" i="57" s="1"/>
  <c r="BC47" i="57"/>
  <c r="BB33" i="57"/>
  <c r="BL19" i="57" s="1"/>
  <c r="HD19" i="57" s="1"/>
  <c r="BB47" i="57"/>
  <c r="BC33" i="57"/>
  <c r="BM19" i="57" s="1"/>
  <c r="HE19" i="57" s="1"/>
  <c r="AB153" i="54"/>
  <c r="BD42" i="57"/>
  <c r="BD28" i="57"/>
  <c r="BN14" i="57" s="1"/>
  <c r="HF14" i="57" s="1"/>
  <c r="BE28" i="57"/>
  <c r="BO14" i="57" s="1"/>
  <c r="HG14" i="57" s="1"/>
  <c r="BE42" i="57"/>
  <c r="BG44" i="57"/>
  <c r="BF44" i="57"/>
  <c r="BF30" i="57"/>
  <c r="BP16" i="57" s="1"/>
  <c r="HH16" i="57" s="1"/>
  <c r="BG30" i="57"/>
  <c r="BQ16" i="57" s="1"/>
  <c r="HI16" i="57" s="1"/>
  <c r="BF42" i="57"/>
  <c r="BG42" i="57"/>
  <c r="BG28" i="57"/>
  <c r="BQ14" i="57" s="1"/>
  <c r="HI14" i="57" s="1"/>
  <c r="BF28" i="57"/>
  <c r="BP14" i="57" s="1"/>
  <c r="HH14" i="57" s="1"/>
  <c r="BE44" i="57"/>
  <c r="BD44" i="57"/>
  <c r="BE30" i="57"/>
  <c r="BO16" i="57" s="1"/>
  <c r="HG16" i="57" s="1"/>
  <c r="BD30" i="57"/>
  <c r="BN16" i="57" s="1"/>
  <c r="HF16" i="57" s="1"/>
  <c r="BI47" i="57"/>
  <c r="BI33" i="57"/>
  <c r="BS19" i="57"/>
  <c r="HK19" i="57" s="1"/>
  <c r="AQ12" i="57"/>
  <c r="AQ26" i="57"/>
  <c r="BC46" i="57"/>
  <c r="BB46" i="57"/>
  <c r="BC32" i="57"/>
  <c r="BM18" i="57" s="1"/>
  <c r="HE18" i="57" s="1"/>
  <c r="BB32" i="57"/>
  <c r="BL18" i="57" s="1"/>
  <c r="HD18" i="57" s="1"/>
  <c r="BS15" i="57"/>
  <c r="HK15" i="57" s="1"/>
  <c r="BI29" i="57"/>
  <c r="BI43" i="57" s="1"/>
  <c r="BG47" i="57"/>
  <c r="BF47" i="57"/>
  <c r="BG33" i="57"/>
  <c r="BQ19" i="57" s="1"/>
  <c r="HI19" i="57" s="1"/>
  <c r="BF33" i="57"/>
  <c r="BP19" i="57" s="1"/>
  <c r="HH19" i="57" s="1"/>
  <c r="BR16" i="57"/>
  <c r="HJ16" i="57" s="1"/>
  <c r="BH30" i="57"/>
  <c r="BH44" i="57" s="1"/>
  <c r="BH47" i="57"/>
  <c r="BH33" i="57"/>
  <c r="BR19" i="57"/>
  <c r="HJ19" i="57" s="1"/>
  <c r="BF31" i="57"/>
  <c r="BP17" i="57" s="1"/>
  <c r="HH17" i="57" s="1"/>
  <c r="BG45" i="57"/>
  <c r="BG31" i="57"/>
  <c r="BQ17" i="57" s="1"/>
  <c r="HI17" i="57" s="1"/>
  <c r="BF45" i="57"/>
  <c r="BD31" i="57"/>
  <c r="BN17" i="57" s="1"/>
  <c r="HF17" i="57" s="1"/>
  <c r="BD45" i="57"/>
  <c r="BE45" i="57"/>
  <c r="BE31" i="57"/>
  <c r="BO17" i="57" s="1"/>
  <c r="HG17" i="57" s="1"/>
  <c r="W183" i="54" a="1"/>
  <c r="K183" i="54" a="1"/>
  <c r="V173" i="54"/>
  <c r="T173" i="54"/>
  <c r="V175" i="54"/>
  <c r="T175" i="54"/>
  <c r="V177" i="54"/>
  <c r="T177" i="54"/>
  <c r="S173" i="54"/>
  <c r="Q173" i="54"/>
  <c r="S177" i="54"/>
  <c r="Q177" i="54"/>
  <c r="P173" i="54"/>
  <c r="N173" i="54"/>
  <c r="P177" i="54"/>
  <c r="N177" i="54"/>
  <c r="M173" i="54"/>
  <c r="M177" i="54"/>
  <c r="H173" i="54"/>
  <c r="H177" i="54"/>
  <c r="M171" i="54"/>
  <c r="P171" i="54"/>
  <c r="S171" i="54"/>
  <c r="Q171" i="54"/>
  <c r="V171" i="54"/>
  <c r="H171" i="54"/>
  <c r="M169" i="54"/>
  <c r="N169" i="54"/>
  <c r="P169" i="54"/>
  <c r="V169" i="54"/>
  <c r="H169" i="54"/>
  <c r="H167" i="54"/>
  <c r="M167" i="54"/>
  <c r="N167" i="54"/>
  <c r="P167" i="54"/>
  <c r="Q169" i="54"/>
  <c r="S169" i="54"/>
  <c r="S167" i="54"/>
  <c r="Q167" i="54"/>
  <c r="V167" i="54"/>
  <c r="M165" i="54"/>
  <c r="N165" i="54"/>
  <c r="P165" i="54"/>
  <c r="T165" i="54"/>
  <c r="V165" i="54"/>
  <c r="H165" i="54"/>
  <c r="H163" i="54"/>
  <c r="M163" i="54"/>
  <c r="N163" i="54"/>
  <c r="P163" i="54"/>
  <c r="Q165" i="54"/>
  <c r="S165" i="54"/>
  <c r="Q163" i="54"/>
  <c r="S163" i="54"/>
  <c r="T163" i="54"/>
  <c r="V163" i="54"/>
  <c r="T161" i="54"/>
  <c r="V161" i="54"/>
  <c r="F161" i="54"/>
  <c r="H161" i="54"/>
  <c r="M161" i="54"/>
  <c r="N161" i="54"/>
  <c r="P161" i="54"/>
  <c r="Q161" i="54"/>
  <c r="S161" i="54"/>
  <c r="Q159" i="54"/>
  <c r="S159" i="54"/>
  <c r="T159" i="54"/>
  <c r="T183" i="54" s="1" a="1"/>
  <c r="V159" i="54"/>
  <c r="M159" i="54"/>
  <c r="N159" i="54"/>
  <c r="P159" i="54"/>
  <c r="H159" i="54"/>
  <c r="F159" i="54"/>
  <c r="M157" i="54"/>
  <c r="N157" i="54"/>
  <c r="P157" i="54"/>
  <c r="V157" i="54"/>
  <c r="F157" i="54"/>
  <c r="H157" i="54"/>
  <c r="M155" i="54"/>
  <c r="Q157" i="54"/>
  <c r="S157" i="54"/>
  <c r="V155" i="54"/>
  <c r="H155" i="54"/>
  <c r="F155" i="54"/>
  <c r="F183" i="54" s="1" a="1"/>
  <c r="P155" i="54"/>
  <c r="N155" i="54"/>
  <c r="S155" i="54"/>
  <c r="Q155" i="54"/>
  <c r="FU42" i="46"/>
  <c r="FK28" i="46"/>
  <c r="EX28" i="46"/>
  <c r="EZ31" i="46" s="1"/>
  <c r="FK14" i="46"/>
  <c r="FU14" i="46"/>
  <c r="FB14" i="46" s="1"/>
  <c r="FD14" i="46" s="1"/>
  <c r="EX42" i="46"/>
  <c r="EZ45" i="46" s="1"/>
  <c r="EZ17" i="46"/>
  <c r="DX14" i="42"/>
  <c r="EB14" i="42"/>
  <c r="EJ14" i="42" s="1"/>
  <c r="CL13" i="42"/>
  <c r="DW14" i="42" s="1" a="1"/>
  <c r="CU14" i="42" a="1"/>
  <c r="DK14" i="42"/>
  <c r="DF14" i="42"/>
  <c r="ES28" i="38"/>
  <c r="BL18" i="38"/>
  <c r="KL60" i="27"/>
  <c r="KN60" i="27"/>
  <c r="KI75" i="27"/>
  <c r="KI77" i="27" s="1"/>
  <c r="I13" i="15"/>
  <c r="G13" i="15"/>
  <c r="B6" i="16"/>
  <c r="I11" i="15"/>
  <c r="G11" i="15"/>
  <c r="B4" i="16"/>
  <c r="Z9" i="43" l="1"/>
  <c r="AC9" i="43" s="1"/>
  <c r="Z8" i="43"/>
  <c r="BA8" i="43" a="1"/>
  <c r="AW8" i="43"/>
  <c r="BN14" i="43"/>
  <c r="AC8" i="43"/>
  <c r="AF10" i="39"/>
  <c r="AF8" i="39"/>
  <c r="BP14" i="39"/>
  <c r="BB8" i="39" a="1"/>
  <c r="HZ16" i="57"/>
  <c r="HZ14" i="57"/>
  <c r="HZ15" i="57"/>
  <c r="Q183" i="54" a="1"/>
  <c r="N183" i="54" a="1"/>
  <c r="F197" i="54" a="1"/>
  <c r="H273" i="54" s="1"/>
  <c r="FB28" i="46"/>
  <c r="FD28" i="46" s="1"/>
  <c r="FF28" i="46" s="1"/>
  <c r="FQ28" i="46"/>
  <c r="FS28" i="46" s="1"/>
  <c r="FB42" i="46"/>
  <c r="FD42" i="46" s="1"/>
  <c r="FF42" i="46" s="1"/>
  <c r="FQ42" i="46" s="1"/>
  <c r="FS42" i="46" s="1"/>
  <c r="FM28" i="46"/>
  <c r="FO28" i="46" s="1"/>
  <c r="GF28" i="46" s="1"/>
  <c r="FB45" i="46"/>
  <c r="FF45" i="46"/>
  <c r="FK45" i="46"/>
  <c r="FH28" i="46"/>
  <c r="GC28" i="46" s="1"/>
  <c r="FM14" i="46"/>
  <c r="FO14" i="46" s="1"/>
  <c r="GF14" i="46" s="1"/>
  <c r="FF14" i="46"/>
  <c r="FF31" i="46"/>
  <c r="FK31" i="46"/>
  <c r="FB31" i="46"/>
  <c r="FK17" i="46"/>
  <c r="FF17" i="46"/>
  <c r="FB17" i="46"/>
  <c r="FH14" i="46"/>
  <c r="GC14" i="46" s="1"/>
  <c r="BK14" i="38"/>
  <c r="AV28" i="38"/>
  <c r="ET28" i="38"/>
  <c r="AW28" i="38" s="1"/>
  <c r="KM57" i="27"/>
  <c r="E4" i="16"/>
  <c r="D4" i="16"/>
  <c r="E6" i="16"/>
  <c r="D6" i="16"/>
  <c r="AK8" i="39" l="1"/>
  <c r="AH8" i="39"/>
  <c r="AL8" i="39" s="1"/>
  <c r="AK10" i="39"/>
  <c r="AH10" i="39"/>
  <c r="AL10" i="39" s="1"/>
  <c r="AF8" i="43"/>
  <c r="AF10" i="43"/>
  <c r="BP14" i="43"/>
  <c r="BB8" i="43" a="1"/>
  <c r="U245" i="54"/>
  <c r="G259" i="54"/>
  <c r="F258" i="54"/>
  <c r="F259" i="54"/>
  <c r="O245" i="54"/>
  <c r="O246" i="54"/>
  <c r="O247" i="54"/>
  <c r="O248" i="54"/>
  <c r="O249" i="54"/>
  <c r="O250" i="54"/>
  <c r="O251" i="54"/>
  <c r="V244" i="54"/>
  <c r="Y244" i="54"/>
  <c r="S244" i="54"/>
  <c r="P244" i="54"/>
  <c r="M244" i="54"/>
  <c r="J244" i="54"/>
  <c r="G244" i="54"/>
  <c r="F245" i="54"/>
  <c r="F246" i="54"/>
  <c r="G245" i="54"/>
  <c r="U247" i="54"/>
  <c r="U246" i="54"/>
  <c r="O254" i="54"/>
  <c r="O255" i="54"/>
  <c r="O256" i="54"/>
  <c r="Z273" i="54"/>
  <c r="Y273" i="54"/>
  <c r="Z272" i="54"/>
  <c r="Y272" i="54"/>
  <c r="Z271" i="54"/>
  <c r="Y271" i="54"/>
  <c r="Z270" i="54"/>
  <c r="Y270" i="54"/>
  <c r="Z269" i="54"/>
  <c r="Y269" i="54"/>
  <c r="Z268" i="54"/>
  <c r="Y268" i="54"/>
  <c r="Z267" i="54"/>
  <c r="Y267" i="54"/>
  <c r="Z266" i="54"/>
  <c r="Y266" i="54"/>
  <c r="Z265" i="54"/>
  <c r="Y265" i="54"/>
  <c r="Z264" i="54"/>
  <c r="Y264" i="54"/>
  <c r="Z263" i="54"/>
  <c r="Y263" i="54"/>
  <c r="Z262" i="54"/>
  <c r="Y262" i="54"/>
  <c r="Z261" i="54"/>
  <c r="Y261" i="54"/>
  <c r="Z260" i="54"/>
  <c r="Y260" i="54"/>
  <c r="Z259" i="54"/>
  <c r="Y259" i="54"/>
  <c r="Z258" i="54"/>
  <c r="Y258" i="54"/>
  <c r="Z257" i="54"/>
  <c r="Y257" i="54"/>
  <c r="Z256" i="54"/>
  <c r="Y256" i="54"/>
  <c r="Z255" i="54"/>
  <c r="Y255" i="54"/>
  <c r="Z254" i="54"/>
  <c r="Y254" i="54"/>
  <c r="Z253" i="54"/>
  <c r="Y253" i="54"/>
  <c r="Z252" i="54"/>
  <c r="Y252" i="54"/>
  <c r="Z251" i="54"/>
  <c r="Y251" i="54"/>
  <c r="Z250" i="54"/>
  <c r="Y250" i="54"/>
  <c r="Z249" i="54"/>
  <c r="Y249" i="54"/>
  <c r="Z248" i="54"/>
  <c r="Y248" i="54"/>
  <c r="Z247" i="54"/>
  <c r="Y247" i="54"/>
  <c r="Z246" i="54"/>
  <c r="Y246" i="54"/>
  <c r="Z245" i="54"/>
  <c r="Y245" i="54"/>
  <c r="W273" i="54"/>
  <c r="V273" i="54"/>
  <c r="W272" i="54"/>
  <c r="V272" i="54"/>
  <c r="W271" i="54"/>
  <c r="V271" i="54"/>
  <c r="W270" i="54"/>
  <c r="V270" i="54"/>
  <c r="W269" i="54"/>
  <c r="V269" i="54"/>
  <c r="W268" i="54"/>
  <c r="V268" i="54"/>
  <c r="W267" i="54"/>
  <c r="V267" i="54"/>
  <c r="W266" i="54"/>
  <c r="V266" i="54"/>
  <c r="W265" i="54"/>
  <c r="V265" i="54"/>
  <c r="W264" i="54"/>
  <c r="V264" i="54"/>
  <c r="W263" i="54"/>
  <c r="V263" i="54"/>
  <c r="W262" i="54"/>
  <c r="V262" i="54"/>
  <c r="W261" i="54"/>
  <c r="V261" i="54"/>
  <c r="W260" i="54"/>
  <c r="V260" i="54"/>
  <c r="W259" i="54"/>
  <c r="V259" i="54"/>
  <c r="W258" i="54"/>
  <c r="V258" i="54"/>
  <c r="W257" i="54"/>
  <c r="V257" i="54"/>
  <c r="W256" i="54"/>
  <c r="V256" i="54"/>
  <c r="W255" i="54"/>
  <c r="V255" i="54"/>
  <c r="W254" i="54"/>
  <c r="V254" i="54"/>
  <c r="W253" i="54"/>
  <c r="V253" i="54"/>
  <c r="W252" i="54"/>
  <c r="V252" i="54"/>
  <c r="W251" i="54"/>
  <c r="V251" i="54"/>
  <c r="W250" i="54"/>
  <c r="V250" i="54"/>
  <c r="W249" i="54"/>
  <c r="V249" i="54"/>
  <c r="W248" i="54"/>
  <c r="V248" i="54"/>
  <c r="W247" i="54"/>
  <c r="V247" i="54"/>
  <c r="W246" i="54"/>
  <c r="V246" i="54"/>
  <c r="W245" i="54"/>
  <c r="V245" i="54"/>
  <c r="T273" i="54"/>
  <c r="S273" i="54"/>
  <c r="T272" i="54"/>
  <c r="S272" i="54"/>
  <c r="T271" i="54"/>
  <c r="S271" i="54"/>
  <c r="T270" i="54"/>
  <c r="S270" i="54"/>
  <c r="T269" i="54"/>
  <c r="S269" i="54"/>
  <c r="T268" i="54"/>
  <c r="S268" i="54"/>
  <c r="T267" i="54"/>
  <c r="S267" i="54"/>
  <c r="T266" i="54"/>
  <c r="S266" i="54"/>
  <c r="T265" i="54"/>
  <c r="S265" i="54"/>
  <c r="T264" i="54"/>
  <c r="S264" i="54"/>
  <c r="T263" i="54"/>
  <c r="S263" i="54"/>
  <c r="T262" i="54"/>
  <c r="S262" i="54"/>
  <c r="T261" i="54"/>
  <c r="S261" i="54"/>
  <c r="T260" i="54"/>
  <c r="S260" i="54"/>
  <c r="T259" i="54"/>
  <c r="S259" i="54"/>
  <c r="T258" i="54"/>
  <c r="S258" i="54"/>
  <c r="T257" i="54"/>
  <c r="S257" i="54"/>
  <c r="T256" i="54"/>
  <c r="S256" i="54"/>
  <c r="T255" i="54"/>
  <c r="S255" i="54"/>
  <c r="T254" i="54"/>
  <c r="S254" i="54"/>
  <c r="T253" i="54"/>
  <c r="S253" i="54"/>
  <c r="T252" i="54"/>
  <c r="S252" i="54"/>
  <c r="T251" i="54"/>
  <c r="S251" i="54"/>
  <c r="T250" i="54"/>
  <c r="S250" i="54"/>
  <c r="T249" i="54"/>
  <c r="S249" i="54"/>
  <c r="T248" i="54"/>
  <c r="S248" i="54"/>
  <c r="T247" i="54"/>
  <c r="S247" i="54"/>
  <c r="T246" i="54"/>
  <c r="S246" i="54"/>
  <c r="T245" i="54"/>
  <c r="S245" i="54"/>
  <c r="Q273" i="54"/>
  <c r="P273" i="54"/>
  <c r="Q272" i="54"/>
  <c r="P272" i="54"/>
  <c r="Q271" i="54"/>
  <c r="P271" i="54"/>
  <c r="Q270" i="54"/>
  <c r="P270" i="54"/>
  <c r="Q269" i="54"/>
  <c r="P269" i="54"/>
  <c r="Q268" i="54"/>
  <c r="P268" i="54"/>
  <c r="Q267" i="54"/>
  <c r="P267" i="54"/>
  <c r="Q266" i="54"/>
  <c r="P266" i="54"/>
  <c r="Q265" i="54"/>
  <c r="P265" i="54"/>
  <c r="Q264" i="54"/>
  <c r="P264" i="54"/>
  <c r="Q263" i="54"/>
  <c r="P263" i="54"/>
  <c r="Q262" i="54"/>
  <c r="P262" i="54"/>
  <c r="Q261" i="54"/>
  <c r="P261" i="54"/>
  <c r="Q260" i="54"/>
  <c r="P260" i="54"/>
  <c r="Q259" i="54"/>
  <c r="P259" i="54"/>
  <c r="Q258" i="54"/>
  <c r="P258" i="54"/>
  <c r="Q257" i="54"/>
  <c r="P257" i="54"/>
  <c r="Q256" i="54"/>
  <c r="P256" i="54"/>
  <c r="Q255" i="54"/>
  <c r="P255" i="54"/>
  <c r="Q254" i="54"/>
  <c r="P254" i="54"/>
  <c r="Q253" i="54"/>
  <c r="P253" i="54"/>
  <c r="Q252" i="54"/>
  <c r="P252" i="54"/>
  <c r="Q251" i="54"/>
  <c r="P251" i="54"/>
  <c r="Q250" i="54"/>
  <c r="P250" i="54"/>
  <c r="Q249" i="54"/>
  <c r="P249" i="54"/>
  <c r="Q248" i="54"/>
  <c r="P248" i="54"/>
  <c r="Q247" i="54"/>
  <c r="P247" i="54"/>
  <c r="Q246" i="54"/>
  <c r="P246" i="54"/>
  <c r="Q245" i="54"/>
  <c r="P245" i="54"/>
  <c r="N273" i="54"/>
  <c r="M273" i="54"/>
  <c r="N272" i="54"/>
  <c r="M272" i="54"/>
  <c r="N271" i="54"/>
  <c r="M271" i="54"/>
  <c r="N270" i="54"/>
  <c r="M270" i="54"/>
  <c r="N269" i="54"/>
  <c r="M269" i="54"/>
  <c r="N268" i="54"/>
  <c r="M268" i="54"/>
  <c r="N267" i="54"/>
  <c r="M267" i="54"/>
  <c r="N266" i="54"/>
  <c r="M266" i="54"/>
  <c r="N265" i="54"/>
  <c r="M265" i="54"/>
  <c r="N264" i="54"/>
  <c r="M264" i="54"/>
  <c r="N263" i="54"/>
  <c r="M263" i="54"/>
  <c r="N262" i="54"/>
  <c r="M262" i="54"/>
  <c r="N261" i="54"/>
  <c r="M261" i="54"/>
  <c r="N260" i="54"/>
  <c r="M260" i="54"/>
  <c r="N259" i="54"/>
  <c r="M259" i="54"/>
  <c r="N258" i="54"/>
  <c r="M258" i="54"/>
  <c r="N257" i="54"/>
  <c r="M257" i="54"/>
  <c r="N256" i="54"/>
  <c r="M256" i="54"/>
  <c r="N255" i="54"/>
  <c r="M255" i="54"/>
  <c r="N254" i="54"/>
  <c r="M254" i="54"/>
  <c r="N253" i="54"/>
  <c r="M253" i="54"/>
  <c r="N252" i="54"/>
  <c r="M252" i="54"/>
  <c r="N251" i="54"/>
  <c r="M251" i="54"/>
  <c r="N250" i="54"/>
  <c r="M250" i="54"/>
  <c r="N249" i="54"/>
  <c r="M249" i="54"/>
  <c r="N248" i="54"/>
  <c r="M248" i="54"/>
  <c r="N247" i="54"/>
  <c r="M247" i="54"/>
  <c r="N246" i="54"/>
  <c r="M246" i="54"/>
  <c r="N245" i="54"/>
  <c r="M245" i="54"/>
  <c r="K273" i="54"/>
  <c r="J273" i="54"/>
  <c r="K272" i="54"/>
  <c r="J272" i="54"/>
  <c r="K271" i="54"/>
  <c r="J271" i="54"/>
  <c r="K270" i="54"/>
  <c r="J270" i="54"/>
  <c r="K269" i="54"/>
  <c r="J269" i="54"/>
  <c r="K268" i="54"/>
  <c r="J268" i="54"/>
  <c r="K267" i="54"/>
  <c r="J267" i="54"/>
  <c r="K266" i="54"/>
  <c r="J266" i="54"/>
  <c r="K265" i="54"/>
  <c r="J265" i="54"/>
  <c r="K264" i="54"/>
  <c r="J264" i="54"/>
  <c r="K263" i="54"/>
  <c r="J263" i="54"/>
  <c r="K262" i="54"/>
  <c r="J262" i="54"/>
  <c r="K261" i="54"/>
  <c r="J261" i="54"/>
  <c r="K260" i="54"/>
  <c r="J260" i="54"/>
  <c r="K259" i="54"/>
  <c r="J259" i="54"/>
  <c r="K258" i="54"/>
  <c r="J258" i="54"/>
  <c r="K257" i="54"/>
  <c r="J257" i="54"/>
  <c r="K256" i="54"/>
  <c r="J256" i="54"/>
  <c r="K255" i="54"/>
  <c r="J255" i="54"/>
  <c r="K254" i="54"/>
  <c r="J254" i="54"/>
  <c r="K253" i="54"/>
  <c r="J253" i="54"/>
  <c r="K252" i="54"/>
  <c r="J252" i="54"/>
  <c r="K251" i="54"/>
  <c r="J251" i="54"/>
  <c r="K250" i="54"/>
  <c r="J250" i="54"/>
  <c r="K249" i="54"/>
  <c r="J249" i="54"/>
  <c r="K248" i="54"/>
  <c r="J248" i="54"/>
  <c r="K247" i="54"/>
  <c r="J247" i="54"/>
  <c r="K246" i="54"/>
  <c r="J246" i="54"/>
  <c r="K245" i="54"/>
  <c r="J245" i="54"/>
  <c r="H272" i="54"/>
  <c r="G272" i="54"/>
  <c r="H270" i="54"/>
  <c r="G270" i="54"/>
  <c r="H268" i="54"/>
  <c r="G268" i="54"/>
  <c r="H266" i="54"/>
  <c r="G266" i="54"/>
  <c r="H264" i="54"/>
  <c r="G264" i="54"/>
  <c r="H262" i="54"/>
  <c r="G262" i="54"/>
  <c r="H260" i="54"/>
  <c r="G260" i="54"/>
  <c r="H258" i="54"/>
  <c r="G258" i="54"/>
  <c r="H256" i="54"/>
  <c r="G256" i="54"/>
  <c r="H254" i="54"/>
  <c r="G254" i="54"/>
  <c r="H252" i="54"/>
  <c r="G252" i="54"/>
  <c r="H250" i="54"/>
  <c r="G250" i="54"/>
  <c r="H248" i="54"/>
  <c r="G248" i="54"/>
  <c r="X273" i="54"/>
  <c r="X272" i="54"/>
  <c r="X271" i="54"/>
  <c r="X270" i="54"/>
  <c r="X269" i="54"/>
  <c r="X268" i="54"/>
  <c r="X267" i="54"/>
  <c r="X266" i="54"/>
  <c r="X265" i="54"/>
  <c r="X264" i="54"/>
  <c r="X263" i="54"/>
  <c r="X262" i="54"/>
  <c r="X261" i="54"/>
  <c r="X260" i="54"/>
  <c r="X259" i="54"/>
  <c r="X258" i="54"/>
  <c r="X257" i="54"/>
  <c r="X256" i="54"/>
  <c r="X255" i="54"/>
  <c r="X254" i="54"/>
  <c r="X253" i="54"/>
  <c r="X252" i="54"/>
  <c r="X251" i="54"/>
  <c r="X250" i="54"/>
  <c r="X249" i="54"/>
  <c r="X248" i="54"/>
  <c r="X247" i="54"/>
  <c r="X246" i="54"/>
  <c r="X245" i="54"/>
  <c r="U273" i="54"/>
  <c r="U272" i="54"/>
  <c r="U271" i="54"/>
  <c r="U270" i="54"/>
  <c r="U269" i="54"/>
  <c r="U268" i="54"/>
  <c r="U267" i="54"/>
  <c r="U266" i="54"/>
  <c r="U265" i="54"/>
  <c r="U264" i="54"/>
  <c r="U263" i="54"/>
  <c r="U262" i="54"/>
  <c r="U261" i="54"/>
  <c r="U260" i="54"/>
  <c r="U259" i="54"/>
  <c r="U258" i="54"/>
  <c r="U257" i="54"/>
  <c r="U256" i="54"/>
  <c r="U255" i="54"/>
  <c r="U254" i="54"/>
  <c r="U253" i="54"/>
  <c r="U252" i="54"/>
  <c r="U251" i="54"/>
  <c r="U250" i="54"/>
  <c r="U249" i="54"/>
  <c r="U248" i="54"/>
  <c r="R273" i="54"/>
  <c r="R272" i="54"/>
  <c r="R271" i="54"/>
  <c r="R270" i="54"/>
  <c r="R269" i="54"/>
  <c r="R268" i="54"/>
  <c r="R267" i="54"/>
  <c r="R266" i="54"/>
  <c r="R265" i="54"/>
  <c r="R264" i="54"/>
  <c r="R263" i="54"/>
  <c r="R262" i="54"/>
  <c r="R261" i="54"/>
  <c r="R260" i="54"/>
  <c r="R259" i="54"/>
  <c r="R258" i="54"/>
  <c r="R257" i="54"/>
  <c r="R256" i="54"/>
  <c r="R255" i="54"/>
  <c r="R254" i="54"/>
  <c r="R253" i="54"/>
  <c r="R252" i="54"/>
  <c r="R251" i="54"/>
  <c r="R250" i="54"/>
  <c r="R249" i="54"/>
  <c r="R248" i="54"/>
  <c r="R247" i="54"/>
  <c r="R246" i="54"/>
  <c r="R245" i="54"/>
  <c r="O273" i="54"/>
  <c r="O272" i="54"/>
  <c r="O271" i="54"/>
  <c r="O270" i="54"/>
  <c r="O269" i="54"/>
  <c r="O268" i="54"/>
  <c r="O267" i="54"/>
  <c r="O266" i="54"/>
  <c r="O265" i="54"/>
  <c r="O264" i="54"/>
  <c r="O263" i="54"/>
  <c r="O262" i="54"/>
  <c r="O261" i="54"/>
  <c r="O260" i="54"/>
  <c r="O259" i="54"/>
  <c r="O258" i="54"/>
  <c r="O257" i="54"/>
  <c r="O253" i="54"/>
  <c r="O252" i="54"/>
  <c r="L273" i="54"/>
  <c r="L272" i="54"/>
  <c r="L271" i="54"/>
  <c r="L270" i="54"/>
  <c r="L269" i="54"/>
  <c r="L268" i="54"/>
  <c r="L267" i="54"/>
  <c r="L266" i="54"/>
  <c r="L265" i="54"/>
  <c r="L264" i="54"/>
  <c r="L263" i="54"/>
  <c r="L262" i="54"/>
  <c r="L261" i="54"/>
  <c r="L260" i="54"/>
  <c r="L259" i="54"/>
  <c r="L258" i="54"/>
  <c r="L257" i="54"/>
  <c r="L256" i="54"/>
  <c r="L255" i="54"/>
  <c r="L254" i="54"/>
  <c r="L253" i="54"/>
  <c r="L252" i="54"/>
  <c r="L251" i="54"/>
  <c r="L250" i="54"/>
  <c r="L249" i="54"/>
  <c r="L248" i="54"/>
  <c r="L247" i="54"/>
  <c r="L246" i="54"/>
  <c r="L245" i="54"/>
  <c r="I273" i="54"/>
  <c r="I272" i="54"/>
  <c r="I271" i="54"/>
  <c r="I270" i="54"/>
  <c r="I269" i="54"/>
  <c r="I268" i="54"/>
  <c r="I267" i="54"/>
  <c r="I266" i="54"/>
  <c r="I265" i="54"/>
  <c r="I264" i="54"/>
  <c r="I263" i="54"/>
  <c r="I262" i="54"/>
  <c r="I261" i="54"/>
  <c r="I260" i="54"/>
  <c r="I259" i="54"/>
  <c r="I258" i="54"/>
  <c r="I257" i="54"/>
  <c r="I256" i="54"/>
  <c r="I255" i="54"/>
  <c r="I254" i="54"/>
  <c r="I253" i="54"/>
  <c r="I252" i="54"/>
  <c r="I251" i="54"/>
  <c r="I250" i="54"/>
  <c r="I249" i="54"/>
  <c r="I248" i="54"/>
  <c r="I247" i="54"/>
  <c r="I246" i="54"/>
  <c r="I245" i="54"/>
  <c r="F247" i="54"/>
  <c r="F248" i="54"/>
  <c r="F249" i="54"/>
  <c r="F250" i="54"/>
  <c r="F251" i="54"/>
  <c r="F252" i="54"/>
  <c r="F253" i="54"/>
  <c r="F254" i="54"/>
  <c r="F255" i="54"/>
  <c r="F256" i="54"/>
  <c r="F257" i="54"/>
  <c r="F260" i="54"/>
  <c r="F261" i="54"/>
  <c r="F262" i="54"/>
  <c r="F263" i="54"/>
  <c r="F264" i="54"/>
  <c r="F265" i="54"/>
  <c r="F266" i="54"/>
  <c r="F267" i="54"/>
  <c r="F268" i="54"/>
  <c r="F269" i="54"/>
  <c r="F270" i="54"/>
  <c r="F271" i="54"/>
  <c r="F272" i="54"/>
  <c r="F273" i="54"/>
  <c r="G267" i="54"/>
  <c r="H267" i="54"/>
  <c r="G269" i="54"/>
  <c r="H269" i="54"/>
  <c r="G271" i="54"/>
  <c r="H271" i="54"/>
  <c r="G273" i="54"/>
  <c r="H246" i="54"/>
  <c r="H247" i="54"/>
  <c r="H249" i="54"/>
  <c r="H251" i="54"/>
  <c r="H253" i="54"/>
  <c r="H255" i="54"/>
  <c r="H257" i="54"/>
  <c r="H259" i="54"/>
  <c r="H261" i="54"/>
  <c r="H263" i="54"/>
  <c r="H265" i="54"/>
  <c r="H245" i="54"/>
  <c r="G246" i="54"/>
  <c r="G247" i="54"/>
  <c r="G249" i="54"/>
  <c r="G251" i="54"/>
  <c r="G253" i="54"/>
  <c r="G255" i="54"/>
  <c r="G257" i="54"/>
  <c r="G261" i="54"/>
  <c r="G263" i="54"/>
  <c r="G265" i="54"/>
  <c r="FH42" i="46"/>
  <c r="GC42" i="46" s="1"/>
  <c r="FM42" i="46"/>
  <c r="FO42" i="46" s="1"/>
  <c r="GF42" i="46" s="1"/>
  <c r="FY28" i="46"/>
  <c r="GG28" i="46"/>
  <c r="GD17" i="46"/>
  <c r="FQ17" i="46"/>
  <c r="FS17" i="46" s="1"/>
  <c r="FY14" i="46"/>
  <c r="GG14" i="46"/>
  <c r="FQ45" i="46"/>
  <c r="FS45" i="46" s="1"/>
  <c r="GD45" i="46"/>
  <c r="GM42" i="46" s="1"/>
  <c r="GZ43" i="46" s="1"/>
  <c r="AZ43" i="46" s="1"/>
  <c r="CD43" i="46" s="1"/>
  <c r="FH31" i="46"/>
  <c r="GC31" i="46" s="1"/>
  <c r="GL28" i="46" s="1"/>
  <c r="FD31" i="46"/>
  <c r="FD45" i="46"/>
  <c r="FM45" i="46" s="1"/>
  <c r="GG45" i="46" s="1"/>
  <c r="FH45" i="46"/>
  <c r="GC45" i="46" s="1"/>
  <c r="FD17" i="46"/>
  <c r="FM17" i="46" s="1"/>
  <c r="FH17" i="46"/>
  <c r="GC17" i="46" s="1"/>
  <c r="GL14" i="46" s="1"/>
  <c r="FQ31" i="46"/>
  <c r="FS31" i="46" s="1"/>
  <c r="GD31" i="46"/>
  <c r="GD28" i="46"/>
  <c r="FQ14" i="46"/>
  <c r="FS14" i="46" s="1"/>
  <c r="GD14" i="46"/>
  <c r="GD42" i="46"/>
  <c r="BK28" i="38"/>
  <c r="BL28" i="38"/>
  <c r="N6" i="16"/>
  <c r="O6" i="16"/>
  <c r="O4" i="16"/>
  <c r="N4" i="16"/>
  <c r="AK10" i="43" l="1"/>
  <c r="AH10" i="43"/>
  <c r="AL10" i="43" s="1"/>
  <c r="AH8" i="43"/>
  <c r="AL8" i="43" s="1"/>
  <c r="AK8" i="43"/>
  <c r="BW9" i="39"/>
  <c r="K11" i="40" s="1"/>
  <c r="AM10" i="39"/>
  <c r="AM8" i="39"/>
  <c r="BW8" i="39"/>
  <c r="K10" i="40" s="1"/>
  <c r="GM14" i="46"/>
  <c r="GZ15" i="46" s="1"/>
  <c r="AZ15" i="46" s="1"/>
  <c r="CD15" i="46" s="1"/>
  <c r="GM28" i="46"/>
  <c r="GZ29" i="46" s="1"/>
  <c r="AZ29" i="46" s="1"/>
  <c r="CD29" i="46" s="1"/>
  <c r="GG42" i="46"/>
  <c r="GA42" i="46" s="1"/>
  <c r="GY15" i="46"/>
  <c r="AY15" i="46" s="1"/>
  <c r="ER14" i="46"/>
  <c r="ET14" i="46" s="1"/>
  <c r="GY29" i="46"/>
  <c r="AY29" i="46" s="1"/>
  <c r="GA14" i="46"/>
  <c r="GL42" i="46"/>
  <c r="GA28" i="46"/>
  <c r="GP42" i="46"/>
  <c r="GZ44" i="46" s="1"/>
  <c r="AZ44" i="46" s="1"/>
  <c r="CD44" i="46" s="1"/>
  <c r="FY42" i="46"/>
  <c r="FO17" i="46"/>
  <c r="GF17" i="46" s="1"/>
  <c r="GG17" i="46"/>
  <c r="GP14" i="46" s="1"/>
  <c r="GZ16" i="46" s="1"/>
  <c r="AZ16" i="46" s="1"/>
  <c r="CD16" i="46" s="1"/>
  <c r="FM31" i="46"/>
  <c r="GG31" i="46" s="1"/>
  <c r="GP28" i="46" s="1"/>
  <c r="GZ30" i="46" s="1"/>
  <c r="AZ30" i="46" s="1"/>
  <c r="CD30" i="46" s="1"/>
  <c r="FO45" i="46"/>
  <c r="GF45" i="46" s="1"/>
  <c r="GA45" i="46" s="1"/>
  <c r="GJ42" i="46" s="1"/>
  <c r="AG15" i="35"/>
  <c r="KF75" i="27"/>
  <c r="KI69" i="27"/>
  <c r="KH77" i="27"/>
  <c r="BW8" i="43" l="1"/>
  <c r="K10" i="44" s="1"/>
  <c r="AM8" i="43"/>
  <c r="BW9" i="43"/>
  <c r="K11" i="44" s="1"/>
  <c r="AM10" i="43"/>
  <c r="FY17" i="46"/>
  <c r="GO14" i="46"/>
  <c r="GY16" i="46" s="1"/>
  <c r="AY16" i="46" s="1"/>
  <c r="CC16" i="46" s="1"/>
  <c r="GY43" i="46"/>
  <c r="AY43" i="46" s="1"/>
  <c r="GY42" i="46"/>
  <c r="AZ51" i="46"/>
  <c r="CC43" i="46"/>
  <c r="CC29" i="46"/>
  <c r="CC15" i="46"/>
  <c r="AZ19" i="46"/>
  <c r="AS12" i="46"/>
  <c r="GA17" i="46"/>
  <c r="GJ14" i="46" s="1"/>
  <c r="FY45" i="46"/>
  <c r="GO42" i="46"/>
  <c r="GY44" i="46" s="1"/>
  <c r="AY44" i="46" s="1"/>
  <c r="CC44" i="46" s="1"/>
  <c r="FO31" i="46"/>
  <c r="GF31" i="46" s="1"/>
  <c r="GO28" i="46" s="1"/>
  <c r="BK15" i="42"/>
  <c r="AG13" i="35"/>
  <c r="AI17" i="35"/>
  <c r="AI12" i="35"/>
  <c r="AI14" i="35"/>
  <c r="AG10" i="35"/>
  <c r="AI16" i="35"/>
  <c r="AG14" i="35"/>
  <c r="AI13" i="35"/>
  <c r="AG16" i="35"/>
  <c r="AL13" i="35"/>
  <c r="AG12" i="35"/>
  <c r="AI15" i="35"/>
  <c r="AG17" i="35"/>
  <c r="AK13" i="35"/>
  <c r="KK79" i="27"/>
  <c r="KJ79" i="27" s="1"/>
  <c r="GY30" i="46" l="1"/>
  <c r="AY30" i="46" s="1"/>
  <c r="CC30" i="46" s="1"/>
  <c r="ER28" i="46"/>
  <c r="ET28" i="46" s="1"/>
  <c r="BL15" i="42"/>
  <c r="AZ22" i="46"/>
  <c r="CD22" i="46" s="1"/>
  <c r="BB5" i="46"/>
  <c r="BF5" i="46" s="1"/>
  <c r="BW12" i="46"/>
  <c r="CF5" i="46" s="1"/>
  <c r="CJ5" i="46" s="1"/>
  <c r="AZ21" i="46"/>
  <c r="CD21" i="46" s="1"/>
  <c r="CD19" i="46"/>
  <c r="AZ36" i="46"/>
  <c r="CD36" i="46" s="1"/>
  <c r="ER42" i="46"/>
  <c r="ET42" i="46" s="1"/>
  <c r="AZ50" i="46"/>
  <c r="GY14" i="46"/>
  <c r="AY14" i="46" s="1"/>
  <c r="CC14" i="46" s="1"/>
  <c r="AZ23" i="46"/>
  <c r="CD23" i="46" s="1"/>
  <c r="FY31" i="46"/>
  <c r="GA31" i="46"/>
  <c r="GJ28" i="46" s="1"/>
  <c r="BK13" i="42"/>
  <c r="AY42" i="46"/>
  <c r="CC42" i="46" s="1"/>
  <c r="AP14" i="35"/>
  <c r="BP25" i="37" s="1"/>
  <c r="AP16" i="35"/>
  <c r="BP27" i="37" s="1"/>
  <c r="AP17" i="35"/>
  <c r="BP28" i="37" s="1"/>
  <c r="AN13" i="35"/>
  <c r="BN24" i="37" s="1"/>
  <c r="AN14" i="35"/>
  <c r="BN25" i="37" s="1"/>
  <c r="AN15" i="35"/>
  <c r="BN26" i="37" s="1"/>
  <c r="AN16" i="35"/>
  <c r="BN27" i="37" s="1"/>
  <c r="AL17" i="35"/>
  <c r="AL15" i="35"/>
  <c r="AK15" i="35"/>
  <c r="AK12" i="35"/>
  <c r="AK14" i="35"/>
  <c r="AP15" i="35"/>
  <c r="BP26" i="37" s="1"/>
  <c r="AP13" i="35"/>
  <c r="BP24" i="37" s="1"/>
  <c r="AN17" i="35"/>
  <c r="BN28" i="37" s="1"/>
  <c r="AN11" i="35"/>
  <c r="BN22" i="37" s="1"/>
  <c r="AS15" i="35"/>
  <c r="BS26" i="37" s="1"/>
  <c r="BU74" i="37" s="1"/>
  <c r="AP12" i="35"/>
  <c r="BP23" i="37" s="1"/>
  <c r="AP11" i="35"/>
  <c r="BP22" i="37" s="1"/>
  <c r="AN10" i="35"/>
  <c r="BN21" i="37" s="1"/>
  <c r="AR15" i="35"/>
  <c r="BR26" i="37" s="1"/>
  <c r="BT74" i="37" s="1"/>
  <c r="AN12" i="35"/>
  <c r="BN23" i="37" s="1"/>
  <c r="AR12" i="35"/>
  <c r="BR23" i="37" s="1"/>
  <c r="BT71" i="37" s="1"/>
  <c r="AR13" i="35"/>
  <c r="BR24" i="37" s="1"/>
  <c r="BT72" i="37" s="1"/>
  <c r="KK81" i="27"/>
  <c r="KJ81" i="27"/>
  <c r="AZ33" i="46" l="1"/>
  <c r="AS26" i="46"/>
  <c r="GY28" i="46"/>
  <c r="AY28" i="46" s="1"/>
  <c r="CC28" i="46" s="1"/>
  <c r="AZ37" i="46"/>
  <c r="CD37" i="46" s="1"/>
  <c r="AZ47" i="46"/>
  <c r="AS40" i="46"/>
  <c r="HH13" i="46"/>
  <c r="HF13" i="46"/>
  <c r="CD51" i="46"/>
  <c r="AL14" i="35"/>
  <c r="BC5" i="46" l="1"/>
  <c r="BG5" i="46" s="1"/>
  <c r="BW26" i="46"/>
  <c r="CG5" i="46" s="1"/>
  <c r="CK5" i="46" s="1"/>
  <c r="AZ35" i="46"/>
  <c r="CD35" i="46" s="1"/>
  <c r="CD33" i="46"/>
  <c r="AZ8" i="46"/>
  <c r="CD8" i="46" a="1"/>
  <c r="BW40" i="46"/>
  <c r="CH5" i="46" s="1"/>
  <c r="CL5" i="46" s="1"/>
  <c r="BD5" i="46"/>
  <c r="BH5" i="46" s="1"/>
  <c r="AZ49" i="46"/>
  <c r="CD47" i="46"/>
  <c r="BC8" i="46"/>
  <c r="BD8" i="46"/>
  <c r="BB8" i="46"/>
  <c r="CD50" i="46"/>
  <c r="AZ7" i="46"/>
  <c r="AS14" i="35"/>
  <c r="BS25" i="37" s="1"/>
  <c r="BU73" i="37" s="1"/>
  <c r="AR14" i="35"/>
  <c r="BR25" i="37" s="1"/>
  <c r="BT73" i="37" s="1"/>
  <c r="CD49" i="46" l="1"/>
  <c r="CD6" i="46" s="1" a="1"/>
  <c r="AZ6" i="46"/>
  <c r="BB7" i="46"/>
  <c r="BD7" i="46"/>
  <c r="BC7" i="46"/>
  <c r="CD7" i="46" a="1"/>
  <c r="I55" i="2"/>
  <c r="N32" i="2" s="1"/>
  <c r="J27" i="12"/>
  <c r="E19" i="11" s="1"/>
  <c r="BD6" i="46" l="1"/>
  <c r="BH6" i="46" s="1"/>
  <c r="BC6" i="46"/>
  <c r="BG6" i="46" s="1"/>
  <c r="BB6" i="46"/>
  <c r="BF6" i="46" s="1"/>
  <c r="J55" i="2"/>
  <c r="J38" i="2" s="1"/>
  <c r="M34" i="2"/>
  <c r="M35" i="2"/>
  <c r="M37" i="2"/>
  <c r="M36" i="2"/>
  <c r="M40" i="2"/>
  <c r="M39" i="2"/>
  <c r="M38" i="2"/>
  <c r="E20" i="1"/>
  <c r="G20" i="1" s="1"/>
  <c r="J57" i="2" l="1"/>
  <c r="J39" i="2" s="1"/>
  <c r="H39" i="2" s="1"/>
  <c r="E25" i="1" s="1"/>
  <c r="BJ6" i="46"/>
  <c r="BJ5" i="46" s="1" a="1"/>
  <c r="C24" i="1"/>
  <c r="BZ3" i="45" s="1"/>
  <c r="J40" i="2"/>
  <c r="H40" i="2" s="1"/>
  <c r="N30" i="2" a="1"/>
  <c r="D24" i="1" s="1"/>
  <c r="N28" i="2" a="1"/>
  <c r="I9" i="1" s="1"/>
  <c r="N29" i="2" a="1"/>
  <c r="I13" i="1" s="1"/>
  <c r="C25" i="1" l="1"/>
  <c r="BN6" i="46" a="1"/>
  <c r="AQ40" i="46"/>
  <c r="AI11" i="35"/>
  <c r="AG11" i="35"/>
  <c r="J59" i="2"/>
  <c r="J41" i="2" s="1"/>
  <c r="D21" i="37" l="1"/>
  <c r="AS17" i="35"/>
  <c r="AS13" i="35"/>
  <c r="BS24" i="37" s="1"/>
  <c r="BU72" i="37" s="1"/>
  <c r="J60" i="2"/>
  <c r="J43" i="2" s="1"/>
  <c r="H41" i="2"/>
  <c r="E26" i="1" s="1"/>
  <c r="C26" i="1"/>
  <c r="B2" i="27" l="1"/>
  <c r="O5" i="27"/>
  <c r="J65" i="2" a="1"/>
  <c r="BN84" i="37"/>
  <c r="BN82" i="37"/>
  <c r="BN83" i="37"/>
  <c r="BP82" i="37"/>
  <c r="BR84" i="37"/>
  <c r="BR83" i="37"/>
  <c r="BR82" i="37"/>
  <c r="BP83" i="37"/>
  <c r="BP84" i="37"/>
  <c r="AR17" i="35"/>
  <c r="BR28" i="37" s="1"/>
  <c r="BT76" i="37" s="1"/>
  <c r="D68" i="37"/>
  <c r="C68" i="37" s="1"/>
  <c r="F21" i="37"/>
  <c r="F68" i="37" s="1"/>
  <c r="BG21" i="37"/>
  <c r="BG68" i="37" s="1"/>
  <c r="BI21" i="37"/>
  <c r="BI68" i="37" s="1"/>
  <c r="BL21" i="37"/>
  <c r="BL68" i="37" s="1"/>
  <c r="AZ21" i="37"/>
  <c r="AZ68" i="37" s="1"/>
  <c r="AW21" i="37"/>
  <c r="AW68" i="37" s="1"/>
  <c r="BF21" i="37"/>
  <c r="BF68" i="37" s="1"/>
  <c r="C21" i="37"/>
  <c r="BS28" i="37"/>
  <c r="BU76" i="37" s="1"/>
  <c r="AK17" i="35"/>
  <c r="Z13" i="35"/>
  <c r="C28" i="1"/>
  <c r="E5" i="15" s="1"/>
  <c r="H43" i="2"/>
  <c r="E28" i="1" s="1"/>
  <c r="AD7" i="35" l="1"/>
  <c r="J7" i="27"/>
  <c r="K7" i="27" s="1"/>
  <c r="B5" i="35"/>
  <c r="J5" i="27"/>
  <c r="K5" i="27" s="1"/>
  <c r="N5" i="27"/>
  <c r="M8" i="45"/>
  <c r="BZ1" i="45"/>
  <c r="Q8" i="45"/>
  <c r="R8" i="45"/>
  <c r="M10" i="45"/>
  <c r="AD8" i="35"/>
  <c r="AH13" i="27"/>
  <c r="P5" i="27"/>
  <c r="AH15" i="27" s="1"/>
  <c r="P29" i="15"/>
  <c r="M29" i="15"/>
  <c r="AH10" i="27" l="1"/>
  <c r="AI10" i="27" s="1"/>
  <c r="AH18" i="27"/>
  <c r="AI18" i="27" s="1"/>
  <c r="AK21" i="45"/>
  <c r="AL21" i="45" s="1"/>
  <c r="AM21" i="45" s="1"/>
  <c r="N10" i="45"/>
  <c r="S8" i="45"/>
  <c r="AK18" i="45" s="1"/>
  <c r="AL18" i="45" s="1"/>
  <c r="AM18" i="45" s="1"/>
  <c r="AK16" i="45"/>
  <c r="AL16" i="45" s="1"/>
  <c r="AM16" i="45" s="1"/>
  <c r="AK13" i="45"/>
  <c r="N8" i="45"/>
  <c r="AI15" i="27"/>
  <c r="AX10" i="27"/>
  <c r="AX13" i="27"/>
  <c r="AI13" i="27"/>
  <c r="AX8" i="27"/>
  <c r="L7" i="27"/>
  <c r="X7" i="27"/>
  <c r="K9" i="27"/>
  <c r="L9" i="27" s="1"/>
  <c r="J9" i="27"/>
  <c r="L5" i="27"/>
  <c r="T29" i="15"/>
  <c r="F29" i="15" s="1"/>
  <c r="AJ18" i="27" l="1"/>
  <c r="AM18" i="27"/>
  <c r="AJ13" i="27"/>
  <c r="AM14" i="27"/>
  <c r="AJ15" i="27"/>
  <c r="AM13" i="27"/>
  <c r="AJ10" i="27"/>
  <c r="AM10" i="27"/>
  <c r="AX5" i="27"/>
  <c r="BP11" i="27" s="1"/>
  <c r="BQ11" i="27" s="1"/>
  <c r="BU11" i="27" s="1"/>
  <c r="AM19" i="45"/>
  <c r="M12" i="45"/>
  <c r="V8" i="45" s="1"/>
  <c r="Z10" i="45" s="1"/>
  <c r="N12" i="45"/>
  <c r="O12" i="45" s="1"/>
  <c r="O8" i="45"/>
  <c r="AL13" i="45"/>
  <c r="AM13" i="45" s="1"/>
  <c r="AV8" i="45"/>
  <c r="AA10" i="45"/>
  <c r="O10" i="45"/>
  <c r="BP14" i="27"/>
  <c r="BQ14" i="27" s="1"/>
  <c r="AY8" i="27"/>
  <c r="BP19" i="27"/>
  <c r="BQ19" i="27" s="1"/>
  <c r="AY13" i="27"/>
  <c r="BP16" i="27"/>
  <c r="BQ16" i="27" s="1"/>
  <c r="AY10" i="27"/>
  <c r="T5" i="27"/>
  <c r="X5" i="27" s="1"/>
  <c r="S5" i="27"/>
  <c r="W7" i="27" s="1"/>
  <c r="Z7" i="27" s="1"/>
  <c r="B17" i="16"/>
  <c r="G29" i="15"/>
  <c r="W8" i="45" l="1"/>
  <c r="AA8" i="45" s="1"/>
  <c r="AJ16" i="27"/>
  <c r="BU16" i="27"/>
  <c r="BR16" i="27"/>
  <c r="BU19" i="27"/>
  <c r="BR19" i="27"/>
  <c r="BU15" i="27"/>
  <c r="BR14" i="27"/>
  <c r="Z14" i="35"/>
  <c r="BR11" i="27"/>
  <c r="BC5" i="27" a="1"/>
  <c r="BG6" i="27" s="1"/>
  <c r="AY5" i="27"/>
  <c r="AC10" i="45"/>
  <c r="Z8" i="45"/>
  <c r="Z9" i="45"/>
  <c r="AC9" i="45" s="1"/>
  <c r="AC8" i="45"/>
  <c r="AW8" i="45"/>
  <c r="BN14" i="45"/>
  <c r="BA8" i="45" a="1"/>
  <c r="AY11" i="27"/>
  <c r="W5" i="27"/>
  <c r="Z5" i="27" s="1"/>
  <c r="W6" i="27"/>
  <c r="Z6" i="27" s="1"/>
  <c r="E17" i="16"/>
  <c r="D17" i="16"/>
  <c r="BR17" i="27" l="1"/>
  <c r="BG7" i="27"/>
  <c r="BG5" i="27"/>
  <c r="BD5" i="27" a="1"/>
  <c r="BH5" i="27" s="1"/>
  <c r="BJ5" i="27" s="1"/>
  <c r="BP14" i="45"/>
  <c r="BB8" i="45" a="1"/>
  <c r="AF8" i="45"/>
  <c r="AF10" i="45"/>
  <c r="AC7" i="27"/>
  <c r="AC5" i="27"/>
  <c r="N17" i="16"/>
  <c r="O17" i="16"/>
  <c r="BH7" i="27" l="1"/>
  <c r="BJ7" i="27" s="1"/>
  <c r="BH6" i="27"/>
  <c r="BJ6" i="27" s="1"/>
  <c r="AH8" i="45"/>
  <c r="AL8" i="45" s="1"/>
  <c r="AK8" i="45"/>
  <c r="AK10" i="45"/>
  <c r="AH10" i="45"/>
  <c r="AL10" i="45" s="1"/>
  <c r="AH5" i="27"/>
  <c r="AE5" i="27"/>
  <c r="AI5" i="27" s="1"/>
  <c r="AE7" i="27"/>
  <c r="AI7" i="27" s="1"/>
  <c r="AH7" i="27"/>
  <c r="AJ7" i="27" l="1"/>
  <c r="AM5" i="27"/>
  <c r="AJ5" i="27"/>
  <c r="AM6" i="27"/>
  <c r="BM5" i="27"/>
  <c r="BP5" i="27" s="1"/>
  <c r="BQ5" i="27" s="1"/>
  <c r="BU6" i="27" s="1"/>
  <c r="F10" i="15" s="1"/>
  <c r="F22" i="15" s="1"/>
  <c r="BM7" i="27"/>
  <c r="BP7" i="27" s="1"/>
  <c r="BQ7" i="27" s="1"/>
  <c r="BU5" i="27" s="1"/>
  <c r="F12" i="15" s="1"/>
  <c r="F24" i="15" s="1"/>
  <c r="BW9" i="45"/>
  <c r="AM11" i="44" s="1"/>
  <c r="AM10" i="45"/>
  <c r="AM8" i="45"/>
  <c r="BW8" i="45"/>
  <c r="AM10" i="44" s="1"/>
  <c r="Z9" i="35" l="1"/>
  <c r="J5" i="35"/>
  <c r="B7" i="16"/>
  <c r="BR7" i="27"/>
  <c r="B5" i="16"/>
  <c r="J6" i="35"/>
  <c r="BR5" i="27"/>
  <c r="E7" i="16" l="1"/>
  <c r="D7" i="16"/>
  <c r="I12" i="15"/>
  <c r="G12" i="15"/>
  <c r="G24" i="15"/>
  <c r="Z8" i="35"/>
  <c r="C14" i="37"/>
  <c r="C55" i="37" s="1"/>
  <c r="E5" i="16"/>
  <c r="D5" i="16"/>
  <c r="B3" i="16"/>
  <c r="I10" i="15"/>
  <c r="O7" i="16" l="1"/>
  <c r="N7" i="16"/>
  <c r="P14" i="15"/>
  <c r="R14" i="15" s="1"/>
  <c r="I24" i="15"/>
  <c r="G22" i="15"/>
  <c r="I22" i="15"/>
  <c r="E3" i="16"/>
  <c r="D3" i="16"/>
  <c r="E9" i="16"/>
  <c r="D9" i="16"/>
  <c r="O5" i="16"/>
  <c r="N5" i="16"/>
  <c r="F14" i="15" l="1"/>
  <c r="G14" i="15" s="1"/>
  <c r="G36" i="15"/>
  <c r="I27" i="15"/>
  <c r="F26" i="15" s="1"/>
  <c r="B11" i="16" s="1"/>
  <c r="O3" i="16"/>
  <c r="N3" i="16"/>
  <c r="U14" i="15"/>
  <c r="O9" i="16"/>
  <c r="N9" i="16"/>
  <c r="D11" i="16" l="1"/>
  <c r="G3" i="16" s="1" a="1"/>
  <c r="E11" i="16"/>
  <c r="H17" i="16" l="1"/>
  <c r="K17" i="16" s="1"/>
  <c r="B16" i="21" s="1"/>
  <c r="J17" i="16"/>
  <c r="A16" i="21" s="1"/>
  <c r="H16" i="16"/>
  <c r="K16" i="16" s="1"/>
  <c r="B15" i="21" s="1"/>
  <c r="J16" i="16"/>
  <c r="A15" i="21" s="1"/>
  <c r="J15" i="16"/>
  <c r="A14" i="21" s="1"/>
  <c r="H15" i="16"/>
  <c r="K15" i="16" s="1"/>
  <c r="B14" i="21" s="1"/>
  <c r="H14" i="16"/>
  <c r="K14" i="16" s="1"/>
  <c r="B13" i="21" s="1"/>
  <c r="J14" i="16"/>
  <c r="A13" i="21" s="1"/>
  <c r="J13" i="16"/>
  <c r="A12" i="21" s="1"/>
  <c r="H13" i="16"/>
  <c r="K13" i="16" s="1"/>
  <c r="B12" i="21" s="1"/>
  <c r="J12" i="16"/>
  <c r="A11" i="21" s="1"/>
  <c r="J4" i="16"/>
  <c r="A3" i="21" s="1"/>
  <c r="J9" i="16"/>
  <c r="A8" i="21" s="1"/>
  <c r="H10" i="16"/>
  <c r="K10" i="16" s="1"/>
  <c r="B9" i="21" s="1"/>
  <c r="H5" i="16"/>
  <c r="K5" i="16" s="1"/>
  <c r="B4" i="21" s="1"/>
  <c r="J5" i="16"/>
  <c r="A4" i="21" s="1"/>
  <c r="J6" i="16"/>
  <c r="A5" i="21" s="1"/>
  <c r="J7" i="16"/>
  <c r="A6" i="21" s="1"/>
  <c r="H9" i="16"/>
  <c r="K9" i="16" s="1"/>
  <c r="B8" i="21" s="1"/>
  <c r="H6" i="16"/>
  <c r="K6" i="16" s="1"/>
  <c r="B5" i="21" s="1"/>
  <c r="H11" i="16"/>
  <c r="K11" i="16" s="1"/>
  <c r="B10" i="21" s="1"/>
  <c r="J10" i="16"/>
  <c r="A9" i="21" s="1"/>
  <c r="H7" i="16"/>
  <c r="K7" i="16" s="1"/>
  <c r="B6" i="21" s="1"/>
  <c r="H8" i="16"/>
  <c r="K8" i="16" s="1"/>
  <c r="B7" i="21" s="1"/>
  <c r="H12" i="16"/>
  <c r="K12" i="16" s="1"/>
  <c r="B11" i="21" s="1"/>
  <c r="H4" i="16"/>
  <c r="K4" i="16" s="1"/>
  <c r="B3" i="21" s="1"/>
  <c r="J11" i="16"/>
  <c r="A10" i="21" s="1"/>
  <c r="J8" i="16"/>
  <c r="A7" i="21" s="1"/>
  <c r="O11" i="16"/>
  <c r="N11" i="16"/>
  <c r="H3" i="16" l="1"/>
  <c r="K3" i="16" s="1"/>
  <c r="B2" i="21" s="1"/>
  <c r="J3" i="16"/>
  <c r="A2" i="21" s="1"/>
  <c r="Q7" i="16" a="1"/>
  <c r="A38" i="11" s="1" a="1"/>
  <c r="Q3" i="16" a="1"/>
  <c r="A34" i="11" s="1" a="1"/>
  <c r="Q4" i="16" a="1"/>
  <c r="A35" i="11" s="1" a="1"/>
  <c r="Q13" i="16" a="1"/>
  <c r="D35" i="11" s="1" a="1"/>
  <c r="Q9" i="16" a="1"/>
  <c r="A40" i="11" s="1" a="1"/>
  <c r="Q6" i="16" a="1"/>
  <c r="A37" i="11" s="1" a="1"/>
  <c r="Q5" i="16" a="1"/>
  <c r="A36" i="11" s="1" a="1"/>
  <c r="Q10" i="16" a="1"/>
  <c r="A41" i="11" s="1" a="1"/>
  <c r="Q11" i="16" a="1"/>
  <c r="A42" i="11" s="1" a="1"/>
  <c r="Q12" i="16" a="1"/>
  <c r="D35" i="1" s="1" a="1"/>
  <c r="Q8" i="16" a="1"/>
  <c r="A39" i="11" s="1" a="1"/>
  <c r="A43" i="11" l="1" a="1"/>
  <c r="D34" i="11" a="1"/>
  <c r="R12" i="16"/>
  <c r="A42" i="1" a="1"/>
  <c r="R10" i="16"/>
  <c r="A38" i="1" a="1"/>
  <c r="R6" i="16"/>
  <c r="A41" i="1" a="1"/>
  <c r="R9" i="16"/>
  <c r="A43" i="1" a="1"/>
  <c r="R11" i="16"/>
  <c r="D36" i="1" a="1"/>
  <c r="R13" i="16"/>
  <c r="R7" i="16"/>
  <c r="A39" i="1" a="1"/>
  <c r="A40" i="1" a="1"/>
  <c r="R8" i="16"/>
  <c r="R5" i="16"/>
  <c r="A37" i="1" a="1"/>
  <c r="R3" i="16"/>
  <c r="C35" i="1" s="1" a="1"/>
  <c r="A35" i="1" a="1"/>
  <c r="R4" i="16"/>
  <c r="C36" i="1" s="1" a="1"/>
  <c r="A36" i="1" a="1"/>
  <c r="C39" i="1" l="1" a="1"/>
  <c r="C38" i="11" a="1"/>
  <c r="C38" i="1" a="1"/>
  <c r="C37" i="11" a="1"/>
  <c r="C41" i="1" a="1"/>
  <c r="C40" i="11" a="1"/>
  <c r="F36" i="1" a="1"/>
  <c r="F35" i="11" a="1"/>
  <c r="C42" i="1" a="1"/>
  <c r="C41" i="11" a="1"/>
  <c r="C35" i="11" a="1"/>
  <c r="F35" i="1" a="1"/>
  <c r="F34" i="11" a="1"/>
  <c r="C43" i="11" a="1"/>
  <c r="C34" i="11" a="1"/>
  <c r="C37" i="1" a="1"/>
  <c r="C36" i="11" a="1"/>
  <c r="C43" i="1" a="1"/>
  <c r="C42" i="11" a="1"/>
  <c r="C40" i="1" a="1"/>
  <c r="C39" i="11" a="1"/>
  <c r="L16" i="53" l="1"/>
  <c r="L19" i="53" s="1"/>
  <c r="L17" i="53"/>
  <c r="L56" i="53"/>
  <c r="L55" i="53"/>
  <c r="L202" i="53" s="1"/>
  <c r="L58" i="53" l="1"/>
  <c r="L59" i="53" s="1"/>
  <c r="L69" i="53" s="1"/>
  <c r="L71" i="53" s="1"/>
  <c r="L73" i="53" s="1"/>
  <c r="L75" i="53" s="1"/>
  <c r="L200" i="53"/>
  <c r="L204" i="53" s="1"/>
  <c r="L206" i="53" s="1"/>
  <c r="L216" i="53" s="1"/>
  <c r="L218" i="53" s="1"/>
  <c r="L243" i="53"/>
  <c r="L247" i="53" s="1"/>
  <c r="L18" i="53"/>
  <c r="L20" i="53" s="1"/>
  <c r="L226" i="53" l="1"/>
  <c r="L228" i="53" s="1"/>
  <c r="L222" i="53"/>
  <c r="L224" i="53" s="1"/>
  <c r="L230" i="53" s="1"/>
  <c r="BA6" i="53"/>
  <c r="BE6" i="53" s="1"/>
  <c r="L23" i="53"/>
  <c r="L116" i="53"/>
  <c r="BA15" i="53" s="1"/>
  <c r="BA25" i="53" s="1"/>
  <c r="L111" i="53"/>
  <c r="L113" i="53"/>
  <c r="AC6" i="53" l="1"/>
  <c r="AI4" i="53" s="1"/>
  <c r="AI9" i="53" s="1"/>
  <c r="L118" i="53"/>
  <c r="L120" i="53" s="1"/>
  <c r="L122" i="53" s="1"/>
  <c r="BF12" i="53"/>
  <c r="BO13" i="53" s="1"/>
  <c r="BE12" i="53"/>
  <c r="BO12" i="53" s="1"/>
  <c r="L27" i="53"/>
  <c r="Y3" i="53" s="1"/>
  <c r="L25" i="53"/>
  <c r="BA10" i="53"/>
  <c r="BA12" i="53" s="1"/>
  <c r="AG3" i="53" s="1"/>
  <c r="L233" i="53"/>
  <c r="L249" i="53" s="1"/>
  <c r="L253" i="53" s="1"/>
  <c r="L257" i="53" s="1"/>
  <c r="L237" i="53"/>
  <c r="L239" i="53"/>
  <c r="L234" i="53"/>
  <c r="L250" i="53" s="1"/>
  <c r="L254" i="53" s="1"/>
  <c r="L258" i="53" s="1"/>
  <c r="L262" i="53" s="1"/>
  <c r="L266" i="53" s="1"/>
  <c r="L238" i="53"/>
  <c r="L235" i="53"/>
  <c r="BN4" i="53" l="1"/>
  <c r="BN11" i="53" s="1"/>
  <c r="BA5" i="53"/>
  <c r="AC7" i="53"/>
  <c r="AI5" i="53" s="1"/>
  <c r="AI10" i="53" s="1"/>
  <c r="L251" i="53"/>
  <c r="L255" i="53" s="1"/>
  <c r="L259" i="53" s="1"/>
  <c r="L263" i="53" s="1"/>
  <c r="L267" i="53" s="1"/>
  <c r="L261" i="53"/>
  <c r="L265" i="53" s="1"/>
  <c r="BA29" i="53"/>
  <c r="BA31" i="53" s="1"/>
  <c r="AG5" i="53" s="1"/>
  <c r="BO4" i="53"/>
  <c r="BO11" i="53" s="1"/>
  <c r="AG8" i="53"/>
  <c r="BA19" i="53"/>
  <c r="BA21" i="53" s="1"/>
  <c r="AG4" i="53" s="1"/>
  <c r="L124" i="53"/>
  <c r="L126" i="53" s="1"/>
  <c r="Y4" i="53" l="1"/>
  <c r="AC11" i="53"/>
  <c r="AG10" i="53"/>
  <c r="BO6" i="53"/>
  <c r="BO14" i="53" s="1"/>
  <c r="BO5" i="53"/>
  <c r="BO15" i="53" s="1"/>
  <c r="AG9" i="53"/>
  <c r="AC12" i="53"/>
  <c r="Y5" i="53"/>
  <c r="BN6" i="53" l="1"/>
  <c r="BN14" i="53" s="1"/>
  <c r="BA24" i="53"/>
  <c r="BN5" i="53"/>
  <c r="BN15" i="53" s="1"/>
  <c r="BA14" i="53"/>
  <c r="E99" i="54" a="1"/>
  <c r="H104" i="54" l="1"/>
  <c r="B122" i="54"/>
  <c r="D15" i="54" s="1"/>
  <c r="F6" i="37"/>
  <c r="DW28" i="38"/>
  <c r="CU28" i="38"/>
  <c r="DW14" i="38"/>
  <c r="CU14" i="38"/>
  <c r="BB8" i="39"/>
  <c r="BA8" i="39"/>
  <c r="BB8" i="45"/>
  <c r="BA8" i="45"/>
  <c r="BB8" i="43"/>
  <c r="BA8" i="43"/>
  <c r="DW28" i="42"/>
  <c r="CU28" i="42"/>
  <c r="DW14" i="42"/>
  <c r="CU14" i="42"/>
  <c r="F40" i="33"/>
  <c r="G40" i="33" s="1"/>
  <c r="F39" i="33"/>
  <c r="G39" i="33" s="1"/>
  <c r="F38" i="33"/>
  <c r="AT6" i="33"/>
  <c r="AR6" i="33"/>
  <c r="AP6" i="33"/>
  <c r="AN6" i="33"/>
  <c r="AL6" i="33"/>
  <c r="AJ6" i="33"/>
  <c r="AH6" i="33"/>
  <c r="AF6" i="33"/>
  <c r="AD6" i="33"/>
  <c r="AB6" i="33"/>
  <c r="Z6" i="33"/>
  <c r="X6" i="33"/>
  <c r="CD8" i="46"/>
  <c r="CD7" i="46"/>
  <c r="CD6" i="46"/>
  <c r="BN6" i="46"/>
  <c r="BJ5" i="46"/>
  <c r="BB12" i="46" s="1"/>
  <c r="CQ17" i="49"/>
  <c r="CO17" i="49"/>
  <c r="CM17" i="49"/>
  <c r="CK17" i="49"/>
  <c r="AX17" i="49"/>
  <c r="AV17" i="49"/>
  <c r="AT17" i="49"/>
  <c r="AR17" i="49"/>
  <c r="CQ17" i="32"/>
  <c r="CO17" i="32"/>
  <c r="CM17" i="32"/>
  <c r="CK17" i="32"/>
  <c r="AX17" i="32"/>
  <c r="AV17" i="32"/>
  <c r="AT17" i="32"/>
  <c r="AR17" i="32"/>
  <c r="J77" i="14"/>
  <c r="J78" i="14" s="1"/>
  <c r="J74" i="14"/>
  <c r="J71" i="14"/>
  <c r="J72" i="14" s="1"/>
  <c r="J61" i="14"/>
  <c r="I19" i="14"/>
  <c r="Q13" i="16"/>
  <c r="Q12" i="16"/>
  <c r="Q11" i="16"/>
  <c r="Q10" i="16"/>
  <c r="Q9" i="16"/>
  <c r="Q8" i="16"/>
  <c r="Q7" i="16"/>
  <c r="Q6" i="16"/>
  <c r="Q5" i="16"/>
  <c r="Q4" i="16"/>
  <c r="Q3" i="16"/>
  <c r="G3" i="16"/>
  <c r="F42" i="23"/>
  <c r="F40" i="23"/>
  <c r="F39" i="23"/>
  <c r="F38" i="23"/>
  <c r="AU10" i="23"/>
  <c r="AT10" i="23"/>
  <c r="AS10" i="23"/>
  <c r="AR10" i="23"/>
  <c r="AQ10" i="23"/>
  <c r="AP10" i="23"/>
  <c r="AO10" i="23"/>
  <c r="AN10" i="23"/>
  <c r="AM10" i="23"/>
  <c r="AL10" i="23"/>
  <c r="AK10" i="23"/>
  <c r="AJ10" i="23"/>
  <c r="AI10" i="23"/>
  <c r="AH10" i="23"/>
  <c r="AG10" i="23"/>
  <c r="AF10" i="23"/>
  <c r="AE10" i="23"/>
  <c r="AD10" i="23"/>
  <c r="AC10" i="23"/>
  <c r="AB10" i="23"/>
  <c r="AA10" i="23"/>
  <c r="Z10" i="23"/>
  <c r="Y10" i="23"/>
  <c r="X10" i="23"/>
  <c r="AU7" i="23"/>
  <c r="AT7" i="23"/>
  <c r="AS7" i="23"/>
  <c r="AR7" i="23"/>
  <c r="AQ7" i="23"/>
  <c r="AP7" i="23"/>
  <c r="AO7" i="23"/>
  <c r="AN7" i="23"/>
  <c r="AM7" i="23"/>
  <c r="AL7" i="23"/>
  <c r="AK7" i="23"/>
  <c r="AJ7" i="23"/>
  <c r="AI7" i="23"/>
  <c r="AH7" i="23"/>
  <c r="AG7" i="23"/>
  <c r="AF7" i="23"/>
  <c r="AE7" i="23"/>
  <c r="AD7" i="23"/>
  <c r="AC7" i="23"/>
  <c r="AB7" i="23"/>
  <c r="AA7" i="23"/>
  <c r="Z7" i="23"/>
  <c r="Y7" i="23"/>
  <c r="X7" i="23"/>
  <c r="AT6" i="23"/>
  <c r="AR6" i="23"/>
  <c r="AP6" i="23"/>
  <c r="AN6" i="23"/>
  <c r="AL6" i="23"/>
  <c r="AJ6" i="23"/>
  <c r="AH6" i="23"/>
  <c r="AF6" i="23"/>
  <c r="AD6" i="23"/>
  <c r="AB6" i="23"/>
  <c r="Z6" i="23"/>
  <c r="X6" i="23"/>
  <c r="BI19" i="57"/>
  <c r="BH19" i="57"/>
  <c r="BF19" i="57"/>
  <c r="BD19" i="57"/>
  <c r="BB19" i="57"/>
  <c r="BI18" i="57"/>
  <c r="BF18" i="57"/>
  <c r="BD18" i="57"/>
  <c r="BB18" i="57"/>
  <c r="BF17" i="57"/>
  <c r="BD17" i="57"/>
  <c r="BB17" i="57"/>
  <c r="BI16" i="57"/>
  <c r="BH16" i="57"/>
  <c r="BF16" i="57"/>
  <c r="BD16" i="57"/>
  <c r="BB16" i="57"/>
  <c r="BI15" i="57"/>
  <c r="BH15" i="57"/>
  <c r="BF15" i="57"/>
  <c r="BD15" i="57"/>
  <c r="BB15" i="57"/>
  <c r="BH14" i="57"/>
  <c r="BF14" i="57"/>
  <c r="BD14" i="57"/>
  <c r="BB14" i="57"/>
  <c r="CD8" i="57"/>
  <c r="CD7" i="57"/>
  <c r="CD6" i="57"/>
  <c r="BN6" i="57"/>
  <c r="BJ5" i="57"/>
  <c r="BD5" i="27"/>
  <c r="BC5" i="27"/>
  <c r="F17" i="56"/>
  <c r="C17" i="56"/>
  <c r="AS6" i="56"/>
  <c r="AI6" i="56"/>
  <c r="J63" i="12"/>
  <c r="J60" i="12"/>
  <c r="N30" i="12"/>
  <c r="N29" i="12"/>
  <c r="N28" i="12"/>
  <c r="I19" i="12"/>
  <c r="F43" i="11"/>
  <c r="D43" i="11"/>
  <c r="C43" i="11"/>
  <c r="A43" i="11"/>
  <c r="F42" i="11"/>
  <c r="D42" i="11"/>
  <c r="C42" i="11"/>
  <c r="A42" i="11"/>
  <c r="F41" i="11"/>
  <c r="D41" i="11"/>
  <c r="C41" i="11"/>
  <c r="A41" i="11"/>
  <c r="F40" i="11"/>
  <c r="D40" i="11"/>
  <c r="C40" i="11"/>
  <c r="A40" i="11"/>
  <c r="F39" i="11"/>
  <c r="D39" i="11"/>
  <c r="C39" i="11"/>
  <c r="A39" i="11"/>
  <c r="F38" i="11"/>
  <c r="D38" i="11"/>
  <c r="C38" i="11"/>
  <c r="A38" i="11"/>
  <c r="F37" i="11"/>
  <c r="D37" i="11"/>
  <c r="C37" i="11"/>
  <c r="A37" i="11"/>
  <c r="F36" i="11"/>
  <c r="D36" i="11"/>
  <c r="C36" i="11"/>
  <c r="A36" i="11"/>
  <c r="F35" i="11"/>
  <c r="D35" i="11"/>
  <c r="C35" i="11"/>
  <c r="A35" i="11"/>
  <c r="F34" i="11"/>
  <c r="D34" i="11"/>
  <c r="C34" i="11"/>
  <c r="A34" i="11"/>
  <c r="J65" i="2"/>
  <c r="J62" i="2"/>
  <c r="N30" i="2"/>
  <c r="N29" i="2"/>
  <c r="N28" i="2"/>
  <c r="I19" i="2"/>
  <c r="F43" i="1"/>
  <c r="D43" i="1"/>
  <c r="C43" i="1"/>
  <c r="A43" i="1"/>
  <c r="F42" i="1"/>
  <c r="D42" i="1"/>
  <c r="C42" i="1"/>
  <c r="A42" i="1"/>
  <c r="F41" i="1"/>
  <c r="D41" i="1"/>
  <c r="C41" i="1"/>
  <c r="A41" i="1"/>
  <c r="F40" i="1"/>
  <c r="D40" i="1"/>
  <c r="C40" i="1"/>
  <c r="A40" i="1"/>
  <c r="F39" i="1"/>
  <c r="D39" i="1"/>
  <c r="C39" i="1"/>
  <c r="A39" i="1"/>
  <c r="F38" i="1"/>
  <c r="D38" i="1"/>
  <c r="C38" i="1"/>
  <c r="A38" i="1"/>
  <c r="F37" i="1"/>
  <c r="D37" i="1"/>
  <c r="C37" i="1"/>
  <c r="A37" i="1"/>
  <c r="F36" i="1"/>
  <c r="D36" i="1"/>
  <c r="C36" i="1"/>
  <c r="A36" i="1"/>
  <c r="F35" i="1"/>
  <c r="D35" i="1"/>
  <c r="C35" i="1"/>
  <c r="A35" i="1"/>
  <c r="H16" i="10"/>
  <c r="F197" i="54"/>
  <c r="Z183" i="54"/>
  <c r="W183" i="54"/>
  <c r="T183" i="54"/>
  <c r="Q183" i="54"/>
  <c r="N183" i="54"/>
  <c r="K183" i="54"/>
  <c r="F183" i="54"/>
  <c r="AY134" i="54"/>
  <c r="R99" i="54"/>
  <c r="Q99" i="54"/>
  <c r="P99" i="54"/>
  <c r="O99" i="54"/>
  <c r="N99" i="54"/>
  <c r="M99" i="54"/>
  <c r="L99" i="54"/>
  <c r="K99" i="54"/>
  <c r="J99" i="54"/>
  <c r="I99" i="54"/>
  <c r="H99" i="54"/>
  <c r="G99" i="54"/>
  <c r="F99" i="54"/>
  <c r="E99" i="54"/>
  <c r="D99" i="54"/>
  <c r="R98" i="54"/>
  <c r="Q98" i="54"/>
  <c r="P98" i="54"/>
  <c r="O98" i="54"/>
  <c r="N98" i="54"/>
  <c r="M98" i="54"/>
  <c r="L98" i="54"/>
  <c r="K98" i="54"/>
  <c r="J98" i="54"/>
  <c r="I98" i="54"/>
  <c r="H98" i="54"/>
  <c r="G98" i="54"/>
  <c r="F98" i="54"/>
  <c r="E98" i="54"/>
  <c r="D98" i="54"/>
  <c r="R97" i="54"/>
  <c r="Q97" i="54"/>
  <c r="P97" i="54"/>
  <c r="O97" i="54"/>
  <c r="N97" i="54"/>
  <c r="M97" i="54"/>
  <c r="L97" i="54"/>
  <c r="K97" i="54"/>
  <c r="J97" i="54"/>
  <c r="I97" i="54"/>
  <c r="H97" i="54"/>
  <c r="G97" i="54"/>
  <c r="F97" i="54"/>
  <c r="E97" i="54"/>
  <c r="D97" i="54"/>
  <c r="J67" i="2" l="1"/>
  <c r="J70" i="2" s="1"/>
  <c r="J66" i="2"/>
  <c r="J64" i="12"/>
  <c r="J65" i="12"/>
  <c r="J68" i="12" s="1"/>
  <c r="CH6" i="57"/>
  <c r="CG6" i="57"/>
  <c r="CF6" i="57"/>
  <c r="CH7" i="57"/>
  <c r="CG7" i="57"/>
  <c r="CF7" i="57"/>
  <c r="CH8" i="57"/>
  <c r="CG8" i="57"/>
  <c r="CF8" i="57"/>
  <c r="J67" i="14"/>
  <c r="G41" i="14"/>
  <c r="J80" i="14"/>
  <c r="J79" i="14"/>
  <c r="J43" i="14" s="1"/>
  <c r="H43" i="14" s="1"/>
  <c r="BB34" i="32"/>
  <c r="BB31" i="32"/>
  <c r="BB20" i="32"/>
  <c r="BB27" i="32"/>
  <c r="BB23" i="32"/>
  <c r="BD20" i="32"/>
  <c r="BD23" i="32"/>
  <c r="BD27" i="32"/>
  <c r="BD31" i="32"/>
  <c r="BD34" i="32"/>
  <c r="BF23" i="32"/>
  <c r="BF27" i="32"/>
  <c r="BF20" i="32"/>
  <c r="BF31" i="32"/>
  <c r="BF34" i="32"/>
  <c r="BH23" i="32"/>
  <c r="BH31" i="32"/>
  <c r="BH34" i="32"/>
  <c r="BH20" i="32"/>
  <c r="BH27" i="32"/>
  <c r="CU23" i="32"/>
  <c r="CU34" i="32"/>
  <c r="CU31" i="32"/>
  <c r="CU20" i="32"/>
  <c r="CU27" i="32"/>
  <c r="CW31" i="32"/>
  <c r="CW34" i="32"/>
  <c r="CW20" i="32"/>
  <c r="CW23" i="32"/>
  <c r="CW27" i="32"/>
  <c r="CY27" i="32"/>
  <c r="CY23" i="32"/>
  <c r="CY31" i="32"/>
  <c r="CY34" i="32"/>
  <c r="CY20" i="32"/>
  <c r="DA27" i="32"/>
  <c r="DA31" i="32"/>
  <c r="DA34" i="32"/>
  <c r="DA20" i="32"/>
  <c r="DA23" i="32"/>
  <c r="BB20" i="49"/>
  <c r="BB31" i="49"/>
  <c r="BB34" i="49"/>
  <c r="BD20" i="49"/>
  <c r="BD34" i="49"/>
  <c r="BD31" i="49"/>
  <c r="BF31" i="49"/>
  <c r="BF34" i="49"/>
  <c r="BF20" i="49"/>
  <c r="BH20" i="49"/>
  <c r="BH31" i="49"/>
  <c r="BH34" i="49"/>
  <c r="CU31" i="49"/>
  <c r="CU20" i="49"/>
  <c r="CU34" i="49"/>
  <c r="CW31" i="49"/>
  <c r="CW20" i="49"/>
  <c r="CW34" i="49"/>
  <c r="CY34" i="49"/>
  <c r="CY20" i="49"/>
  <c r="CY31" i="49"/>
  <c r="DA34" i="49"/>
  <c r="DA31" i="49"/>
  <c r="DA20" i="49"/>
  <c r="BH19" i="46" a="1"/>
  <c r="BH19" i="46" s="1"/>
  <c r="BD14" i="46" a="1"/>
  <c r="BD16" i="46" a="1"/>
  <c r="BD16" i="46" s="1"/>
  <c r="BD19" i="46" a="1"/>
  <c r="BD19" i="46" s="1"/>
  <c r="BF15" i="46" a="1"/>
  <c r="BF15" i="46" s="1"/>
  <c r="BB19" i="46" a="1"/>
  <c r="BB19" i="46" s="1"/>
  <c r="BF18" i="46" a="1"/>
  <c r="BF18" i="46" s="1"/>
  <c r="BB18" i="46" a="1"/>
  <c r="BB18" i="46" s="1"/>
  <c r="BD18" i="46" a="1"/>
  <c r="BD18" i="46" s="1"/>
  <c r="BF17" i="46" a="1"/>
  <c r="BF17" i="46" s="1"/>
  <c r="BI15" i="46" a="1"/>
  <c r="BB16" i="46" a="1"/>
  <c r="BB16" i="46" s="1"/>
  <c r="BB14" i="46" a="1"/>
  <c r="BB14" i="46" s="1"/>
  <c r="BD17" i="46" a="1"/>
  <c r="BD17" i="46" s="1"/>
  <c r="BD15" i="46" a="1"/>
  <c r="BD15" i="46" s="1"/>
  <c r="BF14" i="46" a="1"/>
  <c r="BF14" i="46" s="1"/>
  <c r="BI19" i="46" a="1"/>
  <c r="BI19" i="46" s="1"/>
  <c r="BB17" i="46" a="1"/>
  <c r="BB17" i="46" s="1"/>
  <c r="BH14" i="46" a="1"/>
  <c r="BH14" i="46" s="1"/>
  <c r="BF19" i="46" a="1"/>
  <c r="BF19" i="46" s="1"/>
  <c r="BI18" i="46" a="1"/>
  <c r="BI18" i="46" s="1"/>
  <c r="BI16" i="46" a="1"/>
  <c r="BI16" i="46" s="1"/>
  <c r="BF16" i="46" a="1"/>
  <c r="BF16" i="46" s="1"/>
  <c r="BB26" i="46"/>
  <c r="BB40" i="46" s="1"/>
  <c r="BL12" i="46"/>
  <c r="HD12" i="46" s="1"/>
  <c r="AI10" i="47" s="1"/>
  <c r="BB15" i="46" a="1"/>
  <c r="BB15" i="46" s="1"/>
  <c r="BH16" i="46" a="1"/>
  <c r="BH16" i="46" s="1"/>
  <c r="BH15" i="46" a="1"/>
  <c r="BH15" i="46" s="1"/>
  <c r="CF6" i="46"/>
  <c r="CG6" i="46"/>
  <c r="CH6" i="46"/>
  <c r="CH7" i="46"/>
  <c r="CG7" i="46"/>
  <c r="CF7" i="46"/>
  <c r="CF8" i="46"/>
  <c r="CG8" i="46"/>
  <c r="CH8" i="46"/>
  <c r="Y7" i="33" a="1"/>
  <c r="X7" i="33" a="1"/>
  <c r="AA7" i="33" a="1"/>
  <c r="Z7" i="33" a="1"/>
  <c r="AB7" i="33" a="1"/>
  <c r="AC7" i="33" a="1"/>
  <c r="AE7" i="33" a="1"/>
  <c r="AD7" i="33" a="1"/>
  <c r="AG7" i="33" a="1"/>
  <c r="AF7" i="33" a="1"/>
  <c r="AH7" i="33" a="1"/>
  <c r="AI7" i="33" a="1"/>
  <c r="AJ7" i="33" a="1"/>
  <c r="AK7" i="33" a="1"/>
  <c r="AM7" i="33" a="1"/>
  <c r="AL7" i="33" a="1"/>
  <c r="AO7" i="33" a="1"/>
  <c r="AN7" i="33" a="1"/>
  <c r="AP7" i="33" a="1"/>
  <c r="AQ7" i="33" a="1"/>
  <c r="AR7" i="33" a="1"/>
  <c r="AS7" i="33" a="1"/>
  <c r="AU7" i="33" a="1"/>
  <c r="AT7" i="33" a="1"/>
  <c r="G38" i="33"/>
  <c r="F42" i="33" a="1"/>
  <c r="F42" i="33" s="1"/>
  <c r="DB14" i="42"/>
  <c r="DH14" i="42"/>
  <c r="DJ14" i="42"/>
  <c r="ES14" i="42" s="1"/>
  <c r="CX14" i="42"/>
  <c r="DZ14" i="42"/>
  <c r="ED14" i="42" s="1"/>
  <c r="EF14" i="42" s="1"/>
  <c r="EH14" i="42" s="1"/>
  <c r="EO14" i="42" s="1"/>
  <c r="ES16" i="42" s="1"/>
  <c r="EL14" i="42"/>
  <c r="EN14" i="42" s="1"/>
  <c r="CX28" i="42"/>
  <c r="DB28" i="42"/>
  <c r="DD28" i="42" s="1"/>
  <c r="DH28" i="42"/>
  <c r="DJ28" i="42"/>
  <c r="DZ28" i="42"/>
  <c r="ED28" i="42" s="1"/>
  <c r="EF28" i="42" s="1"/>
  <c r="EH28" i="42" s="1"/>
  <c r="EO28" i="42" s="1"/>
  <c r="ES30" i="42" s="1"/>
  <c r="EL28" i="42"/>
  <c r="EN28" i="42" s="1"/>
  <c r="BE8" i="43"/>
  <c r="BE10" i="43"/>
  <c r="BE9" i="43"/>
  <c r="BF8" i="43"/>
  <c r="BH8" i="43" s="1"/>
  <c r="BF9" i="43"/>
  <c r="BH9" i="43" s="1"/>
  <c r="BF10" i="43"/>
  <c r="BH10" i="43" s="1"/>
  <c r="BE8" i="45"/>
  <c r="BE10" i="45"/>
  <c r="BE9" i="45"/>
  <c r="BF8" i="45"/>
  <c r="BH8" i="45" s="1"/>
  <c r="BF10" i="45"/>
  <c r="BH10" i="45" s="1"/>
  <c r="BF9" i="45"/>
  <c r="BH9" i="45" s="1"/>
  <c r="BK8" i="45" s="1"/>
  <c r="BN8" i="45" s="1"/>
  <c r="BO8" i="45" s="1"/>
  <c r="BE10" i="39"/>
  <c r="BE8" i="39"/>
  <c r="BE9" i="39"/>
  <c r="BF8" i="39"/>
  <c r="BH8" i="39" s="1"/>
  <c r="BF9" i="39"/>
  <c r="BH9" i="39" s="1"/>
  <c r="BF10" i="39"/>
  <c r="BH10" i="39" s="1"/>
  <c r="CX14" i="38"/>
  <c r="DH14" i="38"/>
  <c r="DJ14" i="38"/>
  <c r="ES14" i="38" s="1"/>
  <c r="DB14" i="38"/>
  <c r="DD14" i="38" s="1"/>
  <c r="DN14" i="38" s="1"/>
  <c r="DZ14" i="38"/>
  <c r="ED14" i="38" s="1"/>
  <c r="EF14" i="38" s="1"/>
  <c r="EH14" i="38" s="1"/>
  <c r="EO14" i="38" s="1"/>
  <c r="ES16" i="38" s="1"/>
  <c r="EL14" i="38"/>
  <c r="EN14" i="38" s="1"/>
  <c r="DJ28" i="38"/>
  <c r="DB28" i="38"/>
  <c r="DH28" i="38"/>
  <c r="CX28" i="38"/>
  <c r="DZ28" i="38"/>
  <c r="ED28" i="38" s="1"/>
  <c r="EF28" i="38" s="1"/>
  <c r="EH28" i="38" s="1"/>
  <c r="EO28" i="38" s="1"/>
  <c r="ES30" i="38" s="1"/>
  <c r="EL28" i="38"/>
  <c r="EN28" i="38" s="1"/>
  <c r="ET30" i="38" l="1"/>
  <c r="AW30" i="38" s="1"/>
  <c r="BL30" i="38" s="1"/>
  <c r="AV30" i="38"/>
  <c r="BK30" i="38" s="1"/>
  <c r="AR25" i="38"/>
  <c r="BG25" i="38" s="1"/>
  <c r="DM28" i="38"/>
  <c r="DP28" i="38"/>
  <c r="AW32" i="38"/>
  <c r="AW34" i="38" s="1"/>
  <c r="BL32" i="38" s="1"/>
  <c r="DD28" i="38"/>
  <c r="AV16" i="38"/>
  <c r="BK16" i="38" s="1"/>
  <c r="ET16" i="38"/>
  <c r="AW16" i="38" s="1"/>
  <c r="BL16" i="38" s="1"/>
  <c r="ET14" i="38"/>
  <c r="AW14" i="38" s="1"/>
  <c r="BL14" i="38" s="1"/>
  <c r="AV14" i="38"/>
  <c r="AW18" i="38"/>
  <c r="AW20" i="38" s="1"/>
  <c r="DM14" i="38"/>
  <c r="ES15" i="38" s="1"/>
  <c r="AR11" i="38"/>
  <c r="BG11" i="38" s="1"/>
  <c r="DP14" i="38"/>
  <c r="DQ14" i="38" s="1"/>
  <c r="EQ14" i="38" s="1"/>
  <c r="BK10" i="39"/>
  <c r="BN10" i="39" s="1"/>
  <c r="BO10" i="39" s="1"/>
  <c r="BK8" i="39"/>
  <c r="BN8" i="39" s="1"/>
  <c r="BO8" i="39" s="1"/>
  <c r="CB8" i="45"/>
  <c r="AQ10" i="44" s="1"/>
  <c r="BP8" i="45"/>
  <c r="BK10" i="45"/>
  <c r="BN10" i="45" s="1"/>
  <c r="BO10" i="45" s="1"/>
  <c r="BK10" i="43"/>
  <c r="BN10" i="43" s="1"/>
  <c r="BO10" i="43" s="1"/>
  <c r="BK8" i="43"/>
  <c r="BN8" i="43" s="1"/>
  <c r="BO8" i="43" s="1"/>
  <c r="ET30" i="42"/>
  <c r="AW30" i="42" s="1"/>
  <c r="BL30" i="42" s="1"/>
  <c r="AV30" i="42"/>
  <c r="BK30" i="42" s="1"/>
  <c r="ES28" i="42"/>
  <c r="DN28" i="42"/>
  <c r="DP28" i="42"/>
  <c r="AW32" i="42"/>
  <c r="AW34" i="42" s="1"/>
  <c r="BL32" i="42" s="1"/>
  <c r="AR25" i="42"/>
  <c r="BG25" i="42" s="1"/>
  <c r="DM28" i="42"/>
  <c r="DQ28" i="42"/>
  <c r="EQ28" i="42" s="1"/>
  <c r="AV16" i="42"/>
  <c r="BK16" i="42" s="1"/>
  <c r="BR16" i="42" s="1"/>
  <c r="FJ16" i="42" s="1"/>
  <c r="AF19" i="44" s="1"/>
  <c r="ET16" i="42"/>
  <c r="AW16" i="42" s="1"/>
  <c r="BL16" i="42" s="1"/>
  <c r="ET14" i="42"/>
  <c r="AW14" i="42" s="1"/>
  <c r="BL14" i="42" s="1"/>
  <c r="AV14" i="42"/>
  <c r="AW18" i="42"/>
  <c r="AW20" i="42" s="1"/>
  <c r="DM14" i="42"/>
  <c r="DP14" i="42"/>
  <c r="AR11" i="42"/>
  <c r="BG11" i="42" s="1"/>
  <c r="DD14" i="42"/>
  <c r="F49" i="33"/>
  <c r="G49" i="33" s="1"/>
  <c r="F48" i="33"/>
  <c r="G48" i="33" s="1"/>
  <c r="F47" i="33"/>
  <c r="G47" i="33" s="1"/>
  <c r="AT7" i="33"/>
  <c r="AT10" i="33" s="1" a="1"/>
  <c r="AT10" i="33" s="1"/>
  <c r="AU7" i="33"/>
  <c r="AU10" i="33" s="1" a="1"/>
  <c r="AU10" i="33" s="1"/>
  <c r="AS7" i="33"/>
  <c r="AS10" i="33" s="1" a="1"/>
  <c r="AS10" i="33" s="1"/>
  <c r="AR7" i="33"/>
  <c r="AR10" i="33" s="1" a="1"/>
  <c r="AR10" i="33" s="1"/>
  <c r="AQ7" i="33"/>
  <c r="AQ10" i="33" s="1" a="1"/>
  <c r="AQ10" i="33" s="1"/>
  <c r="AP7" i="33"/>
  <c r="AP10" i="33" s="1" a="1"/>
  <c r="AP10" i="33" s="1"/>
  <c r="AN7" i="33"/>
  <c r="AN10" i="33" s="1" a="1"/>
  <c r="AN10" i="33" s="1"/>
  <c r="AO7" i="33"/>
  <c r="AO10" i="33" s="1" a="1"/>
  <c r="AO10" i="33" s="1"/>
  <c r="AL7" i="33"/>
  <c r="AL10" i="33" s="1" a="1"/>
  <c r="AL10" i="33" s="1"/>
  <c r="AM7" i="33"/>
  <c r="AM10" i="33" s="1" a="1"/>
  <c r="AM10" i="33" s="1"/>
  <c r="AK7" i="33"/>
  <c r="AK10" i="33" s="1" a="1"/>
  <c r="AK10" i="33" s="1"/>
  <c r="AJ7" i="33"/>
  <c r="AJ10" i="33" s="1" a="1"/>
  <c r="AJ10" i="33" s="1"/>
  <c r="AI7" i="33"/>
  <c r="AI10" i="33" s="1" a="1"/>
  <c r="AI10" i="33" s="1"/>
  <c r="AH7" i="33"/>
  <c r="AH10" i="33" s="1" a="1"/>
  <c r="AH10" i="33" s="1"/>
  <c r="AF7" i="33"/>
  <c r="AF10" i="33" s="1" a="1"/>
  <c r="AF10" i="33" s="1"/>
  <c r="AG7" i="33"/>
  <c r="AG10" i="33" s="1" a="1"/>
  <c r="AG10" i="33" s="1"/>
  <c r="AD7" i="33"/>
  <c r="AD10" i="33" s="1" a="1"/>
  <c r="AD10" i="33" s="1"/>
  <c r="AE7" i="33"/>
  <c r="AE10" i="33" s="1" a="1"/>
  <c r="AE10" i="33" s="1"/>
  <c r="AC7" i="33"/>
  <c r="AC10" i="33" s="1" a="1"/>
  <c r="AC10" i="33" s="1"/>
  <c r="AB7" i="33"/>
  <c r="AB10" i="33" s="1" a="1"/>
  <c r="AB10" i="33" s="1"/>
  <c r="Z7" i="33"/>
  <c r="Z10" i="33" s="1" a="1"/>
  <c r="Z10" i="33" s="1"/>
  <c r="AA7" i="33"/>
  <c r="AA10" i="33" s="1" a="1"/>
  <c r="AA10" i="33" s="1"/>
  <c r="X7" i="33"/>
  <c r="X10" i="33" s="1" a="1"/>
  <c r="X10" i="33" s="1"/>
  <c r="Y7" i="33"/>
  <c r="Y10" i="33" s="1" a="1"/>
  <c r="Y10" i="33" s="1"/>
  <c r="CJ6" i="46"/>
  <c r="CL6" i="46"/>
  <c r="CK6" i="46"/>
  <c r="CN6" i="46" s="1"/>
  <c r="CN5" i="46" s="1" a="1"/>
  <c r="BH29" i="46"/>
  <c r="BH43" i="46" s="1"/>
  <c r="BR15" i="46"/>
  <c r="HJ15" i="46" s="1"/>
  <c r="AO13" i="47" s="1"/>
  <c r="BR16" i="46"/>
  <c r="HJ16" i="46" s="1"/>
  <c r="AO14" i="47" s="1"/>
  <c r="BH30" i="46"/>
  <c r="BH44" i="46" s="1"/>
  <c r="BB43" i="46"/>
  <c r="BC29" i="46"/>
  <c r="BM15" i="46" s="1"/>
  <c r="HE15" i="46" s="1"/>
  <c r="AJ13" i="47" s="1"/>
  <c r="BC43" i="46"/>
  <c r="BB29" i="46"/>
  <c r="BL15" i="46" s="1"/>
  <c r="HD15" i="46" s="1"/>
  <c r="AI13" i="47" s="1"/>
  <c r="BF30" i="46"/>
  <c r="BP16" i="46" s="1"/>
  <c r="HH16" i="46" s="1"/>
  <c r="AM14" i="47" s="1"/>
  <c r="BG30" i="46"/>
  <c r="BQ16" i="46" s="1"/>
  <c r="HI16" i="46" s="1"/>
  <c r="AN14" i="47" s="1"/>
  <c r="BF44" i="46"/>
  <c r="BG44" i="46"/>
  <c r="BI30" i="46"/>
  <c r="BI44" i="46" s="1"/>
  <c r="BS16" i="46"/>
  <c r="HK16" i="46" s="1"/>
  <c r="AP14" i="47" s="1"/>
  <c r="BS18" i="46"/>
  <c r="HK18" i="46" s="1"/>
  <c r="BI46" i="46"/>
  <c r="BI32" i="46"/>
  <c r="BF47" i="46"/>
  <c r="BG47" i="46"/>
  <c r="BF33" i="46"/>
  <c r="BP19" i="46" s="1"/>
  <c r="HH19" i="46" s="1"/>
  <c r="AM17" i="47" s="1"/>
  <c r="BG33" i="46"/>
  <c r="BQ19" i="46" s="1"/>
  <c r="HI19" i="46" s="1"/>
  <c r="AN17" i="47" s="1"/>
  <c r="BH28" i="46"/>
  <c r="BH42" i="46" s="1"/>
  <c r="BR14" i="46"/>
  <c r="HJ14" i="46" s="1"/>
  <c r="AO12" i="47" s="1"/>
  <c r="BB31" i="46"/>
  <c r="BL17" i="46" s="1"/>
  <c r="HD17" i="46" s="1"/>
  <c r="AI15" i="47" s="1"/>
  <c r="BB45" i="46"/>
  <c r="BC31" i="46"/>
  <c r="BM17" i="46" s="1"/>
  <c r="HE17" i="46" s="1"/>
  <c r="AJ15" i="47" s="1"/>
  <c r="BC45" i="46"/>
  <c r="BS19" i="46"/>
  <c r="HK19" i="46" s="1"/>
  <c r="BI47" i="46"/>
  <c r="AQ12" i="46"/>
  <c r="AQ26" i="46"/>
  <c r="BI33" i="46"/>
  <c r="BF42" i="46"/>
  <c r="BG42" i="46"/>
  <c r="BF28" i="46"/>
  <c r="BP14" i="46" s="1"/>
  <c r="HH14" i="46" s="1"/>
  <c r="AM12" i="47" s="1"/>
  <c r="BG28" i="46"/>
  <c r="BQ14" i="46" s="1"/>
  <c r="HI14" i="46" s="1"/>
  <c r="AN12" i="47" s="1"/>
  <c r="BD29" i="46"/>
  <c r="BN15" i="46" s="1"/>
  <c r="HF15" i="46" s="1"/>
  <c r="AK13" i="47" s="1"/>
  <c r="BD31" i="46"/>
  <c r="BN17" i="46" s="1"/>
  <c r="HF17" i="46" s="1"/>
  <c r="AK15" i="47" s="1"/>
  <c r="BC42" i="46"/>
  <c r="BB28" i="46"/>
  <c r="BL14" i="46" s="1"/>
  <c r="HD14" i="46" s="1"/>
  <c r="AI12" i="47" s="1"/>
  <c r="BB42" i="46"/>
  <c r="BC28" i="46"/>
  <c r="BM14" i="46" s="1"/>
  <c r="HE14" i="46" s="1"/>
  <c r="AJ12" i="47" s="1"/>
  <c r="BB44" i="46"/>
  <c r="BC30" i="46"/>
  <c r="BM16" i="46" s="1"/>
  <c r="HE16" i="46" s="1"/>
  <c r="AJ14" i="47" s="1"/>
  <c r="BB30" i="46"/>
  <c r="BL16" i="46" s="1"/>
  <c r="HD16" i="46" s="1"/>
  <c r="AI14" i="47" s="1"/>
  <c r="BC44" i="46"/>
  <c r="BI15" i="46"/>
  <c r="BF45" i="46"/>
  <c r="BG45" i="46"/>
  <c r="BG31" i="46"/>
  <c r="BQ17" i="46" s="1"/>
  <c r="HI17" i="46" s="1"/>
  <c r="AN15" i="47" s="1"/>
  <c r="BF31" i="46"/>
  <c r="BP17" i="46" s="1"/>
  <c r="HH17" i="46" s="1"/>
  <c r="AM15" i="47" s="1"/>
  <c r="BD32" i="46"/>
  <c r="BN18" i="46" s="1"/>
  <c r="HF18" i="46" s="1"/>
  <c r="AK16" i="47" s="1"/>
  <c r="BB32" i="46"/>
  <c r="BL18" i="46" s="1"/>
  <c r="HD18" i="46" s="1"/>
  <c r="AI16" i="47" s="1"/>
  <c r="BB46" i="46"/>
  <c r="BC32" i="46"/>
  <c r="BM18" i="46" s="1"/>
  <c r="HE18" i="46" s="1"/>
  <c r="AJ16" i="47" s="1"/>
  <c r="BC46" i="46"/>
  <c r="BG46" i="46"/>
  <c r="BF46" i="46"/>
  <c r="BF32" i="46"/>
  <c r="BP18" i="46" s="1"/>
  <c r="HH18" i="46" s="1"/>
  <c r="AM16" i="47" s="1"/>
  <c r="BG32" i="46"/>
  <c r="BQ18" i="46" s="1"/>
  <c r="HI18" i="46" s="1"/>
  <c r="AN16" i="47" s="1"/>
  <c r="BB33" i="46"/>
  <c r="BL19" i="46" s="1"/>
  <c r="HD19" i="46" s="1"/>
  <c r="AI17" i="47" s="1"/>
  <c r="BB47" i="46"/>
  <c r="BC33" i="46"/>
  <c r="BM19" i="46" s="1"/>
  <c r="HE19" i="46" s="1"/>
  <c r="AJ17" i="47" s="1"/>
  <c r="BC47" i="46"/>
  <c r="BF43" i="46"/>
  <c r="BG29" i="46"/>
  <c r="BQ15" i="46" s="1"/>
  <c r="HI15" i="46" s="1"/>
  <c r="AN13" i="47" s="1"/>
  <c r="BG43" i="46"/>
  <c r="BF29" i="46"/>
  <c r="BP15" i="46" s="1"/>
  <c r="HH15" i="46" s="1"/>
  <c r="AM13" i="47" s="1"/>
  <c r="BD33" i="46"/>
  <c r="BN19" i="46" s="1"/>
  <c r="HF19" i="46" s="1"/>
  <c r="AK17" i="47" s="1"/>
  <c r="BD30" i="46"/>
  <c r="BN16" i="46" s="1"/>
  <c r="HF16" i="46" s="1"/>
  <c r="AK14" i="47" s="1"/>
  <c r="BD14" i="46"/>
  <c r="BR19" i="46"/>
  <c r="HJ19" i="46" s="1"/>
  <c r="AO17" i="47" s="1"/>
  <c r="BH47" i="46"/>
  <c r="BH33" i="46"/>
  <c r="DC31" i="49"/>
  <c r="DC34" i="49"/>
  <c r="DC20" i="49"/>
  <c r="DC17" i="49" s="1"/>
  <c r="DE20" i="49" s="1"/>
  <c r="BJ31" i="49"/>
  <c r="BJ34" i="49"/>
  <c r="BJ20" i="49"/>
  <c r="BJ17" i="49" s="1"/>
  <c r="BL20" i="49" s="1"/>
  <c r="DC27" i="32"/>
  <c r="DC20" i="32"/>
  <c r="DC31" i="32"/>
  <c r="DC34" i="32"/>
  <c r="DC23" i="32"/>
  <c r="BJ23" i="32"/>
  <c r="BJ27" i="32"/>
  <c r="BJ20" i="32"/>
  <c r="BJ31" i="32"/>
  <c r="BJ34" i="32"/>
  <c r="J82" i="14"/>
  <c r="J45" i="14"/>
  <c r="H45" i="14" s="1"/>
  <c r="J81" i="14"/>
  <c r="J40" i="14"/>
  <c r="J69" i="14"/>
  <c r="J42" i="14" s="1"/>
  <c r="H42" i="14" s="1"/>
  <c r="CJ6" i="57"/>
  <c r="CK6" i="57"/>
  <c r="CL6" i="57"/>
  <c r="J43" i="12"/>
  <c r="C29" i="11" s="1"/>
  <c r="J67" i="12"/>
  <c r="H43" i="12"/>
  <c r="E29" i="11" s="1"/>
  <c r="J45" i="2"/>
  <c r="C30" i="1" s="1"/>
  <c r="J69" i="2"/>
  <c r="H45" i="2"/>
  <c r="E30" i="1" s="1"/>
  <c r="J44" i="2" l="1"/>
  <c r="C29" i="1" s="1"/>
  <c r="H44" i="2"/>
  <c r="E29" i="1" s="1"/>
  <c r="J42" i="12"/>
  <c r="C28" i="11" s="1"/>
  <c r="H42" i="12"/>
  <c r="E28" i="11" s="1"/>
  <c r="CN6" i="57"/>
  <c r="CR6" i="57" s="1" a="1"/>
  <c r="CR6" i="57" s="1"/>
  <c r="CN5" i="57" a="1"/>
  <c r="H47" i="14"/>
  <c r="J84" i="14"/>
  <c r="J83" i="14" a="1"/>
  <c r="BJ17" i="32"/>
  <c r="BL20" i="32"/>
  <c r="BL27" i="32"/>
  <c r="BL23" i="32"/>
  <c r="DC17" i="32"/>
  <c r="DE27" i="32"/>
  <c r="BO20" i="49"/>
  <c r="BW20" i="49" s="1"/>
  <c r="EA20" i="49" s="1"/>
  <c r="W11" i="47" s="1"/>
  <c r="BP20" i="49"/>
  <c r="BL34" i="49"/>
  <c r="BL31" i="49"/>
  <c r="DI20" i="49"/>
  <c r="DH20" i="49"/>
  <c r="DP20" i="49" s="1"/>
  <c r="EF20" i="49" s="1"/>
  <c r="AA11" i="47" s="1"/>
  <c r="DE34" i="49"/>
  <c r="DE31" i="49"/>
  <c r="BD42" i="46"/>
  <c r="BE28" i="46"/>
  <c r="BO14" i="46" s="1"/>
  <c r="HG14" i="46" s="1"/>
  <c r="AL12" i="47" s="1"/>
  <c r="BD28" i="46"/>
  <c r="BN14" i="46" s="1"/>
  <c r="HF14" i="46" s="1"/>
  <c r="AK12" i="47" s="1"/>
  <c r="BD43" i="46"/>
  <c r="BE43" i="46"/>
  <c r="BE29" i="46"/>
  <c r="BO15" i="46" s="1"/>
  <c r="HG15" i="46" s="1"/>
  <c r="AL13" i="47" s="1"/>
  <c r="BE31" i="46"/>
  <c r="BO17" i="46" s="1"/>
  <c r="HG17" i="46" s="1"/>
  <c r="AL15" i="47" s="1"/>
  <c r="BE45" i="46"/>
  <c r="BD45" i="46"/>
  <c r="BD46" i="46"/>
  <c r="BE46" i="46"/>
  <c r="BE32" i="46"/>
  <c r="BO18" i="46" s="1"/>
  <c r="HG18" i="46" s="1"/>
  <c r="AL16" i="47" s="1"/>
  <c r="BD47" i="46"/>
  <c r="BE47" i="46"/>
  <c r="BE33" i="46"/>
  <c r="BO19" i="46" s="1"/>
  <c r="HG19" i="46" s="1"/>
  <c r="AL17" i="47" s="1"/>
  <c r="BD44" i="46"/>
  <c r="BE44" i="46"/>
  <c r="BE30" i="46"/>
  <c r="BO16" i="46" s="1"/>
  <c r="HG16" i="46" s="1"/>
  <c r="AL14" i="47" s="1"/>
  <c r="BE42" i="46"/>
  <c r="BI29" i="46"/>
  <c r="BI43" i="46" s="1"/>
  <c r="BS15" i="46"/>
  <c r="HK15" i="46" s="1"/>
  <c r="AP13" i="47" s="1"/>
  <c r="AP17" i="47"/>
  <c r="HZ14" i="46"/>
  <c r="HZ16" i="46"/>
  <c r="HZ15" i="46"/>
  <c r="AP16" i="47"/>
  <c r="CN5" i="46"/>
  <c r="CF12" i="46" s="1"/>
  <c r="CR6" i="46" a="1"/>
  <c r="CR6" i="46" s="1"/>
  <c r="DN14" i="42"/>
  <c r="ES15" i="42" s="1"/>
  <c r="DQ14" i="42"/>
  <c r="EQ14" i="42" s="1"/>
  <c r="AY13" i="42"/>
  <c r="EX13" i="42" s="1"/>
  <c r="T16" i="44" s="1"/>
  <c r="AY11" i="42"/>
  <c r="EX11" i="42" s="1"/>
  <c r="T14" i="44" s="1"/>
  <c r="BA12" i="42"/>
  <c r="EZ12" i="42" s="1"/>
  <c r="V15" i="44" s="1"/>
  <c r="BD14" i="42"/>
  <c r="FC14" i="42" s="1"/>
  <c r="Y17" i="44" s="1"/>
  <c r="AY18" i="42"/>
  <c r="EX18" i="42" s="1"/>
  <c r="T21" i="44" s="1"/>
  <c r="BA15" i="42"/>
  <c r="EZ15" i="42" s="1"/>
  <c r="V18" i="44" s="1"/>
  <c r="BA18" i="42"/>
  <c r="EZ18" i="42" s="1"/>
  <c r="V21" i="44" s="1"/>
  <c r="BA17" i="42"/>
  <c r="EZ17" i="42" s="1"/>
  <c r="V20" i="44" s="1"/>
  <c r="AY17" i="42"/>
  <c r="EX17" i="42" s="1"/>
  <c r="T20" i="44" s="1"/>
  <c r="AY15" i="42"/>
  <c r="EX15" i="42" s="1"/>
  <c r="T18" i="44" s="1"/>
  <c r="BA16" i="42"/>
  <c r="EZ16" i="42" s="1"/>
  <c r="V19" i="44" s="1"/>
  <c r="BD18" i="42"/>
  <c r="BA13" i="42"/>
  <c r="EZ13" i="42" s="1"/>
  <c r="V16" i="44" s="1"/>
  <c r="AY12" i="42"/>
  <c r="EX12" i="42" s="1"/>
  <c r="T15" i="44" s="1"/>
  <c r="BA14" i="42"/>
  <c r="EZ14" i="42" s="1"/>
  <c r="V17" i="44" s="1"/>
  <c r="AY14" i="42"/>
  <c r="EX14" i="42" s="1"/>
  <c r="T17" i="44" s="1"/>
  <c r="BC14" i="42"/>
  <c r="FB14" i="42" s="1"/>
  <c r="X17" i="44" s="1"/>
  <c r="AY16" i="42"/>
  <c r="EX16" i="42" s="1"/>
  <c r="T19" i="44" s="1"/>
  <c r="BC16" i="42"/>
  <c r="FB16" i="42" s="1"/>
  <c r="X19" i="44" s="1"/>
  <c r="BD16" i="42"/>
  <c r="FC16" i="42" s="1"/>
  <c r="Y19" i="44" s="1"/>
  <c r="AW36" i="42"/>
  <c r="BL34" i="42" s="1"/>
  <c r="ES27" i="42"/>
  <c r="AV27" i="42" s="1"/>
  <c r="BK27" i="42" s="1"/>
  <c r="BR13" i="42" s="1"/>
  <c r="FJ13" i="42" s="1"/>
  <c r="AF16" i="44" s="1"/>
  <c r="BP13" i="42"/>
  <c r="FH13" i="42" s="1"/>
  <c r="AD16" i="44" s="1"/>
  <c r="BN15" i="42"/>
  <c r="FF15" i="42" s="1"/>
  <c r="AB18" i="44" s="1"/>
  <c r="BN16" i="42"/>
  <c r="FF16" i="42" s="1"/>
  <c r="AB19" i="44" s="1"/>
  <c r="BP15" i="42"/>
  <c r="FH15" i="42" s="1"/>
  <c r="AD18" i="44" s="1"/>
  <c r="BN18" i="42"/>
  <c r="FF18" i="42" s="1"/>
  <c r="AB21" i="44" s="1"/>
  <c r="BP16" i="42"/>
  <c r="FH16" i="42" s="1"/>
  <c r="AD19" i="44" s="1"/>
  <c r="BN11" i="42"/>
  <c r="FF11" i="42" s="1"/>
  <c r="AB14" i="44" s="1"/>
  <c r="BN12" i="42"/>
  <c r="FF12" i="42" s="1"/>
  <c r="AB15" i="44" s="1"/>
  <c r="BP14" i="42"/>
  <c r="FH14" i="42" s="1"/>
  <c r="AD17" i="44" s="1"/>
  <c r="BS18" i="42"/>
  <c r="BN17" i="42"/>
  <c r="FF17" i="42" s="1"/>
  <c r="AB20" i="44" s="1"/>
  <c r="BP12" i="42"/>
  <c r="FH12" i="42" s="1"/>
  <c r="AD15" i="44" s="1"/>
  <c r="BR12" i="42"/>
  <c r="FJ12" i="42" s="1"/>
  <c r="AF15" i="44" s="1"/>
  <c r="BN13" i="42"/>
  <c r="FF13" i="42" s="1"/>
  <c r="AB16" i="44" s="1"/>
  <c r="BP17" i="42"/>
  <c r="FH17" i="42" s="1"/>
  <c r="AD20" i="44" s="1"/>
  <c r="BN14" i="42"/>
  <c r="FF14" i="42" s="1"/>
  <c r="AB17" i="44" s="1"/>
  <c r="BS16" i="42"/>
  <c r="FK16" i="42" s="1"/>
  <c r="AG19" i="44" s="1"/>
  <c r="BP18" i="42"/>
  <c r="FH18" i="42" s="1"/>
  <c r="AD21" i="44" s="1"/>
  <c r="ES29" i="42"/>
  <c r="ET28" i="42"/>
  <c r="AW28" i="42" s="1"/>
  <c r="BL28" i="42" s="1"/>
  <c r="BS14" i="42" s="1"/>
  <c r="FK14" i="42" s="1"/>
  <c r="AG17" i="44" s="1"/>
  <c r="AV28" i="42"/>
  <c r="CB8" i="43"/>
  <c r="O10" i="44" s="1"/>
  <c r="BP8" i="43"/>
  <c r="BP10" i="43"/>
  <c r="CB9" i="43"/>
  <c r="O11" i="44" s="1"/>
  <c r="CB9" i="45"/>
  <c r="AQ11" i="44" s="1"/>
  <c r="BP10" i="45"/>
  <c r="BP8" i="39"/>
  <c r="CB8" i="39"/>
  <c r="O10" i="40" s="1"/>
  <c r="BP10" i="39"/>
  <c r="CB9" i="39"/>
  <c r="O11" i="40" s="1"/>
  <c r="ES13" i="38"/>
  <c r="AV13" i="38" s="1"/>
  <c r="BK13" i="38" s="1"/>
  <c r="AW22" i="38"/>
  <c r="BL20" i="38" s="1"/>
  <c r="ET15" i="38"/>
  <c r="AW15" i="38" s="1"/>
  <c r="BL15" i="38" s="1"/>
  <c r="AV15" i="38"/>
  <c r="BK15" i="38" s="1"/>
  <c r="AY16" i="38"/>
  <c r="BC16" i="38"/>
  <c r="AY14" i="38"/>
  <c r="AY11" i="38"/>
  <c r="BA12" i="38"/>
  <c r="AY17" i="38"/>
  <c r="BA17" i="38"/>
  <c r="AY18" i="38"/>
  <c r="AY12" i="38"/>
  <c r="BA15" i="38"/>
  <c r="BD16" i="38"/>
  <c r="BA14" i="38"/>
  <c r="BA18" i="38"/>
  <c r="AY13" i="38"/>
  <c r="AY15" i="38"/>
  <c r="BA13" i="38"/>
  <c r="BA16" i="38"/>
  <c r="BD18" i="38"/>
  <c r="BC14" i="38"/>
  <c r="BD14" i="38"/>
  <c r="AW21" i="38"/>
  <c r="BL19" i="38" s="1"/>
  <c r="DN28" i="38"/>
  <c r="ES29" i="38" s="1"/>
  <c r="DQ28" i="38"/>
  <c r="EQ28" i="38" s="1"/>
  <c r="BR16" i="38"/>
  <c r="BR12" i="38"/>
  <c r="FJ12" i="38" s="1"/>
  <c r="AF15" i="40" s="1"/>
  <c r="BS18" i="38"/>
  <c r="BP16" i="38"/>
  <c r="BP18" i="38"/>
  <c r="BN17" i="38"/>
  <c r="BN15" i="38"/>
  <c r="BS16" i="38"/>
  <c r="BP12" i="38"/>
  <c r="BN16" i="38"/>
  <c r="BN11" i="38"/>
  <c r="BP15" i="38"/>
  <c r="BN12" i="38"/>
  <c r="BP17" i="38"/>
  <c r="BN18" i="38"/>
  <c r="BN14" i="38"/>
  <c r="BN13" i="38"/>
  <c r="BP13" i="38"/>
  <c r="BP14" i="38"/>
  <c r="BS14" i="38"/>
  <c r="BR14" i="38"/>
  <c r="FJ14" i="38" l="1"/>
  <c r="AF17" i="40" s="1"/>
  <c r="BO13" i="35"/>
  <c r="BR44" i="37" s="1"/>
  <c r="BT81" i="37" s="1"/>
  <c r="FK14" i="38"/>
  <c r="AG17" i="40" s="1"/>
  <c r="BP13" i="35"/>
  <c r="BS44" i="37" s="1"/>
  <c r="BU81" i="37" s="1"/>
  <c r="FH14" i="38"/>
  <c r="AD17" i="40" s="1"/>
  <c r="BM13" i="35"/>
  <c r="BP44" i="37" s="1"/>
  <c r="FH13" i="38"/>
  <c r="AD16" i="40" s="1"/>
  <c r="BM12" i="35"/>
  <c r="BP43" i="37" s="1"/>
  <c r="FF13" i="38"/>
  <c r="AB16" i="40" s="1"/>
  <c r="BK12" i="35"/>
  <c r="BN43" i="37" s="1"/>
  <c r="FF14" i="38"/>
  <c r="AB17" i="40" s="1"/>
  <c r="BK13" i="35"/>
  <c r="BN44" i="37" s="1"/>
  <c r="FF18" i="38"/>
  <c r="AB21" i="40" s="1"/>
  <c r="BK17" i="35"/>
  <c r="BN48" i="37" s="1"/>
  <c r="FH17" i="38"/>
  <c r="AD20" i="40" s="1"/>
  <c r="BM16" i="35"/>
  <c r="BP47" i="37" s="1"/>
  <c r="FF12" i="38"/>
  <c r="AB15" i="40" s="1"/>
  <c r="BK11" i="35"/>
  <c r="BN42" i="37" s="1"/>
  <c r="FH15" i="38"/>
  <c r="AD18" i="40" s="1"/>
  <c r="BM14" i="35"/>
  <c r="BP45" i="37" s="1"/>
  <c r="FF11" i="38"/>
  <c r="AB14" i="40" s="1"/>
  <c r="BK10" i="35"/>
  <c r="BN41" i="37" s="1"/>
  <c r="FF16" i="38"/>
  <c r="AB19" i="40" s="1"/>
  <c r="BK15" i="35"/>
  <c r="BN46" i="37" s="1"/>
  <c r="FH12" i="38"/>
  <c r="AD15" i="40" s="1"/>
  <c r="BM11" i="35"/>
  <c r="BP42" i="37" s="1"/>
  <c r="FK16" i="38"/>
  <c r="AG19" i="40" s="1"/>
  <c r="BP15" i="35"/>
  <c r="BS46" i="37" s="1"/>
  <c r="BU83" i="37" s="1"/>
  <c r="FF15" i="38"/>
  <c r="AB18" i="40" s="1"/>
  <c r="BK14" i="35"/>
  <c r="BN45" i="37" s="1"/>
  <c r="FF17" i="38"/>
  <c r="AB20" i="40" s="1"/>
  <c r="BK16" i="35"/>
  <c r="BN47" i="37" s="1"/>
  <c r="FH18" i="38"/>
  <c r="AD21" i="40" s="1"/>
  <c r="BM17" i="35"/>
  <c r="BP48" i="37" s="1"/>
  <c r="FH16" i="38"/>
  <c r="AD19" i="40" s="1"/>
  <c r="BM15" i="35"/>
  <c r="BP46" i="37" s="1"/>
  <c r="BR18" i="38" a="1"/>
  <c r="BR18" i="38" s="1"/>
  <c r="FK18" i="38"/>
  <c r="D41" i="37"/>
  <c r="BP17" i="35"/>
  <c r="FJ16" i="38"/>
  <c r="AF19" i="40" s="1"/>
  <c r="BO15" i="35"/>
  <c r="BR46" i="37" s="1"/>
  <c r="BT83" i="37" s="1"/>
  <c r="ES27" i="38"/>
  <c r="AV27" i="38" s="1"/>
  <c r="AW36" i="38"/>
  <c r="BL34" i="38" s="1"/>
  <c r="AV29" i="38"/>
  <c r="ET29" i="38"/>
  <c r="AW29" i="38" s="1"/>
  <c r="FC14" i="38"/>
  <c r="Y17" i="40" s="1"/>
  <c r="BI13" i="35"/>
  <c r="FB14" i="38"/>
  <c r="X17" i="40" s="1"/>
  <c r="BH13" i="35"/>
  <c r="AP25" i="38"/>
  <c r="BC18" i="38" a="1"/>
  <c r="AP11" i="38"/>
  <c r="FC18" i="38"/>
  <c r="BI17" i="35"/>
  <c r="EZ16" i="38"/>
  <c r="V19" i="40" s="1"/>
  <c r="BF15" i="35"/>
  <c r="EZ13" i="38"/>
  <c r="V16" i="40" s="1"/>
  <c r="BF12" i="35"/>
  <c r="EX15" i="38"/>
  <c r="T18" i="40" s="1"/>
  <c r="BD14" i="35"/>
  <c r="EX13" i="38"/>
  <c r="T16" i="40" s="1"/>
  <c r="BD12" i="35"/>
  <c r="EZ18" i="38"/>
  <c r="V21" i="40" s="1"/>
  <c r="BF17" i="35"/>
  <c r="EZ14" i="38"/>
  <c r="V17" i="40" s="1"/>
  <c r="BF13" i="35"/>
  <c r="FC16" i="38"/>
  <c r="Y19" i="40" s="1"/>
  <c r="BI15" i="35"/>
  <c r="EZ15" i="38"/>
  <c r="V18" i="40" s="1"/>
  <c r="BF14" i="35"/>
  <c r="EX12" i="38"/>
  <c r="T15" i="40" s="1"/>
  <c r="BD11" i="35"/>
  <c r="EX18" i="38"/>
  <c r="T21" i="40" s="1"/>
  <c r="BD17" i="35"/>
  <c r="EZ17" i="38"/>
  <c r="V20" i="40" s="1"/>
  <c r="BF16" i="35"/>
  <c r="EX17" i="38"/>
  <c r="T20" i="40" s="1"/>
  <c r="BD16" i="35"/>
  <c r="EZ12" i="38"/>
  <c r="V15" i="40" s="1"/>
  <c r="BF11" i="35"/>
  <c r="EX11" i="38"/>
  <c r="T14" i="40" s="1"/>
  <c r="BD10" i="35"/>
  <c r="EX14" i="38"/>
  <c r="T17" i="40" s="1"/>
  <c r="BD13" i="35"/>
  <c r="FB16" i="38"/>
  <c r="X19" i="40" s="1"/>
  <c r="BH15" i="35"/>
  <c r="EX16" i="38"/>
  <c r="T19" i="40" s="1"/>
  <c r="BD15" i="35"/>
  <c r="BK28" i="42"/>
  <c r="BR14" i="42" s="1"/>
  <c r="FJ14" i="42" s="1"/>
  <c r="AF17" i="44" s="1"/>
  <c r="AV29" i="42"/>
  <c r="ET29" i="42"/>
  <c r="AW29" i="42" s="1"/>
  <c r="BL29" i="42" s="1"/>
  <c r="BS15" i="42" s="1"/>
  <c r="FK15" i="42" s="1"/>
  <c r="AG18" i="44" s="1"/>
  <c r="FK18" i="42"/>
  <c r="BR18" i="42" a="1"/>
  <c r="BR18" i="42" s="1"/>
  <c r="FC18" i="42"/>
  <c r="AP11" i="42"/>
  <c r="BC18" i="42" a="1"/>
  <c r="BC18" i="42" s="1"/>
  <c r="AP25" i="42"/>
  <c r="ES13" i="42"/>
  <c r="AV13" i="42" s="1"/>
  <c r="BC13" i="42" s="1"/>
  <c r="FB13" i="42" s="1"/>
  <c r="X16" i="44" s="1"/>
  <c r="AW22" i="42"/>
  <c r="BL20" i="42" s="1"/>
  <c r="AV15" i="42"/>
  <c r="ET15" i="42"/>
  <c r="AW15" i="42" s="1"/>
  <c r="BD15" i="42" s="1"/>
  <c r="FC15" i="42" s="1"/>
  <c r="Y18" i="44" s="1"/>
  <c r="CP12" i="46"/>
  <c r="HN12" i="46" s="1"/>
  <c r="AV10" i="47" s="1"/>
  <c r="CM19" i="46" a="1"/>
  <c r="CM19" i="46" s="1"/>
  <c r="CM16" i="46" a="1"/>
  <c r="CM15" i="46" a="1"/>
  <c r="CM15" i="46" s="1"/>
  <c r="CL14" i="46" a="1"/>
  <c r="CL16" i="46" a="1"/>
  <c r="CL16" i="46" s="1"/>
  <c r="CL15" i="46" a="1"/>
  <c r="CL15" i="46" s="1"/>
  <c r="CJ17" i="46" a="1"/>
  <c r="CJ17" i="46" s="1"/>
  <c r="CF16" i="46" a="1"/>
  <c r="CF16" i="46" s="1"/>
  <c r="CH15" i="46" a="1"/>
  <c r="CH15" i="46" s="1"/>
  <c r="CF26" i="46"/>
  <c r="CF40" i="46" s="1"/>
  <c r="CM18" i="46" a="1"/>
  <c r="CM18" i="46" s="1"/>
  <c r="CH14" i="46" a="1"/>
  <c r="CH14" i="46" s="1"/>
  <c r="CJ16" i="46" a="1"/>
  <c r="CJ16" i="46" s="1"/>
  <c r="CF18" i="46" a="1"/>
  <c r="CF18" i="46" s="1"/>
  <c r="CJ18" i="46" a="1"/>
  <c r="CJ18" i="46" s="1"/>
  <c r="CJ15" i="46" a="1"/>
  <c r="CJ15" i="46" s="1"/>
  <c r="CH17" i="46" a="1"/>
  <c r="CH17" i="46" s="1"/>
  <c r="CH16" i="46" a="1"/>
  <c r="CH16" i="46" s="1"/>
  <c r="CJ14" i="46" a="1"/>
  <c r="CJ14" i="46" s="1"/>
  <c r="CF15" i="46" a="1"/>
  <c r="CF15" i="46" s="1"/>
  <c r="CH18" i="46" a="1"/>
  <c r="CH18" i="46" s="1"/>
  <c r="CJ19" i="46" a="1"/>
  <c r="CJ19" i="46" s="1"/>
  <c r="CF19" i="46" a="1"/>
  <c r="CF19" i="46" s="1"/>
  <c r="CH19" i="46" a="1"/>
  <c r="CH19" i="46" s="1"/>
  <c r="CF14" i="46" a="1"/>
  <c r="CF14" i="46" s="1"/>
  <c r="CL19" i="46" a="1"/>
  <c r="CL19" i="46" s="1"/>
  <c r="CF17" i="46" a="1"/>
  <c r="CF17" i="46" s="1"/>
  <c r="AG11" i="47"/>
  <c r="AG13" i="47"/>
  <c r="AG12" i="47"/>
  <c r="DH31" i="49"/>
  <c r="DP21" i="49" s="1"/>
  <c r="EF21" i="49" s="1"/>
  <c r="AA12" i="47" s="1"/>
  <c r="DI31" i="49"/>
  <c r="DH34" i="49"/>
  <c r="DP22" i="49" s="1"/>
  <c r="EF22" i="49" s="1"/>
  <c r="AA13" i="47" s="1"/>
  <c r="DI34" i="49"/>
  <c r="BP31" i="49"/>
  <c r="BO31" i="49"/>
  <c r="BW21" i="49" s="1"/>
  <c r="EA21" i="49" s="1"/>
  <c r="W12" i="47" s="1"/>
  <c r="BO34" i="49"/>
  <c r="BW22" i="49" s="1"/>
  <c r="EA22" i="49" s="1"/>
  <c r="W13" i="47" s="1"/>
  <c r="BP34" i="49"/>
  <c r="DI28" i="32"/>
  <c r="DI27" i="32"/>
  <c r="DH27" i="32"/>
  <c r="DH28" i="32"/>
  <c r="DE20" i="32"/>
  <c r="DE23" i="32"/>
  <c r="DE34" i="32"/>
  <c r="DE31" i="32"/>
  <c r="BP24" i="32"/>
  <c r="BO23" i="32"/>
  <c r="BO24" i="32"/>
  <c r="BP23" i="32"/>
  <c r="BP28" i="32"/>
  <c r="BP27" i="32"/>
  <c r="BO27" i="32"/>
  <c r="BO28" i="32"/>
  <c r="BP20" i="32"/>
  <c r="BO20" i="32"/>
  <c r="BW20" i="32" s="1"/>
  <c r="EA20" i="32" s="1"/>
  <c r="K11" i="47" s="1"/>
  <c r="BL34" i="32"/>
  <c r="BL31" i="32"/>
  <c r="J83" i="14"/>
  <c r="J47" i="14" s="1"/>
  <c r="H46" i="14"/>
  <c r="J85" i="14" a="1"/>
  <c r="CN5" i="57"/>
  <c r="CF12" i="57" s="1"/>
  <c r="CF14" i="57" l="1" a="1"/>
  <c r="CF14" i="57" s="1"/>
  <c r="CJ18" i="57" a="1"/>
  <c r="CJ18" i="57" s="1"/>
  <c r="CF18" i="57" a="1"/>
  <c r="CF18" i="57" s="1"/>
  <c r="CH17" i="57" a="1"/>
  <c r="CH17" i="57" s="1"/>
  <c r="CF26" i="57"/>
  <c r="CF40" i="57" s="1"/>
  <c r="CH14" i="57" a="1"/>
  <c r="CH14" i="57" s="1"/>
  <c r="CH19" i="57" a="1"/>
  <c r="CH19" i="57" s="1"/>
  <c r="CH18" i="57" a="1"/>
  <c r="CH18" i="57" s="1"/>
  <c r="CJ17" i="57" a="1"/>
  <c r="CJ17" i="57" s="1"/>
  <c r="CF15" i="57" a="1"/>
  <c r="CF15" i="57" s="1"/>
  <c r="CF17" i="57" a="1"/>
  <c r="CF17" i="57" s="1"/>
  <c r="CJ15" i="57" a="1"/>
  <c r="CJ15" i="57" s="1"/>
  <c r="CH15" i="57" a="1"/>
  <c r="CH15" i="57" s="1"/>
  <c r="CJ19" i="57" a="1"/>
  <c r="CJ19" i="57" s="1"/>
  <c r="CM16" i="57" a="1"/>
  <c r="CM16" i="57" s="1"/>
  <c r="CL16" i="57" a="1"/>
  <c r="CL16" i="57" s="1"/>
  <c r="CJ16" i="57" a="1"/>
  <c r="CJ16" i="57" s="1"/>
  <c r="CH16" i="57" a="1"/>
  <c r="CH16" i="57" s="1"/>
  <c r="CF16" i="57" a="1"/>
  <c r="CF16" i="57" s="1"/>
  <c r="CL15" i="57" a="1"/>
  <c r="CL15" i="57" s="1"/>
  <c r="CL14" i="57" a="1"/>
  <c r="CL14" i="57" s="1"/>
  <c r="CP12" i="57"/>
  <c r="HN12" i="57" s="1"/>
  <c r="CL19" i="57" a="1"/>
  <c r="CL19" i="57" s="1"/>
  <c r="CM18" i="57" a="1"/>
  <c r="CM18" i="57" s="1"/>
  <c r="CM19" i="57" a="1"/>
  <c r="CM19" i="57" s="1"/>
  <c r="CM15" i="57" a="1"/>
  <c r="CM15" i="57" s="1"/>
  <c r="CJ14" i="57" a="1"/>
  <c r="CJ14" i="57" s="1"/>
  <c r="CF19" i="57" a="1"/>
  <c r="CF19" i="57" s="1"/>
  <c r="J85" i="14"/>
  <c r="J46" i="14" s="1"/>
  <c r="BP31" i="32"/>
  <c r="BO31" i="32"/>
  <c r="BW21" i="32" s="1"/>
  <c r="EA21" i="32" s="1"/>
  <c r="K12" i="47" s="1"/>
  <c r="BP34" i="32"/>
  <c r="BO34" i="32"/>
  <c r="BW22" i="32" s="1"/>
  <c r="EA22" i="32" s="1"/>
  <c r="K13" i="47" s="1"/>
  <c r="DH31" i="32"/>
  <c r="DI31" i="32"/>
  <c r="DH34" i="32"/>
  <c r="DI34" i="32"/>
  <c r="DH23" i="32"/>
  <c r="DI24" i="32"/>
  <c r="DI23" i="32"/>
  <c r="DH24" i="32"/>
  <c r="DP21" i="32" s="1"/>
  <c r="EF21" i="32" s="1"/>
  <c r="O12" i="47" s="1"/>
  <c r="DH20" i="32"/>
  <c r="DP20" i="32" s="1"/>
  <c r="EF20" i="32" s="1"/>
  <c r="O11" i="47" s="1"/>
  <c r="DI20" i="32"/>
  <c r="DP22" i="32"/>
  <c r="EF22" i="32" s="1"/>
  <c r="O13" i="47" s="1"/>
  <c r="CG45" i="46"/>
  <c r="CF45" i="46"/>
  <c r="CF31" i="46"/>
  <c r="CP17" i="46" s="1"/>
  <c r="HN17" i="46" s="1"/>
  <c r="AV15" i="47" s="1"/>
  <c r="CG31" i="46"/>
  <c r="CQ17" i="46" s="1"/>
  <c r="HO17" i="46" s="1"/>
  <c r="AW15" i="47" s="1"/>
  <c r="CV19" i="46"/>
  <c r="HT19" i="46" s="1"/>
  <c r="BB17" i="47" s="1"/>
  <c r="CL47" i="46"/>
  <c r="CL33" i="46"/>
  <c r="CG28" i="46"/>
  <c r="CQ14" i="46" s="1"/>
  <c r="HO14" i="46" s="1"/>
  <c r="AW12" i="47" s="1"/>
  <c r="CF28" i="46"/>
  <c r="CP14" i="46" s="1"/>
  <c r="HN14" i="46" s="1"/>
  <c r="AV12" i="47" s="1"/>
  <c r="CF42" i="46"/>
  <c r="CG42" i="46"/>
  <c r="CI33" i="46"/>
  <c r="CS19" i="46" s="1"/>
  <c r="HQ19" i="46" s="1"/>
  <c r="AY17" i="47" s="1"/>
  <c r="CH33" i="46"/>
  <c r="CR19" i="46" s="1"/>
  <c r="HP19" i="46" s="1"/>
  <c r="AX17" i="47" s="1"/>
  <c r="CI47" i="46"/>
  <c r="CH47" i="46"/>
  <c r="CG33" i="46"/>
  <c r="CQ19" i="46" s="1"/>
  <c r="HO19" i="46" s="1"/>
  <c r="AW17" i="47" s="1"/>
  <c r="CF33" i="46"/>
  <c r="CP19" i="46" s="1"/>
  <c r="HN19" i="46" s="1"/>
  <c r="AV17" i="47" s="1"/>
  <c r="CF47" i="46"/>
  <c r="CG47" i="46"/>
  <c r="CJ33" i="46"/>
  <c r="CT19" i="46" s="1"/>
  <c r="HR19" i="46" s="1"/>
  <c r="AZ17" i="47" s="1"/>
  <c r="CK47" i="46"/>
  <c r="CJ47" i="46"/>
  <c r="CK33" i="46"/>
  <c r="CU19" i="46" s="1"/>
  <c r="HS19" i="46" s="1"/>
  <c r="BA17" i="47" s="1"/>
  <c r="CI46" i="46"/>
  <c r="CH46" i="46"/>
  <c r="CI32" i="46"/>
  <c r="CS18" i="46" s="1"/>
  <c r="HQ18" i="46" s="1"/>
  <c r="AY16" i="47" s="1"/>
  <c r="CH32" i="46"/>
  <c r="CR18" i="46" s="1"/>
  <c r="HP18" i="46" s="1"/>
  <c r="AX16" i="47" s="1"/>
  <c r="CG43" i="46"/>
  <c r="CF43" i="46"/>
  <c r="CG29" i="46"/>
  <c r="CQ15" i="46" s="1"/>
  <c r="HO15" i="46" s="1"/>
  <c r="AW13" i="47" s="1"/>
  <c r="CF29" i="46"/>
  <c r="CP15" i="46" s="1"/>
  <c r="HN15" i="46" s="1"/>
  <c r="AV13" i="47" s="1"/>
  <c r="CK42" i="46"/>
  <c r="CJ42" i="46"/>
  <c r="CJ28" i="46"/>
  <c r="CT14" i="46" s="1"/>
  <c r="HR14" i="46" s="1"/>
  <c r="AZ12" i="47" s="1"/>
  <c r="CK28" i="46"/>
  <c r="CU14" i="46" s="1"/>
  <c r="HS14" i="46" s="1"/>
  <c r="BA12" i="47" s="1"/>
  <c r="CH44" i="46"/>
  <c r="CI30" i="46"/>
  <c r="CS16" i="46" s="1"/>
  <c r="HQ16" i="46" s="1"/>
  <c r="AY14" i="47" s="1"/>
  <c r="CH30" i="46"/>
  <c r="CR16" i="46" s="1"/>
  <c r="HP16" i="46" s="1"/>
  <c r="AX14" i="47" s="1"/>
  <c r="CI44" i="46"/>
  <c r="CI45" i="46"/>
  <c r="CH31" i="46"/>
  <c r="CR17" i="46" s="1"/>
  <c r="HP17" i="46" s="1"/>
  <c r="AX15" i="47" s="1"/>
  <c r="CH45" i="46"/>
  <c r="CI31" i="46"/>
  <c r="CS17" i="46" s="1"/>
  <c r="HQ17" i="46" s="1"/>
  <c r="AY15" i="47" s="1"/>
  <c r="CK43" i="46"/>
  <c r="CJ43" i="46"/>
  <c r="CK29" i="46"/>
  <c r="CU15" i="46" s="1"/>
  <c r="HS15" i="46" s="1"/>
  <c r="BA13" i="47" s="1"/>
  <c r="CJ29" i="46"/>
  <c r="CT15" i="46" s="1"/>
  <c r="HR15" i="46" s="1"/>
  <c r="AZ13" i="47" s="1"/>
  <c r="CK46" i="46"/>
  <c r="CJ32" i="46"/>
  <c r="CT18" i="46" s="1"/>
  <c r="HR18" i="46" s="1"/>
  <c r="AZ16" i="47" s="1"/>
  <c r="CJ46" i="46"/>
  <c r="CK32" i="46"/>
  <c r="CU18" i="46" s="1"/>
  <c r="HS18" i="46" s="1"/>
  <c r="BA16" i="47" s="1"/>
  <c r="CG46" i="46"/>
  <c r="CF46" i="46"/>
  <c r="CG32" i="46"/>
  <c r="CQ18" i="46" s="1"/>
  <c r="HO18" i="46" s="1"/>
  <c r="AW16" i="47" s="1"/>
  <c r="CF32" i="46"/>
  <c r="CP18" i="46" s="1"/>
  <c r="HN18" i="46" s="1"/>
  <c r="AV16" i="47" s="1"/>
  <c r="CK30" i="46"/>
  <c r="CU16" i="46" s="1"/>
  <c r="HS16" i="46" s="1"/>
  <c r="BA14" i="47" s="1"/>
  <c r="CJ30" i="46"/>
  <c r="CT16" i="46" s="1"/>
  <c r="HR16" i="46" s="1"/>
  <c r="AZ14" i="47" s="1"/>
  <c r="CJ44" i="46"/>
  <c r="CK44" i="46"/>
  <c r="CI42" i="46"/>
  <c r="CH42" i="46"/>
  <c r="CH28" i="46"/>
  <c r="CR14" i="46" s="1"/>
  <c r="HP14" i="46" s="1"/>
  <c r="AX12" i="47" s="1"/>
  <c r="CI28" i="46"/>
  <c r="CS14" i="46" s="1"/>
  <c r="HQ14" i="46" s="1"/>
  <c r="AY12" i="47" s="1"/>
  <c r="CM32" i="46"/>
  <c r="CW18" i="46"/>
  <c r="HU18" i="46" s="1"/>
  <c r="BC16" i="47" s="1"/>
  <c r="CM46" i="46"/>
  <c r="CH43" i="46"/>
  <c r="CI43" i="46"/>
  <c r="CI29" i="46"/>
  <c r="CS15" i="46" s="1"/>
  <c r="HQ15" i="46" s="1"/>
  <c r="AY13" i="47" s="1"/>
  <c r="CH29" i="46"/>
  <c r="CR15" i="46" s="1"/>
  <c r="HP15" i="46" s="1"/>
  <c r="AX13" i="47" s="1"/>
  <c r="CG44" i="46"/>
  <c r="CF44" i="46"/>
  <c r="CF30" i="46"/>
  <c r="CP16" i="46" s="1"/>
  <c r="HN16" i="46" s="1"/>
  <c r="AV14" i="47" s="1"/>
  <c r="CG30" i="46"/>
  <c r="CQ16" i="46" s="1"/>
  <c r="HO16" i="46" s="1"/>
  <c r="AW14" i="47" s="1"/>
  <c r="CK45" i="46"/>
  <c r="CJ45" i="46"/>
  <c r="CK31" i="46"/>
  <c r="CU17" i="46" s="1"/>
  <c r="HS17" i="46" s="1"/>
  <c r="BA15" i="47" s="1"/>
  <c r="CJ31" i="46"/>
  <c r="CT17" i="46" s="1"/>
  <c r="HR17" i="46" s="1"/>
  <c r="AZ15" i="47" s="1"/>
  <c r="CV15" i="46"/>
  <c r="HT15" i="46" s="1"/>
  <c r="BB13" i="47" s="1"/>
  <c r="CL29" i="46"/>
  <c r="CL43" i="46" s="1"/>
  <c r="CV16" i="46"/>
  <c r="HT16" i="46" s="1"/>
  <c r="BB14" i="47" s="1"/>
  <c r="CL30" i="46"/>
  <c r="CL44" i="46" s="1"/>
  <c r="CL14" i="46"/>
  <c r="CM29" i="46"/>
  <c r="CM43" i="46" s="1"/>
  <c r="CW15" i="46"/>
  <c r="HU15" i="46" s="1"/>
  <c r="BC13" i="47" s="1"/>
  <c r="CM16" i="46"/>
  <c r="CW19" i="46"/>
  <c r="HU19" i="46" s="1"/>
  <c r="CM47" i="46"/>
  <c r="CM33" i="46"/>
  <c r="BC15" i="42"/>
  <c r="FB15" i="42" s="1"/>
  <c r="X18" i="44" s="1"/>
  <c r="AW21" i="42"/>
  <c r="BL19" i="42" s="1"/>
  <c r="D9" i="42"/>
  <c r="FB18" i="42"/>
  <c r="Y21" i="44"/>
  <c r="FP13" i="42"/>
  <c r="U10" i="44" s="1"/>
  <c r="D10" i="42"/>
  <c r="FJ18" i="42"/>
  <c r="AF21" i="44" s="1"/>
  <c r="FT14" i="42"/>
  <c r="AC11" i="44" s="1"/>
  <c r="AG21" i="44"/>
  <c r="FT13" i="42"/>
  <c r="AC10" i="44" s="1"/>
  <c r="BK29" i="42"/>
  <c r="BR15" i="42" s="1"/>
  <c r="FJ15" i="42" s="1"/>
  <c r="AF18" i="44" s="1"/>
  <c r="AW35" i="42"/>
  <c r="BL33" i="42" s="1"/>
  <c r="Y21" i="40"/>
  <c r="FP14" i="38"/>
  <c r="U11" i="40" s="1"/>
  <c r="BC18" i="38"/>
  <c r="BL29" i="38"/>
  <c r="BS15" i="38" s="1"/>
  <c r="BD15" i="38"/>
  <c r="BK29" i="38"/>
  <c r="BR15" i="38" s="1"/>
  <c r="AW35" i="38"/>
  <c r="BL33" i="38" s="1"/>
  <c r="BC15" i="38"/>
  <c r="BK27" i="38"/>
  <c r="BR13" i="38" s="1"/>
  <c r="BC13" i="38"/>
  <c r="BS48" i="37"/>
  <c r="BU85" i="37" s="1"/>
  <c r="BA7" i="35"/>
  <c r="U41" i="37"/>
  <c r="U73" i="37" s="1"/>
  <c r="Y41" i="37"/>
  <c r="Y73" i="37" s="1"/>
  <c r="BF41" i="37"/>
  <c r="BF73" i="37" s="1"/>
  <c r="BJ41" i="37"/>
  <c r="BJ73" i="37" s="1"/>
  <c r="AF41" i="37"/>
  <c r="AF73" i="37" s="1"/>
  <c r="I41" i="37"/>
  <c r="I73" i="37" s="1"/>
  <c r="AK41" i="37"/>
  <c r="AK73" i="37" s="1"/>
  <c r="T41" i="37"/>
  <c r="T73" i="37" s="1"/>
  <c r="F41" i="37"/>
  <c r="F73" i="37" s="1"/>
  <c r="AQ41" i="37"/>
  <c r="AQ73" i="37" s="1"/>
  <c r="M41" i="37"/>
  <c r="M73" i="37" s="1"/>
  <c r="AG41" i="37"/>
  <c r="AG73" i="37" s="1"/>
  <c r="AO41" i="37"/>
  <c r="AO73" i="37" s="1"/>
  <c r="AY41" i="37"/>
  <c r="AY73" i="37" s="1"/>
  <c r="BE41" i="37"/>
  <c r="BE73" i="37" s="1"/>
  <c r="H41" i="37"/>
  <c r="H73" i="37" s="1"/>
  <c r="AC41" i="37"/>
  <c r="AC73" i="37" s="1"/>
  <c r="L41" i="37"/>
  <c r="L73" i="37" s="1"/>
  <c r="AJ41" i="37"/>
  <c r="AJ73" i="37" s="1"/>
  <c r="AP41" i="37"/>
  <c r="AP73" i="37" s="1"/>
  <c r="AB41" i="37"/>
  <c r="AB73" i="37" s="1"/>
  <c r="AR41" i="37"/>
  <c r="AR73" i="37" s="1"/>
  <c r="AD41" i="37"/>
  <c r="AD73" i="37" s="1"/>
  <c r="AT41" i="37"/>
  <c r="AT73" i="37" s="1"/>
  <c r="C41" i="37"/>
  <c r="Z41" i="37"/>
  <c r="Z73" i="37" s="1"/>
  <c r="X41" i="37"/>
  <c r="X73" i="37" s="1"/>
  <c r="BB41" i="37"/>
  <c r="BB73" i="37" s="1"/>
  <c r="P41" i="37"/>
  <c r="P73" i="37" s="1"/>
  <c r="N41" i="37"/>
  <c r="N73" i="37" s="1"/>
  <c r="K41" i="37"/>
  <c r="K73" i="37" s="1"/>
  <c r="AZ41" i="37"/>
  <c r="AZ73" i="37" s="1"/>
  <c r="BL41" i="37"/>
  <c r="BL73" i="37" s="1"/>
  <c r="AN41" i="37"/>
  <c r="AN73" i="37" s="1"/>
  <c r="R41" i="37"/>
  <c r="R73" i="37" s="1"/>
  <c r="AL41" i="37"/>
  <c r="AL73" i="37" s="1"/>
  <c r="AI41" i="37"/>
  <c r="AI73" i="37" s="1"/>
  <c r="W41" i="37"/>
  <c r="W73" i="37" s="1"/>
  <c r="BG41" i="37"/>
  <c r="BG73" i="37" s="1"/>
  <c r="AH41" i="37"/>
  <c r="AH73" i="37" s="1"/>
  <c r="BI41" i="37"/>
  <c r="BI73" i="37" s="1"/>
  <c r="AW41" i="37"/>
  <c r="AW73" i="37" s="1"/>
  <c r="AA41" i="37"/>
  <c r="AA73" i="37" s="1"/>
  <c r="BC41" i="37"/>
  <c r="BC73" i="37" s="1"/>
  <c r="D73" i="37"/>
  <c r="C73" i="37" s="1"/>
  <c r="S41" i="37"/>
  <c r="S73" i="37" s="1"/>
  <c r="V41" i="37"/>
  <c r="V73" i="37" s="1"/>
  <c r="Q41" i="37"/>
  <c r="Q73" i="37" s="1"/>
  <c r="AE41" i="37"/>
  <c r="AE73" i="37" s="1"/>
  <c r="AM41" i="37"/>
  <c r="AM73" i="37" s="1"/>
  <c r="BD41" i="37"/>
  <c r="BD73" i="37" s="1"/>
  <c r="J41" i="37"/>
  <c r="J73" i="37" s="1"/>
  <c r="AS41" i="37"/>
  <c r="AS73" i="37" s="1"/>
  <c r="O41" i="37"/>
  <c r="O73" i="37" s="1"/>
  <c r="AV41" i="37"/>
  <c r="AV73" i="37" s="1"/>
  <c r="AU41" i="37"/>
  <c r="AU73" i="37" s="1"/>
  <c r="AG21" i="40"/>
  <c r="FT14" i="38"/>
  <c r="AC11" i="40" s="1"/>
  <c r="FJ18" i="38"/>
  <c r="D10" i="38"/>
  <c r="AW14" i="35" s="1"/>
  <c r="BO17" i="35"/>
  <c r="CA71" i="37" a="1"/>
  <c r="BN74" i="37" l="1"/>
  <c r="BN72" i="37"/>
  <c r="BN76" i="37"/>
  <c r="BN80" i="37"/>
  <c r="BN81" i="37"/>
  <c r="BN73" i="37"/>
  <c r="BN77" i="37"/>
  <c r="BN79" i="37"/>
  <c r="BN75" i="37"/>
  <c r="BN78" i="37"/>
  <c r="BR74" i="37"/>
  <c r="BP73" i="37"/>
  <c r="BP77" i="37"/>
  <c r="BR73" i="37"/>
  <c r="BR81" i="37"/>
  <c r="BR77" i="37"/>
  <c r="BP74" i="37"/>
  <c r="BP81" i="37"/>
  <c r="BR72" i="37"/>
  <c r="BP79" i="37"/>
  <c r="BR80" i="37"/>
  <c r="BR79" i="37"/>
  <c r="BP72" i="37"/>
  <c r="BP78" i="37"/>
  <c r="BR75" i="37"/>
  <c r="BP80" i="37"/>
  <c r="BP75" i="37"/>
  <c r="BR71" i="37"/>
  <c r="BR76" i="37"/>
  <c r="BP71" i="37"/>
  <c r="BR78" i="37"/>
  <c r="BP76" i="37"/>
  <c r="CA71" i="37"/>
  <c r="BN71" i="37" s="1"/>
  <c r="BR48" i="37"/>
  <c r="BT85" i="37" s="1"/>
  <c r="BA8" i="35"/>
  <c r="AF21" i="40"/>
  <c r="FT13" i="38"/>
  <c r="AC10" i="40" s="1"/>
  <c r="FB13" i="38"/>
  <c r="X16" i="40" s="1"/>
  <c r="BH12" i="35"/>
  <c r="FJ13" i="38"/>
  <c r="AF16" i="40" s="1"/>
  <c r="BO12" i="35"/>
  <c r="BR43" i="37" s="1"/>
  <c r="BT80" i="37" s="1"/>
  <c r="FB15" i="38"/>
  <c r="X18" i="40" s="1"/>
  <c r="BH14" i="35"/>
  <c r="FJ15" i="38"/>
  <c r="AF18" i="40" s="1"/>
  <c r="BO14" i="35"/>
  <c r="BR45" i="37" s="1"/>
  <c r="BT82" i="37" s="1"/>
  <c r="FC15" i="38"/>
  <c r="Y18" i="40" s="1"/>
  <c r="BI14" i="35"/>
  <c r="FK15" i="38"/>
  <c r="AG18" i="40" s="1"/>
  <c r="BP14" i="35"/>
  <c r="BS45" i="37" s="1"/>
  <c r="BU82" i="37" s="1"/>
  <c r="D9" i="38"/>
  <c r="AW13" i="35" s="1"/>
  <c r="BH17" i="35"/>
  <c r="FB18" i="38"/>
  <c r="FP14" i="42"/>
  <c r="U11" i="44" s="1"/>
  <c r="X21" i="44"/>
  <c r="BC17" i="47"/>
  <c r="ID16" i="46"/>
  <c r="ID15" i="46"/>
  <c r="ID14" i="46"/>
  <c r="CM30" i="46"/>
  <c r="CM44" i="46" s="1"/>
  <c r="CW16" i="46"/>
  <c r="HU16" i="46" s="1"/>
  <c r="BC14" i="47" s="1"/>
  <c r="CL28" i="46"/>
  <c r="CL42" i="46" s="1"/>
  <c r="CV14" i="46"/>
  <c r="HT14" i="46" s="1"/>
  <c r="BB12" i="47" s="1"/>
  <c r="CF33" i="57"/>
  <c r="CP19" i="57" s="1"/>
  <c r="HN19" i="57" s="1"/>
  <c r="CG47" i="57"/>
  <c r="CF47" i="57"/>
  <c r="CG33" i="57"/>
  <c r="CQ19" i="57" s="1"/>
  <c r="HO19" i="57" s="1"/>
  <c r="CJ42" i="57"/>
  <c r="CK42" i="57"/>
  <c r="CK28" i="57"/>
  <c r="CU14" i="57" s="1"/>
  <c r="HS14" i="57" s="1"/>
  <c r="CJ28" i="57"/>
  <c r="CT14" i="57" s="1"/>
  <c r="HR14" i="57" s="1"/>
  <c r="CW15" i="57"/>
  <c r="HU15" i="57" s="1"/>
  <c r="CM29" i="57"/>
  <c r="CM43" i="57" s="1"/>
  <c r="CM33" i="57"/>
  <c r="CM47" i="57"/>
  <c r="CW19" i="57"/>
  <c r="HU19" i="57" s="1"/>
  <c r="CM46" i="57"/>
  <c r="CM32" i="57"/>
  <c r="CW18" i="57"/>
  <c r="HU18" i="57" s="1"/>
  <c r="CL47" i="57"/>
  <c r="CL33" i="57"/>
  <c r="CV19" i="57"/>
  <c r="HT19" i="57" s="1"/>
  <c r="CL28" i="57"/>
  <c r="CL42" i="57" s="1"/>
  <c r="CV14" i="57"/>
  <c r="HT14" i="57" s="1"/>
  <c r="CL29" i="57"/>
  <c r="CL43" i="57" s="1"/>
  <c r="CV15" i="57"/>
  <c r="HT15" i="57" s="1"/>
  <c r="CF44" i="57"/>
  <c r="CG30" i="57"/>
  <c r="CQ16" i="57" s="1"/>
  <c r="HO16" i="57" s="1"/>
  <c r="CG44" i="57"/>
  <c r="CF30" i="57"/>
  <c r="CP16" i="57" s="1"/>
  <c r="HN16" i="57" s="1"/>
  <c r="CI30" i="57"/>
  <c r="CS16" i="57" s="1"/>
  <c r="HQ16" i="57" s="1"/>
  <c r="CH30" i="57"/>
  <c r="CR16" i="57" s="1"/>
  <c r="HP16" i="57" s="1"/>
  <c r="CI44" i="57"/>
  <c r="CH44" i="57"/>
  <c r="CK44" i="57"/>
  <c r="CJ44" i="57"/>
  <c r="CK30" i="57"/>
  <c r="CU16" i="57" s="1"/>
  <c r="HS16" i="57" s="1"/>
  <c r="CJ30" i="57"/>
  <c r="CT16" i="57" s="1"/>
  <c r="HR16" i="57" s="1"/>
  <c r="CL30" i="57"/>
  <c r="CL44" i="57" s="1"/>
  <c r="CV16" i="57"/>
  <c r="HT16" i="57" s="1"/>
  <c r="CM30" i="57"/>
  <c r="CM44" i="57" s="1"/>
  <c r="CW16" i="57"/>
  <c r="HU16" i="57" s="1"/>
  <c r="CJ33" i="57"/>
  <c r="CT19" i="57" s="1"/>
  <c r="HR19" i="57" s="1"/>
  <c r="CJ47" i="57"/>
  <c r="CK33" i="57"/>
  <c r="CU19" i="57" s="1"/>
  <c r="HS19" i="57" s="1"/>
  <c r="CK47" i="57"/>
  <c r="CI29" i="57"/>
  <c r="CS15" i="57" s="1"/>
  <c r="HQ15" i="57" s="1"/>
  <c r="CH29" i="57"/>
  <c r="CR15" i="57" s="1"/>
  <c r="HP15" i="57" s="1"/>
  <c r="CI43" i="57"/>
  <c r="CH43" i="57"/>
  <c r="CJ43" i="57"/>
  <c r="CK29" i="57"/>
  <c r="CU15" i="57" s="1"/>
  <c r="HS15" i="57" s="1"/>
  <c r="CK43" i="57"/>
  <c r="CJ29" i="57"/>
  <c r="CT15" i="57" s="1"/>
  <c r="HR15" i="57" s="1"/>
  <c r="CG31" i="57"/>
  <c r="CQ17" i="57" s="1"/>
  <c r="HO17" i="57" s="1"/>
  <c r="CF45" i="57"/>
  <c r="CG45" i="57"/>
  <c r="CF31" i="57"/>
  <c r="CP17" i="57" s="1"/>
  <c r="HN17" i="57" s="1"/>
  <c r="CG43" i="57"/>
  <c r="CF43" i="57"/>
  <c r="CF29" i="57"/>
  <c r="CP15" i="57" s="1"/>
  <c r="HN15" i="57" s="1"/>
  <c r="CG29" i="57"/>
  <c r="CQ15" i="57" s="1"/>
  <c r="HO15" i="57" s="1"/>
  <c r="CJ45" i="57"/>
  <c r="CJ31" i="57"/>
  <c r="CT17" i="57" s="1"/>
  <c r="HR17" i="57" s="1"/>
  <c r="CK45" i="57"/>
  <c r="CK31" i="57"/>
  <c r="CU17" i="57" s="1"/>
  <c r="HS17" i="57" s="1"/>
  <c r="CI46" i="57"/>
  <c r="CI32" i="57"/>
  <c r="CS18" i="57" s="1"/>
  <c r="HQ18" i="57" s="1"/>
  <c r="CH46" i="57"/>
  <c r="CH32" i="57"/>
  <c r="CR18" i="57" s="1"/>
  <c r="HP18" i="57" s="1"/>
  <c r="CH47" i="57"/>
  <c r="CI47" i="57"/>
  <c r="CH33" i="57"/>
  <c r="CR19" i="57" s="1"/>
  <c r="HP19" i="57" s="1"/>
  <c r="CI33" i="57"/>
  <c r="CS19" i="57" s="1"/>
  <c r="HQ19" i="57" s="1"/>
  <c r="CI42" i="57"/>
  <c r="CH28" i="57"/>
  <c r="CR14" i="57" s="1"/>
  <c r="HP14" i="57" s="1"/>
  <c r="CI28" i="57"/>
  <c r="CS14" i="57" s="1"/>
  <c r="HQ14" i="57" s="1"/>
  <c r="CH42" i="57"/>
  <c r="CI45" i="57"/>
  <c r="CI31" i="57"/>
  <c r="CS17" i="57" s="1"/>
  <c r="HQ17" i="57" s="1"/>
  <c r="CH45" i="57"/>
  <c r="CH31" i="57"/>
  <c r="CR17" i="57" s="1"/>
  <c r="HP17" i="57" s="1"/>
  <c r="CG32" i="57"/>
  <c r="CQ18" i="57" s="1"/>
  <c r="HO18" i="57" s="1"/>
  <c r="CF32" i="57"/>
  <c r="CP18" i="57" s="1"/>
  <c r="HN18" i="57" s="1"/>
  <c r="CF46" i="57"/>
  <c r="CG46" i="57"/>
  <c r="CK46" i="57"/>
  <c r="CJ32" i="57"/>
  <c r="CT18" i="57" s="1"/>
  <c r="HR18" i="57" s="1"/>
  <c r="CJ46" i="57"/>
  <c r="CK32" i="57"/>
  <c r="CU18" i="57" s="1"/>
  <c r="HS18" i="57" s="1"/>
  <c r="CG42" i="57"/>
  <c r="CF28" i="57"/>
  <c r="CP14" i="57" s="1"/>
  <c r="HN14" i="57" s="1"/>
  <c r="CF42" i="57"/>
  <c r="CG28" i="57"/>
  <c r="CQ14" i="57" s="1"/>
  <c r="HO14" i="57" s="1"/>
  <c r="ID16" i="57" l="1"/>
  <c r="ID14" i="57"/>
  <c r="ID15" i="57"/>
  <c r="AT11" i="47"/>
  <c r="AT13" i="47"/>
  <c r="AT12" i="47"/>
  <c r="X21" i="40"/>
  <c r="FP13" i="38"/>
  <c r="U10" i="40" s="1"/>
  <c r="BL12" i="53"/>
  <c r="BL4" i="53"/>
  <c r="AZ10" i="53"/>
  <c r="AZ12" i="53"/>
  <c r="AF3" i="53"/>
  <c r="AF8" i="53"/>
  <c r="BL13" i="53"/>
  <c r="BL5" i="53"/>
  <c r="AZ19" i="53"/>
  <c r="AZ21" i="53"/>
  <c r="AF4" i="53"/>
  <c r="AF9" i="53"/>
  <c r="AH10" i="53"/>
  <c r="AH5" i="53"/>
  <c r="AB7" i="53"/>
  <c r="AB15" i="53"/>
  <c r="BK13" i="53"/>
  <c r="BK5" i="53"/>
  <c r="X4" i="53"/>
  <c r="AZ14" i="53"/>
  <c r="K118" i="53"/>
  <c r="K120" i="53"/>
  <c r="K122" i="53"/>
  <c r="K124" i="53"/>
  <c r="K126" i="53"/>
  <c r="AB11" i="53"/>
  <c r="K266" i="53"/>
  <c r="K262" i="53"/>
  <c r="K258" i="53"/>
  <c r="K254" i="53"/>
  <c r="K250" i="53"/>
  <c r="K234" i="53"/>
  <c r="AZ25" i="53"/>
  <c r="AZ15" i="53"/>
  <c r="K116" i="53"/>
  <c r="AZ6" i="53"/>
  <c r="K265" i="53"/>
  <c r="K261" i="53"/>
  <c r="K237" i="53"/>
  <c r="K239" i="53"/>
  <c r="K238" i="53"/>
  <c r="K19" i="53"/>
  <c r="K16" i="53"/>
  <c r="BK11" i="53"/>
  <c r="BK6" i="53"/>
  <c r="X5" i="53"/>
  <c r="AZ24" i="53"/>
  <c r="K235" i="53"/>
  <c r="K251" i="53"/>
  <c r="K255" i="53"/>
  <c r="K259" i="53"/>
  <c r="K263" i="53"/>
  <c r="K267" i="53"/>
  <c r="AB12" i="53"/>
  <c r="K55" i="53"/>
  <c r="K202" i="53"/>
  <c r="F18" i="53"/>
  <c r="F14" i="53"/>
  <c r="F16" i="53"/>
  <c r="BL11" i="53"/>
  <c r="BL6" i="53"/>
  <c r="K222" i="53"/>
  <c r="K224" i="53"/>
  <c r="K230" i="53"/>
  <c r="K233" i="53"/>
  <c r="K249" i="53"/>
  <c r="K253" i="53"/>
  <c r="K257" i="53"/>
  <c r="AZ29" i="53"/>
  <c r="AZ31" i="53"/>
  <c r="AF5" i="53"/>
  <c r="AF10" i="53"/>
  <c r="K247" i="53"/>
  <c r="K243" i="53"/>
  <c r="K200" i="53"/>
  <c r="K204" i="53"/>
  <c r="K206" i="53"/>
  <c r="K216" i="53"/>
  <c r="K218" i="53"/>
  <c r="K226" i="53"/>
  <c r="K228" i="53"/>
  <c r="AH9" i="53"/>
  <c r="AH4" i="53"/>
  <c r="K111" i="53"/>
  <c r="AB6" i="53"/>
  <c r="AB14" i="53"/>
  <c r="K56" i="53"/>
  <c r="K58" i="53"/>
  <c r="K59" i="53"/>
  <c r="K69" i="53"/>
  <c r="K71" i="53"/>
  <c r="K73" i="53"/>
  <c r="K75" i="53"/>
  <c r="K113" i="53"/>
  <c r="F32" i="53"/>
  <c r="F28" i="53"/>
  <c r="C23" i="53"/>
  <c r="C19" i="53"/>
  <c r="BK12" i="53"/>
  <c r="BK4" i="53"/>
  <c r="K25" i="53"/>
  <c r="C15" i="53"/>
  <c r="C21" i="53"/>
  <c r="C26" i="53"/>
  <c r="C34" i="53"/>
  <c r="C36" i="53"/>
  <c r="C38" i="53"/>
  <c r="C40" i="53"/>
  <c r="C42" i="53"/>
  <c r="C44" i="53"/>
  <c r="F22" i="53"/>
  <c r="F25" i="53"/>
  <c r="K4" i="53"/>
  <c r="K17" i="53"/>
  <c r="K18" i="53"/>
  <c r="K20" i="53"/>
  <c r="K23" i="53"/>
  <c r="K27" i="53"/>
  <c r="X3" i="53"/>
  <c r="AZ5" i="5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Emmanuel Valencia</author>
  </authors>
  <commentList>
    <comment ref="B29" authorId="0" shapeId="0" xr:uid="{8BF14E81-CB0A-450A-95B5-D61F3CF64BC5}">
      <text>
        <r>
          <rPr>
            <sz val="9"/>
            <color indexed="81"/>
            <rFont val="Tahoma"/>
            <family val="2"/>
          </rPr>
          <t>Lower confidence limit of the long-term strength determined by performance testing per Mandatory Appendix 401-II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Emmanuel Valencia</author>
  </authors>
  <commentList>
    <comment ref="B27" authorId="0" shapeId="0" xr:uid="{4AC7B368-A756-4FED-B0D7-A56359AFF330}">
      <text>
        <r>
          <rPr>
            <sz val="9"/>
            <color indexed="81"/>
            <rFont val="Tahoma"/>
            <family val="2"/>
          </rPr>
          <t>Lower confidence limit of the long-term strength determined by performance testing per Mandatory Appendix 401-II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Emmanuel Valencia</author>
  </authors>
  <commentList>
    <comment ref="B30" authorId="0" shapeId="0" xr:uid="{ED87693D-6DD1-47B1-BEE6-D69AC91E1D13}">
      <text>
        <r>
          <rPr>
            <sz val="9"/>
            <color indexed="81"/>
            <rFont val="Tahoma"/>
            <family val="2"/>
          </rPr>
          <t>Lower confidence limit of the long-term strength determined by performance testing per Mandatory Appendix 401-II</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<sst xmlns="http://schemas.openxmlformats.org/spreadsheetml/2006/main" count="5260" uniqueCount="1368">
  <si>
    <t>Design Package Cover Sheet</t>
  </si>
  <si>
    <t>Company:</t>
  </si>
  <si>
    <t>Report Date:</t>
  </si>
  <si>
    <t>Project/Line ID:</t>
  </si>
  <si>
    <t>Tracking #:</t>
  </si>
  <si>
    <t>Contact Person:</t>
  </si>
  <si>
    <t>Contact Phone #:</t>
  </si>
  <si>
    <t>Contact Email:</t>
  </si>
  <si>
    <t>OmegaWrap® Calculator</t>
  </si>
  <si>
    <t>Project Information</t>
  </si>
  <si>
    <t>Project / Line ID:</t>
  </si>
  <si>
    <t>Company Name:</t>
  </si>
  <si>
    <t>Address:</t>
  </si>
  <si>
    <t>City / State / Zip Code:</t>
  </si>
  <si>
    <t>Contact Person Email:</t>
  </si>
  <si>
    <t>Date of Repair:</t>
  </si>
  <si>
    <t>Type of Repair:</t>
  </si>
  <si>
    <t>Comments :</t>
  </si>
  <si>
    <t>Tracking Code:</t>
  </si>
  <si>
    <t>Defect Parameters</t>
  </si>
  <si>
    <t>Defect Type:</t>
  </si>
  <si>
    <t>Corrosion</t>
  </si>
  <si>
    <t>Supported Defect Types:</t>
  </si>
  <si>
    <t>Calculator Instructions</t>
  </si>
  <si>
    <r>
      <rPr>
        <sz val="11"/>
        <color theme="1"/>
        <rFont val="Calibri"/>
        <family val="2"/>
        <scheme val="minor"/>
      </rPr>
      <t xml:space="preserve">Please follow the instructions for using the OmegaWrap® Calculator:
     1) Enter the </t>
    </r>
    <r>
      <rPr>
        <b/>
        <sz val="11"/>
        <color theme="1"/>
        <rFont val="Calibri"/>
        <family val="2"/>
        <scheme val="minor"/>
      </rPr>
      <t>Project Information</t>
    </r>
    <r>
      <rPr>
        <sz val="11"/>
        <color theme="1"/>
        <rFont val="Calibri"/>
        <family val="2"/>
        <scheme val="minor"/>
      </rPr>
      <t xml:space="preserve"> and the </t>
    </r>
    <r>
      <rPr>
        <b/>
        <sz val="11"/>
        <color theme="1"/>
        <rFont val="Calibri"/>
        <family val="2"/>
        <scheme val="minor"/>
      </rPr>
      <t>Defect Parameters</t>
    </r>
    <r>
      <rPr>
        <sz val="11"/>
        <color theme="1"/>
        <rFont val="Calibri"/>
        <family val="2"/>
        <scheme val="minor"/>
      </rPr>
      <t xml:space="preserve">, then press the </t>
    </r>
    <r>
      <rPr>
        <b/>
        <sz val="11"/>
        <color theme="1"/>
        <rFont val="Calibri"/>
        <family val="2"/>
        <scheme val="minor"/>
      </rPr>
      <t>Open Calculator</t>
    </r>
    <r>
      <rPr>
        <sz val="11"/>
        <color theme="1"/>
        <rFont val="Calibri"/>
        <family val="2"/>
        <scheme val="minor"/>
      </rPr>
      <t xml:space="preserve"> button. 
     2) Navigate to the new calculator tabs that have opened. This corresponds to the selected defect type.
     3) Fill out all of the </t>
    </r>
    <r>
      <rPr>
        <b/>
        <sz val="11"/>
        <color theme="7"/>
        <rFont val="Calibri"/>
        <family val="2"/>
        <scheme val="minor"/>
      </rPr>
      <t>YELLOW</t>
    </r>
    <r>
      <rPr>
        <sz val="11"/>
        <color theme="1"/>
        <rFont val="Calibri"/>
        <family val="2"/>
        <scheme val="minor"/>
      </rPr>
      <t xml:space="preserve"> entries for the calculator, then review the results in the </t>
    </r>
    <r>
      <rPr>
        <b/>
        <sz val="11"/>
        <color theme="9"/>
        <rFont val="Calibri"/>
        <family val="2"/>
        <scheme val="minor"/>
      </rPr>
      <t>GREEN</t>
    </r>
    <r>
      <rPr>
        <sz val="11"/>
        <color theme="1"/>
        <rFont val="Calibri"/>
        <family val="2"/>
        <scheme val="minor"/>
      </rPr>
      <t xml:space="preserve"> cells.
     4) For detailed information, each calculator is tied to a </t>
    </r>
    <r>
      <rPr>
        <b/>
        <sz val="11"/>
        <color theme="1"/>
        <rFont val="Calibri"/>
        <family val="2"/>
        <scheme val="minor"/>
      </rPr>
      <t>Calculations</t>
    </r>
    <r>
      <rPr>
        <sz val="11"/>
        <color theme="1"/>
        <rFont val="Calibri"/>
        <family val="2"/>
        <scheme val="minor"/>
      </rPr>
      <t xml:space="preserve"> tab containing all of the formulas for review.
     5) Once satisfied with the results, print a complete report by pressing the </t>
    </r>
    <r>
      <rPr>
        <b/>
        <sz val="11"/>
        <color theme="1"/>
        <rFont val="Calibri"/>
        <family val="2"/>
        <scheme val="minor"/>
      </rPr>
      <t>Export Report</t>
    </r>
    <r>
      <rPr>
        <sz val="11"/>
        <color theme="1"/>
        <rFont val="Calibri"/>
        <family val="2"/>
        <scheme val="minor"/>
      </rPr>
      <t xml:space="preserve"> button.
If you have any questions, do not hesitate to reach out to us at (832) 947-4488 or info@allanedwards.com.</t>
    </r>
    <r>
      <rPr>
        <b/>
        <sz val="11"/>
        <color theme="1"/>
        <rFont val="Calibri"/>
        <family val="2"/>
        <scheme val="minor"/>
      </rPr>
      <t xml:space="preserve"> </t>
    </r>
  </si>
  <si>
    <t>Disclaimer</t>
  </si>
  <si>
    <r>
      <rPr>
        <sz val="11"/>
        <color rgb="FF000000"/>
        <rFont val="Calibri"/>
        <family val="2"/>
        <scheme val="minor"/>
      </rPr>
      <t>The intended use of the OmegaWrap</t>
    </r>
    <r>
      <rPr>
        <vertAlign val="superscript"/>
        <sz val="11"/>
        <color rgb="FF000000"/>
        <rFont val="Calibri"/>
        <family val="2"/>
        <scheme val="minor"/>
      </rPr>
      <t>TM</t>
    </r>
    <r>
      <rPr>
        <sz val="11"/>
        <color rgb="FF000000"/>
        <rFont val="Calibri"/>
        <family val="2"/>
        <scheme val="minor"/>
      </rPr>
      <t xml:space="preserve"> Calculator is for estimating purposes only. It is recommended that OmegaWrap</t>
    </r>
    <r>
      <rPr>
        <vertAlign val="superscript"/>
        <sz val="11"/>
        <color rgb="FF000000"/>
        <rFont val="Calibri"/>
        <family val="2"/>
        <scheme val="minor"/>
      </rPr>
      <t>TM</t>
    </r>
    <r>
      <rPr>
        <sz val="11"/>
        <color rgb="FF000000"/>
        <rFont val="Calibri"/>
        <family val="2"/>
        <scheme val="minor"/>
      </rPr>
      <t xml:space="preserve"> review and validate all applications. To contact OmegaWrap</t>
    </r>
    <r>
      <rPr>
        <vertAlign val="superscript"/>
        <sz val="11"/>
        <color rgb="FF000000"/>
        <rFont val="Calibri"/>
        <family val="2"/>
        <scheme val="minor"/>
      </rPr>
      <t>TM</t>
    </r>
    <r>
      <rPr>
        <sz val="11"/>
        <color rgb="FF000000"/>
        <rFont val="Calibri"/>
        <family val="2"/>
        <scheme val="minor"/>
      </rPr>
      <t xml:space="preserve">, click on the button </t>
    </r>
    <r>
      <rPr>
        <b/>
        <sz val="11"/>
        <color rgb="FF000000"/>
        <rFont val="Calibri"/>
        <family val="2"/>
        <scheme val="minor"/>
      </rPr>
      <t>Send To OW</t>
    </r>
    <r>
      <rPr>
        <sz val="11"/>
        <color rgb="FF000000"/>
        <rFont val="Calibri"/>
        <family val="2"/>
        <scheme val="minor"/>
      </rPr>
      <t xml:space="preserve"> above.</t>
    </r>
  </si>
  <si>
    <t>Corrosion Defect</t>
  </si>
  <si>
    <t>INPUTS</t>
  </si>
  <si>
    <t>Pipe Geometry and Grade</t>
  </si>
  <si>
    <t>Pipe Diameter</t>
  </si>
  <si>
    <t>Legend</t>
  </si>
  <si>
    <t>in</t>
  </si>
  <si>
    <t>Wall Thickness</t>
  </si>
  <si>
    <t>User Inputs</t>
  </si>
  <si>
    <t>Imperial</t>
  </si>
  <si>
    <t>Install Temperature</t>
  </si>
  <si>
    <t>Calculated Outputs</t>
  </si>
  <si>
    <t>Metric</t>
  </si>
  <si>
    <t>°F</t>
  </si>
  <si>
    <t>50 is x52</t>
  </si>
  <si>
    <t>Pipe Grade</t>
  </si>
  <si>
    <t>X70</t>
  </si>
  <si>
    <t>Units</t>
  </si>
  <si>
    <t>SMYS</t>
  </si>
  <si>
    <t>psi</t>
  </si>
  <si>
    <t>kPa</t>
  </si>
  <si>
    <t>Ultimate Tensile</t>
  </si>
  <si>
    <t>% SMYS</t>
  </si>
  <si>
    <t>%</t>
  </si>
  <si>
    <t>MAOP</t>
  </si>
  <si>
    <t>Defect Details</t>
  </si>
  <si>
    <t>Corrosion Depth</t>
  </si>
  <si>
    <t>Corrosion Depth %WT</t>
  </si>
  <si>
    <t>class 4</t>
  </si>
  <si>
    <t>Corrosion Length</t>
  </si>
  <si>
    <t>class 3</t>
  </si>
  <si>
    <t>Corrosion Width</t>
  </si>
  <si>
    <t>class 2</t>
  </si>
  <si>
    <t>Remaining Wall Thickness</t>
  </si>
  <si>
    <t>class 1</t>
  </si>
  <si>
    <t>Composite Details</t>
  </si>
  <si>
    <t>class 1 - special case</t>
  </si>
  <si>
    <t>Composite Type</t>
  </si>
  <si>
    <t>Carbon</t>
  </si>
  <si>
    <t>LT Composite Strength</t>
  </si>
  <si>
    <t>9 layer minimum on girth weld</t>
  </si>
  <si>
    <t>Service Factor</t>
  </si>
  <si>
    <t>geohazards or ... use cross</t>
  </si>
  <si>
    <t>OUTPUTS</t>
  </si>
  <si>
    <t>Calculation Results</t>
  </si>
  <si>
    <t>Number of Layers</t>
  </si>
  <si>
    <t>Repair Thickness</t>
  </si>
  <si>
    <t>mm</t>
  </si>
  <si>
    <t>Fabric Length / Linear ft</t>
  </si>
  <si>
    <t>ft</t>
  </si>
  <si>
    <t>m</t>
  </si>
  <si>
    <t>Linear Length of Repair</t>
  </si>
  <si>
    <t>Total Fabric Length</t>
  </si>
  <si>
    <r>
      <t>ft</t>
    </r>
    <r>
      <rPr>
        <vertAlign val="superscript"/>
        <sz val="11"/>
        <color theme="1"/>
        <rFont val="Calibri"/>
        <family val="2"/>
        <scheme val="minor"/>
      </rPr>
      <t>2</t>
    </r>
  </si>
  <si>
    <r>
      <t>m</t>
    </r>
    <r>
      <rPr>
        <vertAlign val="superscript"/>
        <sz val="11"/>
        <color theme="1"/>
        <rFont val="Calibri"/>
        <family val="2"/>
        <scheme val="minor"/>
      </rPr>
      <t>2</t>
    </r>
  </si>
  <si>
    <t>Resin / Linear ft</t>
  </si>
  <si>
    <t>L/m</t>
  </si>
  <si>
    <t>Total Resin Required</t>
  </si>
  <si>
    <t>L</t>
  </si>
  <si>
    <t>Putty Amount</t>
  </si>
  <si>
    <t>Pt</t>
  </si>
  <si>
    <t>Primer Resin Required</t>
  </si>
  <si>
    <t>Application Technique</t>
  </si>
  <si>
    <t>Layer over Layer</t>
  </si>
  <si>
    <t>AE Part Number</t>
  </si>
  <si>
    <t>Qty</t>
  </si>
  <si>
    <t>Corrosion Calculations</t>
  </si>
  <si>
    <t>ASME PCC-2-2018 Repair of Pressure Equipment and Piping</t>
  </si>
  <si>
    <r>
      <t xml:space="preserve">These calculations follow equations in the </t>
    </r>
    <r>
      <rPr>
        <i/>
        <sz val="10"/>
        <color theme="1"/>
        <rFont val="Calibri"/>
        <family val="2"/>
        <scheme val="minor"/>
      </rPr>
      <t>ASME PCC-2-2018 Article 401 Nonmetallic Composite Repair Systems: High-Risk Applications</t>
    </r>
    <r>
      <rPr>
        <sz val="10"/>
        <color theme="1"/>
        <rFont val="Calibri"/>
        <family val="2"/>
        <scheme val="minor"/>
      </rPr>
      <t>. All calculations are performed in English units.</t>
    </r>
  </si>
  <si>
    <t>The intended use of the OmegaWrap® Calculator is for estimating purposes only. It is recommended that OmegaWrap® review and validate all applications.</t>
  </si>
  <si>
    <t>USER INPUTS AND DERIVED OUTPUTS</t>
  </si>
  <si>
    <t>PROJECT INFORMATION</t>
  </si>
  <si>
    <t>Description</t>
  </si>
  <si>
    <t>Symbol</t>
  </si>
  <si>
    <t>Error Flag</t>
  </si>
  <si>
    <t>Value</t>
  </si>
  <si>
    <t>Unit</t>
  </si>
  <si>
    <t>MAOP %</t>
  </si>
  <si>
    <t>Contact Phone:</t>
  </si>
  <si>
    <t>psig</t>
  </si>
  <si>
    <t>Recommended De-rated Pressure</t>
  </si>
  <si>
    <t>Repair Location:</t>
  </si>
  <si>
    <t>Steel Pipe Modulus</t>
  </si>
  <si>
    <t>Latitude / Longitude:</t>
  </si>
  <si>
    <t>Temperature of the Install</t>
  </si>
  <si>
    <t>°C</t>
  </si>
  <si>
    <t>Defect Depth</t>
  </si>
  <si>
    <t>Defect Depth %WT</t>
  </si>
  <si>
    <t>Comments:</t>
  </si>
  <si>
    <t>Defect Length</t>
  </si>
  <si>
    <t>Defect Width</t>
  </si>
  <si>
    <t>OmegaWrap ID:</t>
  </si>
  <si>
    <t>ERROR HANDLING</t>
  </si>
  <si>
    <t>Hoop Modulus</t>
  </si>
  <si>
    <t>Section</t>
  </si>
  <si>
    <t>Message Output</t>
  </si>
  <si>
    <t>Composite Strain</t>
  </si>
  <si>
    <t>Pipe Geometry</t>
  </si>
  <si>
    <t>Layer Thickness</t>
  </si>
  <si>
    <t>Layer Width</t>
  </si>
  <si>
    <t>Error Searching</t>
  </si>
  <si>
    <t>Resin Coverage</t>
  </si>
  <si>
    <t>ft2/Qt</t>
  </si>
  <si>
    <t>Combined Flags</t>
  </si>
  <si>
    <t>Wrap Overlap</t>
  </si>
  <si>
    <t>Tripped</t>
  </si>
  <si>
    <t>Flag #</t>
  </si>
  <si>
    <t>Priority</t>
  </si>
  <si>
    <t>Service Factor Test</t>
  </si>
  <si>
    <t>Application Technique Selection</t>
  </si>
  <si>
    <t>REPAIR OUTPUTS</t>
  </si>
  <si>
    <t>Using Performance-Based Calculations</t>
  </si>
  <si>
    <t>Finished Repair OD</t>
  </si>
  <si>
    <t>m2</t>
  </si>
  <si>
    <t>ft2</t>
  </si>
  <si>
    <t>Qt/ft</t>
  </si>
  <si>
    <t>Qt</t>
  </si>
  <si>
    <t>CALCULATIONS AND FINAL OUTPUTS</t>
  </si>
  <si>
    <t>PCC-2 
Equation #</t>
  </si>
  <si>
    <t>Symbol &amp; Equation</t>
  </si>
  <si>
    <t>Design repair laminate thickness for hoop stresses due to internal pressure</t>
  </si>
  <si>
    <t>Length of L_over</t>
  </si>
  <si>
    <t>Total axial length of the repair (round up, multiple of 12)</t>
  </si>
  <si>
    <t>CORROSION REPAIR CALCULATIONS</t>
  </si>
  <si>
    <t>Number of wrap layers (round up, Eq. 12 for repair thickness)</t>
  </si>
  <si>
    <t>number of wraps</t>
  </si>
  <si>
    <t>Number of wrap segments based on overlap and length</t>
  </si>
  <si>
    <t>number of sets</t>
  </si>
  <si>
    <t>Repair thickness</t>
  </si>
  <si>
    <t>Fabric Length Calculations: Layer over Layer and Stagger</t>
  </si>
  <si>
    <t>Repair wrap length (changing diameter)</t>
  </si>
  <si>
    <t>Total repair wrap length, if Layer over Layer or Stagger</t>
  </si>
  <si>
    <t>Fabric Length Calculations: Spiral</t>
  </si>
  <si>
    <t>Total repair wrap length, if Spiral (changing diameter)</t>
  </si>
  <si>
    <t>Other Calculations</t>
  </si>
  <si>
    <t>Total repair wrap length based on selection of  application technique</t>
  </si>
  <si>
    <t>Repair length used per wrap segment</t>
  </si>
  <si>
    <t>Total repair area</t>
  </si>
  <si>
    <t>Resin per length (amount of resin necessary per wrap segment)</t>
  </si>
  <si>
    <t>Total resin required</t>
  </si>
  <si>
    <t>Isolation Wrap Length</t>
  </si>
  <si>
    <t>IW/ft</t>
  </si>
  <si>
    <t>Isolation Wrap Total</t>
  </si>
  <si>
    <t>IW</t>
  </si>
  <si>
    <t>Putty amount</t>
  </si>
  <si>
    <t>Mechanical Defect</t>
  </si>
  <si>
    <t>X52</t>
  </si>
  <si>
    <t>Defect Depth %OD</t>
  </si>
  <si>
    <t>Mechanical Calculations</t>
  </si>
  <si>
    <t>Box</t>
  </si>
  <si>
    <t>MECHANICAL DAMAGE REPAIR CALCULATIONS</t>
  </si>
  <si>
    <t>Number of wrap layers (round up)</t>
  </si>
  <si>
    <t xml:space="preserve">Wrap resin required </t>
  </si>
  <si>
    <t>Isolation Wrap</t>
  </si>
  <si>
    <t>Carbon (Hoop)</t>
  </si>
  <si>
    <t>Carbon (Axial)</t>
  </si>
  <si>
    <t>E-Glass (Hoop)</t>
  </si>
  <si>
    <t>E-Glass (Axial)</t>
  </si>
  <si>
    <t>Usable</t>
  </si>
  <si>
    <t>L (inch)</t>
  </si>
  <si>
    <t>W (feet)</t>
  </si>
  <si>
    <t># of different parts in use</t>
  </si>
  <si>
    <t>TYPE</t>
  </si>
  <si>
    <t>OW</t>
  </si>
  <si>
    <t>ABBR</t>
  </si>
  <si>
    <t>ISOLATIONWRAP</t>
  </si>
  <si>
    <t>CB</t>
  </si>
  <si>
    <t>EG</t>
  </si>
  <si>
    <t>ABBR for Spec</t>
  </si>
  <si>
    <t>A</t>
  </si>
  <si>
    <t>Linear ft</t>
  </si>
  <si>
    <t>Pipe Size</t>
  </si>
  <si>
    <t>Mechanical (1) or corrosion (0)</t>
  </si>
  <si>
    <t>ft^2</t>
  </si>
  <si>
    <t>Feet of repair</t>
  </si>
  <si>
    <t>Linear Length of Wrap inches</t>
  </si>
  <si>
    <t>Carbon (1) or Eglass (0) M</t>
  </si>
  <si>
    <t>Carbon (1) or Eglass (0) C</t>
  </si>
  <si>
    <t>Carbon or Eglass total</t>
  </si>
  <si>
    <t>IW/Linear Feet</t>
  </si>
  <si>
    <t>Item</t>
  </si>
  <si>
    <t>Customer Price</t>
  </si>
  <si>
    <t>Ext</t>
  </si>
  <si>
    <t>Resin calc</t>
  </si>
  <si>
    <t>Notes</t>
  </si>
  <si>
    <t>16 and down round down to 15</t>
  </si>
  <si>
    <t>Discount Rate</t>
  </si>
  <si>
    <t>% off</t>
  </si>
  <si>
    <t>Carbon (30 square foot roll)</t>
  </si>
  <si>
    <t>OW-CB-30FT</t>
  </si>
  <si>
    <t>between 16 and 20ft you would cut a 30ft roll into a 20ft and 10ft</t>
  </si>
  <si>
    <t>Carbon - Axial (30 square foot roll)</t>
  </si>
  <si>
    <t>OW-CB-A-30FT</t>
  </si>
  <si>
    <t>over 20 to 30ft is a 30ft roll</t>
  </si>
  <si>
    <t>Carbon (15 square foot roll)</t>
  </si>
  <si>
    <t>OW-CB-15FT</t>
  </si>
  <si>
    <t>Carbon - Axial (15 square foot roll)</t>
  </si>
  <si>
    <t>OW-CB-A-15FT</t>
  </si>
  <si>
    <t>Resin (A&amp;B) - Quart</t>
  </si>
  <si>
    <t>OW-RESIN-AB-QT(Extra)</t>
  </si>
  <si>
    <t>Primer:</t>
  </si>
  <si>
    <t>+1 for primer</t>
  </si>
  <si>
    <t>Resins (Quarts)</t>
  </si>
  <si>
    <t>Total</t>
  </si>
  <si>
    <t>E-Glass</t>
  </si>
  <si>
    <t>Load Transfer Putty (A&amp;B)</t>
  </si>
  <si>
    <t>OW-PUTTY-AB</t>
  </si>
  <si>
    <t>Welds always need at least 1 putty kit per weld. Larger pipe sizes overestimate</t>
  </si>
  <si>
    <t>How many</t>
  </si>
  <si>
    <t>Extra needed</t>
  </si>
  <si>
    <t>IW total</t>
  </si>
  <si>
    <t>cost</t>
  </si>
  <si>
    <t>total length</t>
  </si>
  <si>
    <t>Inches</t>
  </si>
  <si>
    <t>Quantity of 6:20ft</t>
  </si>
  <si>
    <t>IF</t>
  </si>
  <si>
    <t>Isolation Wrap 6" x 20'</t>
  </si>
  <si>
    <t>OW-ISOLATIONWRAP-6.20</t>
  </si>
  <si>
    <t>Linear Length of repair/12</t>
  </si>
  <si>
    <t>Feet</t>
  </si>
  <si>
    <t>Quantity of 12:15ft</t>
  </si>
  <si>
    <t>NEW CASE</t>
  </si>
  <si>
    <t>one 6"x20" can be cut into</t>
  </si>
  <si>
    <t>pieces which leaves</t>
  </si>
  <si>
    <t>feet for each linear foot</t>
  </si>
  <si>
    <t>Isolation Wrap 12" x 15'</t>
  </si>
  <si>
    <t>OW-ISOLATIONWRAP-12.15</t>
  </si>
  <si>
    <t>Quantity of 12:30ft</t>
  </si>
  <si>
    <t>one 12"x15" can be cut into</t>
  </si>
  <si>
    <t>Isolation Wrap 12" x 30'</t>
  </si>
  <si>
    <t>OW-ISOLATIONWRAP-12.30</t>
  </si>
  <si>
    <t>k</t>
  </si>
  <si>
    <t>Part Number</t>
  </si>
  <si>
    <t>MSRP</t>
  </si>
  <si>
    <t>Linear feet for IW</t>
  </si>
  <si>
    <t>Eglass (30 square foot roll)</t>
  </si>
  <si>
    <t>OW-EG-30FT</t>
  </si>
  <si>
    <t>Eglass - Axial (30 square foot roll)</t>
  </si>
  <si>
    <t>OW-EG-A-30FT</t>
  </si>
  <si>
    <t>IW/Linear feet</t>
  </si>
  <si>
    <t>IW/Linear feet rounded</t>
  </si>
  <si>
    <t>Eglass (15 square foot roll)</t>
  </si>
  <si>
    <t>OW-EG-15FT</t>
  </si>
  <si>
    <t>Eglass - Axial (15 square foot roll)</t>
  </si>
  <si>
    <t>OW-EG-A-15FT</t>
  </si>
  <si>
    <t>Amount needed</t>
  </si>
  <si>
    <t>Resin (A&amp;B)</t>
  </si>
  <si>
    <t>OW-RESIN-AB-QT</t>
  </si>
  <si>
    <t>Total:</t>
  </si>
  <si>
    <t>How many linear feet can I cover with one roll</t>
  </si>
  <si>
    <t>OW Accessory Kit*</t>
  </si>
  <si>
    <t>OW-ACCESSORYKIT</t>
  </si>
  <si>
    <t>Accessory kits I usually estimate 1 for every 500 sq ft of material or 1 for every ditch even if it’s a small project in each hole.</t>
  </si>
  <si>
    <t>How much square feet of material?</t>
  </si>
  <si>
    <t>square ft of material / 500</t>
  </si>
  <si>
    <t>how many ditches?</t>
  </si>
  <si>
    <t>1st  and 3rd Case</t>
  </si>
  <si>
    <t>12" diameter and down (three 6" wide)</t>
  </si>
  <si>
    <t>Plastic Wrap Lg (12"x700')</t>
  </si>
  <si>
    <t>OW-PW-LARGE</t>
  </si>
  <si>
    <t>Usually (1) OW-PW-LARGE is required for each job unless you get into large jobs such as 20 or 30 linear feet on 30” pipe for example.</t>
  </si>
  <si>
    <t>Other value</t>
  </si>
  <si>
    <t>Plastic Wrap Sm (5"x200')</t>
  </si>
  <si>
    <t>OW-PW-SMALL</t>
  </si>
  <si>
    <t>12" to 20" diameter (one 6" and one 12" wide)</t>
  </si>
  <si>
    <t>Porcupine Roller</t>
  </si>
  <si>
    <t>Porcupine Roller MRO6500</t>
  </si>
  <si>
    <t>1 unless told otherwise</t>
  </si>
  <si>
    <t>Magnet - 1"x1"x1/8"</t>
  </si>
  <si>
    <t>OW-MAGNET</t>
  </si>
  <si>
    <t>BW - Req - 20” and larger get 2 kits, under 20” gets 1 kit.</t>
  </si>
  <si>
    <t>BW value:</t>
  </si>
  <si>
    <t>BW?</t>
  </si>
  <si>
    <t>other value</t>
  </si>
  <si>
    <t>20" diameter and up (12" wide only)</t>
  </si>
  <si>
    <t>Labor/Supervision Day Rate</t>
  </si>
  <si>
    <t>Supervisor/Install</t>
  </si>
  <si>
    <t>Always minimum 3 Day supervision                 1 day going  / 1 day working / 1 day leaving</t>
  </si>
  <si>
    <t>2nd case</t>
  </si>
  <si>
    <t>All diameters (12" wide only) (feet)</t>
  </si>
  <si>
    <t>Range</t>
  </si>
  <si>
    <t>sum</t>
  </si>
  <si>
    <t>Linear Length of Wrap</t>
  </si>
  <si>
    <t>+12</t>
  </si>
  <si>
    <t>1st</t>
  </si>
  <si>
    <t>WC</t>
  </si>
  <si>
    <t>New WC</t>
  </si>
  <si>
    <t>WC for reference</t>
  </si>
  <si>
    <t>new WC</t>
  </si>
  <si>
    <t>WC middle</t>
  </si>
  <si>
    <t>2nd</t>
  </si>
  <si>
    <t>no defect</t>
  </si>
  <si>
    <t>WC1</t>
  </si>
  <si>
    <t>WC2</t>
  </si>
  <si>
    <t>WC3</t>
  </si>
  <si>
    <t>WC4</t>
  </si>
  <si>
    <t>WC5</t>
  </si>
  <si>
    <t>WC6</t>
  </si>
  <si>
    <t>WC7</t>
  </si>
  <si>
    <t>WC8</t>
  </si>
  <si>
    <t>WC9</t>
  </si>
  <si>
    <t>WC10</t>
  </si>
  <si>
    <t>WC11</t>
  </si>
  <si>
    <t>WC12</t>
  </si>
  <si>
    <t>WC13</t>
  </si>
  <si>
    <t>WC14</t>
  </si>
  <si>
    <t>WC15</t>
  </si>
  <si>
    <t>WC16</t>
  </si>
  <si>
    <t>WC17</t>
  </si>
  <si>
    <t>WC18</t>
  </si>
  <si>
    <t>WC19</t>
  </si>
  <si>
    <t>WC20</t>
  </si>
  <si>
    <t>WC21</t>
  </si>
  <si>
    <t>WC22</t>
  </si>
  <si>
    <t>WC23</t>
  </si>
  <si>
    <t>WC24</t>
  </si>
  <si>
    <t>WC25</t>
  </si>
  <si>
    <t>WC26</t>
  </si>
  <si>
    <t>WC27</t>
  </si>
  <si>
    <t>WC28</t>
  </si>
  <si>
    <t>WC29</t>
  </si>
  <si>
    <t>WC30</t>
  </si>
  <si>
    <t>with defect</t>
  </si>
  <si>
    <t>Wheel Count</t>
  </si>
  <si>
    <t>L_over</t>
  </si>
  <si>
    <t>Is it actually needed?</t>
  </si>
  <si>
    <t>inches/2</t>
  </si>
  <si>
    <t>Defect Length/2</t>
  </si>
  <si>
    <t>Left Limit</t>
  </si>
  <si>
    <t>WC 6</t>
  </si>
  <si>
    <t>Rounded</t>
  </si>
  <si>
    <t>Full Inches</t>
  </si>
  <si>
    <t>Right Limit</t>
  </si>
  <si>
    <t>WC 7</t>
  </si>
  <si>
    <t>the rest</t>
  </si>
  <si>
    <t>fraction of foot</t>
  </si>
  <si>
    <t>inches</t>
  </si>
  <si>
    <t>ft to inches</t>
  </si>
  <si>
    <t>difference in feet</t>
  </si>
  <si>
    <t>Outputs</t>
  </si>
  <si>
    <t>total inches</t>
  </si>
  <si>
    <t>to inches</t>
  </si>
  <si>
    <t>Total Defect Length</t>
  </si>
  <si>
    <t>Middle with no Defect</t>
  </si>
  <si>
    <t>difference</t>
  </si>
  <si>
    <t>Middle with Defect</t>
  </si>
  <si>
    <t>into ft</t>
  </si>
  <si>
    <t>Calcs</t>
  </si>
  <si>
    <t>total distance apart in inches</t>
  </si>
  <si>
    <t>L1/2</t>
  </si>
  <si>
    <t>L2/2</t>
  </si>
  <si>
    <t>total defect length</t>
  </si>
  <si>
    <t>total distance apart in feet</t>
  </si>
  <si>
    <t>Distance away</t>
  </si>
  <si>
    <t>total Defect Length</t>
  </si>
  <si>
    <t>Left Side</t>
  </si>
  <si>
    <t>Furthest Left</t>
  </si>
  <si>
    <t>Together 1</t>
  </si>
  <si>
    <t>Together 2</t>
  </si>
  <si>
    <t>Individual 1</t>
  </si>
  <si>
    <t>Individual 2</t>
  </si>
  <si>
    <t>WC 1</t>
  </si>
  <si>
    <t>WC 2</t>
  </si>
  <si>
    <t>WC 3</t>
  </si>
  <si>
    <t>WC 4</t>
  </si>
  <si>
    <t>WC 5</t>
  </si>
  <si>
    <t>WC 8</t>
  </si>
  <si>
    <t>WC 9</t>
  </si>
  <si>
    <t>WC 10</t>
  </si>
  <si>
    <t>WC 11</t>
  </si>
  <si>
    <t>WC 12</t>
  </si>
  <si>
    <t>WC 13</t>
  </si>
  <si>
    <t>WC 14</t>
  </si>
  <si>
    <t>WC 15</t>
  </si>
  <si>
    <t>away from</t>
  </si>
  <si>
    <t>min</t>
  </si>
  <si>
    <t>Right Side</t>
  </si>
  <si>
    <t>Furthest Right</t>
  </si>
  <si>
    <t>turned into inches</t>
  </si>
  <si>
    <t>added to inches</t>
  </si>
  <si>
    <t>WC 3 - Middle of Wrap</t>
  </si>
  <si>
    <t>WC 4 - Start Wrap</t>
  </si>
  <si>
    <t>WC 5 - End Wrap</t>
  </si>
  <si>
    <t>WC 6 - Left Limit</t>
  </si>
  <si>
    <t>WC 7 - Right Limit</t>
  </si>
  <si>
    <t>End of L_over1 - WC 8 - Start of Defect</t>
  </si>
  <si>
    <t>End of Defect - WC 9 - Start L_over2</t>
  </si>
  <si>
    <t>WC 10 - Start of L_over1</t>
  </si>
  <si>
    <t>End of L_over2 - WC 11</t>
  </si>
  <si>
    <t>WC 12 - Start of repair1</t>
  </si>
  <si>
    <t>End of repair1 - WC 13</t>
  </si>
  <si>
    <t>WC 14 - Start of repair2</t>
  </si>
  <si>
    <t>End of repair2 - WC 15</t>
  </si>
  <si>
    <t>1ft</t>
  </si>
  <si>
    <t>Min WC</t>
  </si>
  <si>
    <t>Zero WC</t>
  </si>
  <si>
    <t xml:space="preserve"> starting </t>
  </si>
  <si>
    <t>Outputs In Inches</t>
  </si>
  <si>
    <t>Order</t>
  </si>
  <si>
    <t>Defect Locations</t>
  </si>
  <si>
    <t>Middle</t>
  </si>
  <si>
    <t>Wrap Length 12"</t>
  </si>
  <si>
    <t>Limits</t>
  </si>
  <si>
    <t>Overall Defect Length</t>
  </si>
  <si>
    <t>Actual Wrap Length</t>
  </si>
  <si>
    <t>Repair 1</t>
  </si>
  <si>
    <t>Repair 2</t>
  </si>
  <si>
    <t>Left Limit WC 6</t>
  </si>
  <si>
    <t>Right Limit WC 7</t>
  </si>
  <si>
    <t>Min</t>
  </si>
  <si>
    <t>Difference</t>
  </si>
  <si>
    <t>Max</t>
  </si>
  <si>
    <t>Max with Limit</t>
  </si>
  <si>
    <t>L0</t>
  </si>
  <si>
    <t>=</t>
  </si>
  <si>
    <t>+</t>
  </si>
  <si>
    <t>x</t>
  </si>
  <si>
    <t>y</t>
  </si>
  <si>
    <t>-</t>
  </si>
  <si>
    <t>total defect length / 2</t>
  </si>
  <si>
    <t>going to ft</t>
  </si>
  <si>
    <t>Rounded ft</t>
  </si>
  <si>
    <t>Actual WC3</t>
  </si>
  <si>
    <t>Linear Length</t>
  </si>
  <si>
    <t>new y</t>
  </si>
  <si>
    <t>new x</t>
  </si>
  <si>
    <t>Actual WC4</t>
  </si>
  <si>
    <t>Actual WC5</t>
  </si>
  <si>
    <t>Actual WC8</t>
  </si>
  <si>
    <t>Actual WC9</t>
  </si>
  <si>
    <t>Actual WC10</t>
  </si>
  <si>
    <t>Actual WC11</t>
  </si>
  <si>
    <t>No</t>
  </si>
  <si>
    <t>Clock Distance Calculator</t>
  </si>
  <si>
    <t>Hours</t>
  </si>
  <si>
    <t>Minutes</t>
  </si>
  <si>
    <t>Full Defect Width</t>
  </si>
  <si>
    <t>Time1</t>
  </si>
  <si>
    <t>Time2</t>
  </si>
  <si>
    <t>Error Codes</t>
  </si>
  <si>
    <t>+up -down</t>
  </si>
  <si>
    <t>hour</t>
  </si>
  <si>
    <t>minute</t>
  </si>
  <si>
    <t>Left side Long</t>
  </si>
  <si>
    <t>Time1 Defect Left</t>
  </si>
  <si>
    <t>Flip?</t>
  </si>
  <si>
    <t>Inside Defect 2</t>
  </si>
  <si>
    <t>diameter</t>
  </si>
  <si>
    <t>inch</t>
  </si>
  <si>
    <t>Right side Long</t>
  </si>
  <si>
    <t>Time1 Defect Right</t>
  </si>
  <si>
    <t>Diameter</t>
  </si>
  <si>
    <t>Time2 Defect Left</t>
  </si>
  <si>
    <t>Clockwise</t>
  </si>
  <si>
    <t>Counterclockwise</t>
  </si>
  <si>
    <t>Minimum Distance</t>
  </si>
  <si>
    <t>Distance Apart</t>
  </si>
  <si>
    <t>inside Defect 1</t>
  </si>
  <si>
    <t>Clock minutes</t>
  </si>
  <si>
    <t>Affected?</t>
  </si>
  <si>
    <t>Name</t>
  </si>
  <si>
    <t>Distance from Beginning</t>
  </si>
  <si>
    <t>Warnings</t>
  </si>
  <si>
    <t>Time2 Defect Right</t>
  </si>
  <si>
    <t>minutes per degree</t>
  </si>
  <si>
    <t>Circumference</t>
  </si>
  <si>
    <t>degrees</t>
  </si>
  <si>
    <t>minutes</t>
  </si>
  <si>
    <t>Gap</t>
  </si>
  <si>
    <t>Overlap</t>
  </si>
  <si>
    <t>Distance from Left Side</t>
  </si>
  <si>
    <t>hours</t>
  </si>
  <si>
    <t>new hours</t>
  </si>
  <si>
    <t>new minutes</t>
  </si>
  <si>
    <t>Inputs</t>
  </si>
  <si>
    <t>Individual and together quantities</t>
  </si>
  <si>
    <t>Decision Matrix</t>
  </si>
  <si>
    <t>Totals</t>
  </si>
  <si>
    <t>Totals based on Usable</t>
  </si>
  <si>
    <t>Totals (Hoop) (Usable)</t>
  </si>
  <si>
    <t>Quantity</t>
  </si>
  <si>
    <t>Difference in length</t>
  </si>
  <si>
    <t>Divided by 30ft rounded down (quantity of 30ft)</t>
  </si>
  <si>
    <t>(Fabric Length - (Quantity of 30ft * 30))/15 rounded up (quantity of 15 ft)</t>
  </si>
  <si>
    <t>min quality</t>
  </si>
  <si>
    <t>min length ft</t>
  </si>
  <si>
    <t>Comparison of separate values to minimum values</t>
  </si>
  <si>
    <t>Length</t>
  </si>
  <si>
    <t>sum of matrix</t>
  </si>
  <si>
    <t>By Linear ft</t>
  </si>
  <si>
    <t>multiplied by linear feet</t>
  </si>
  <si>
    <t>Optimal per linear ft</t>
  </si>
  <si>
    <t>Optimal</t>
  </si>
  <si>
    <t>Total Length</t>
  </si>
  <si>
    <t xml:space="preserve">AE </t>
  </si>
  <si>
    <t>Usable materials</t>
  </si>
  <si>
    <t>15FT</t>
  </si>
  <si>
    <t>30FT</t>
  </si>
  <si>
    <t>AND</t>
  </si>
  <si>
    <t>AE</t>
  </si>
  <si>
    <t>linear feet</t>
  </si>
  <si>
    <t>overflow</t>
  </si>
  <si>
    <t>old maj</t>
  </si>
  <si>
    <t>if divisible</t>
  </si>
  <si>
    <t>old rolls</t>
  </si>
  <si>
    <t>sum of pieces</t>
  </si>
  <si>
    <t>pieces per linear ft</t>
  </si>
  <si>
    <t>majority</t>
  </si>
  <si>
    <t>left</t>
  </si>
  <si>
    <t>DO NOT EDIT</t>
  </si>
  <si>
    <t>Carbon Hoop</t>
  </si>
  <si>
    <t>Carbon Axial</t>
  </si>
  <si>
    <t>Carbon Girth Weld</t>
  </si>
  <si>
    <t>HOOP</t>
  </si>
  <si>
    <t>AXIAL</t>
  </si>
  <si>
    <t>ALONG WITH HOOP</t>
  </si>
  <si>
    <t>Optimal Based on Quantity</t>
  </si>
  <si>
    <t>Optimal Based on Materials</t>
  </si>
  <si>
    <t>OVERFLOW</t>
  </si>
  <si>
    <t>Width</t>
  </si>
  <si>
    <t>MIN</t>
  </si>
  <si>
    <t>MAX</t>
  </si>
  <si>
    <t>Max Width</t>
  </si>
  <si>
    <t>Linear feet</t>
  </si>
  <si>
    <t>7 putty for 2 wrinkles</t>
  </si>
  <si>
    <t>Weights</t>
  </si>
  <si>
    <t>Data Dictionary</t>
  </si>
  <si>
    <t>min actual quantity</t>
  </si>
  <si>
    <t>What is it?</t>
  </si>
  <si>
    <t>Fabric/Linear feet rounded</t>
  </si>
  <si>
    <t>min sum</t>
  </si>
  <si>
    <t>total Fabric ft needed (Rounded)</t>
  </si>
  <si>
    <t>min total overflow</t>
  </si>
  <si>
    <t>Needed Pieces per linear foot</t>
  </si>
  <si>
    <t>Leftover Ft for Quantity</t>
  </si>
  <si>
    <t>OPTIMAL</t>
  </si>
  <si>
    <t>OPTIMAL FINAL</t>
  </si>
  <si>
    <t>OPTIMAL BASED ON MATERIALS</t>
  </si>
  <si>
    <t>OPTIMAL FINAL BASED ON MATERIALS</t>
  </si>
  <si>
    <t>Leftover Ft for Materials</t>
  </si>
  <si>
    <t>Rules</t>
  </si>
  <si>
    <t>Material</t>
  </si>
  <si>
    <t>Usable?</t>
  </si>
  <si>
    <t>Majority</t>
  </si>
  <si>
    <t>Leftovers</t>
  </si>
  <si>
    <t>Full Left</t>
  </si>
  <si>
    <t>COUNT MAX</t>
  </si>
  <si>
    <t>Leftover Rolls Quantity</t>
  </si>
  <si>
    <t>Total Quantity of Rolls</t>
  </si>
  <si>
    <t>Number</t>
  </si>
  <si>
    <t>=?</t>
  </si>
  <si>
    <t>Multiplier</t>
  </si>
  <si>
    <t>Together</t>
  </si>
  <si>
    <t>1st leftover ft</t>
  </si>
  <si>
    <t>1st leftover quantity</t>
  </si>
  <si>
    <t>Total Leftovers</t>
  </si>
  <si>
    <t>2nd leftover ft</t>
  </si>
  <si>
    <t>2nd quantity</t>
  </si>
  <si>
    <t>Total Rolls Needed</t>
  </si>
  <si>
    <t>Total Quantity of rolls</t>
  </si>
  <si>
    <t>Count</t>
  </si>
  <si>
    <t>Remaining Quantity</t>
  </si>
  <si>
    <t>rolls total ft</t>
  </si>
  <si>
    <t>To Be Used</t>
  </si>
  <si>
    <t>Remaining Feet</t>
  </si>
  <si>
    <t>full length</t>
  </si>
  <si>
    <t>difference in linear ft</t>
  </si>
  <si>
    <t>number of pieces adjusting for linear ft</t>
  </si>
  <si>
    <t>Total number of pieces</t>
  </si>
  <si>
    <t>Quantity needed</t>
  </si>
  <si>
    <t>Name of rolls</t>
  </si>
  <si>
    <t># of rolls</t>
  </si>
  <si>
    <t># of pieces per roll</t>
  </si>
  <si>
    <t>Total # of pieces</t>
  </si>
  <si>
    <t># of linear feet it can do</t>
  </si>
  <si>
    <t>Name of pieces</t>
  </si>
  <si>
    <t>Name of other pieces</t>
  </si>
  <si>
    <t>Needed Linear feet</t>
  </si>
  <si>
    <t>Needed number of rolls</t>
  </si>
  <si>
    <t>Roll Length</t>
  </si>
  <si>
    <t>number of pieces</t>
  </si>
  <si>
    <t>Linear ft time Pieces</t>
  </si>
  <si>
    <t>12"</t>
  </si>
  <si>
    <t>W</t>
  </si>
  <si>
    <t>MATERIALS</t>
  </si>
  <si>
    <t>Q</t>
  </si>
  <si>
    <t>/?</t>
  </si>
  <si>
    <t>Actual Quantity</t>
  </si>
  <si>
    <t>Sum</t>
  </si>
  <si>
    <t>Total Over</t>
  </si>
  <si>
    <t>=SUM(((M7*PI())*2)/12)</t>
  </si>
  <si>
    <t>no cutting</t>
  </si>
  <si>
    <t>full linear ft</t>
  </si>
  <si>
    <t>needed per linear ft</t>
  </si>
  <si>
    <t>needed rolls per linear ft</t>
  </si>
  <si>
    <t>every 30 can do this many</t>
  </si>
  <si>
    <t>Cutting</t>
  </si>
  <si>
    <t>total IW ft</t>
  </si>
  <si>
    <t xml:space="preserve"> </t>
  </si>
  <si>
    <t>number of pieces using full</t>
  </si>
  <si>
    <t>Pieces needed</t>
  </si>
  <si>
    <t>how many pieces per linear foot</t>
  </si>
  <si>
    <t>how many pieces in total</t>
  </si>
  <si>
    <t>needed linear feet</t>
  </si>
  <si>
    <t>Leftover Pieces</t>
  </si>
  <si>
    <t>Quantity total for full linear ft</t>
  </si>
  <si>
    <t>Which covers</t>
  </si>
  <si>
    <t>total linear feet</t>
  </si>
  <si>
    <t>12" 15'</t>
  </si>
  <si>
    <t>12" 30'</t>
  </si>
  <si>
    <t>6" 20'</t>
  </si>
  <si>
    <t>No Cutting</t>
  </si>
  <si>
    <t>6 and 12 combo</t>
  </si>
  <si>
    <t>reversed</t>
  </si>
  <si>
    <t>Leftover pieces</t>
  </si>
  <si>
    <t>6-12 combo?</t>
  </si>
  <si>
    <t>cut?</t>
  </si>
  <si>
    <t>WIP</t>
  </si>
  <si>
    <t>Spiral Wrap Calculator</t>
  </si>
  <si>
    <t>Repair Length</t>
  </si>
  <si>
    <t>Length of Helix:</t>
  </si>
  <si>
    <t>Fabric Width</t>
  </si>
  <si>
    <t># of layers for Overlap in one pass</t>
  </si>
  <si>
    <t>Pitch</t>
  </si>
  <si>
    <t>n (number of turns)</t>
  </si>
  <si>
    <t>sqrt</t>
  </si>
  <si>
    <t>C (Circumference)</t>
  </si>
  <si>
    <t>Length of Helix</t>
  </si>
  <si>
    <t>Length of Helix with starting fabric</t>
  </si>
  <si>
    <t xml:space="preserve">Length of Helix:  </t>
  </si>
  <si>
    <t># of passes</t>
  </si>
  <si>
    <t>Legend:</t>
  </si>
  <si>
    <t>= Customer Input</t>
  </si>
  <si>
    <t>= Calculated Value</t>
  </si>
  <si>
    <t>V0.1 _ 3/23/2023</t>
  </si>
  <si>
    <t>Try Anything</t>
  </si>
  <si>
    <t>Linear feet to cover</t>
  </si>
  <si>
    <t>Fabric/Linear feet</t>
  </si>
  <si>
    <t>number of pieces using full per linear ft</t>
  </si>
  <si>
    <t>Name of Other Pieces</t>
  </si>
  <si>
    <t>X Width</t>
  </si>
  <si>
    <t>2X Width</t>
  </si>
  <si>
    <t>FULL LIST</t>
  </si>
  <si>
    <t>Removing 0's</t>
  </si>
  <si>
    <t>Compressed List</t>
  </si>
  <si>
    <t>New list with rules for black bars</t>
  </si>
  <si>
    <t>Removing k</t>
  </si>
  <si>
    <t>New list for calc sheet</t>
  </si>
  <si>
    <t>Wrinkle Bend / Buckle Defect</t>
  </si>
  <si>
    <t>--</t>
  </si>
  <si>
    <t/>
  </si>
  <si>
    <r>
      <rPr>
        <sz val="11"/>
        <color theme="1"/>
        <rFont val="Calibri"/>
        <family val="2"/>
      </rPr>
      <t>°</t>
    </r>
    <r>
      <rPr>
        <sz val="11"/>
        <color theme="1"/>
        <rFont val="Calibri"/>
        <family val="2"/>
        <scheme val="minor"/>
      </rPr>
      <t>C</t>
    </r>
  </si>
  <si>
    <t>X42</t>
  </si>
  <si>
    <t>Wrinkle Height</t>
  </si>
  <si>
    <t>Wrinkle Axial Length</t>
  </si>
  <si>
    <t>Wrinkle Circumferential Span</t>
  </si>
  <si>
    <t>deg</t>
  </si>
  <si>
    <t>Number of Wrinkles</t>
  </si>
  <si>
    <t>Distance between Wrinkles</t>
  </si>
  <si>
    <t>Safety Factor</t>
  </si>
  <si>
    <t>Factor applicable if using 1 000-h Data</t>
  </si>
  <si>
    <t>Number of Total Layers</t>
  </si>
  <si>
    <t>Axial Layers</t>
  </si>
  <si>
    <t>Hoop Layers</t>
  </si>
  <si>
    <t>Axial Fabric / Linear ft</t>
  </si>
  <si>
    <t>Hoop Fabric / Linear ft</t>
  </si>
  <si>
    <t>Total Axial Fabric Length</t>
  </si>
  <si>
    <t>Total Hoop Fabric Length</t>
  </si>
  <si>
    <t>Pt/Ft</t>
  </si>
  <si>
    <t>Wrinkle Bend / Buckle Calculations</t>
  </si>
  <si>
    <r>
      <t xml:space="preserve">These calculations follow equations in the </t>
    </r>
    <r>
      <rPr>
        <i/>
        <sz val="10"/>
        <color theme="1"/>
        <rFont val="Calibri"/>
        <family val="2"/>
        <scheme val="minor"/>
      </rPr>
      <t>ASME PCC-2-2018 Article 401 Nonmetallic Composite Repair Systems: High-Risk Applications</t>
    </r>
    <r>
      <rPr>
        <sz val="10"/>
        <color theme="1"/>
        <rFont val="Calibri"/>
        <family val="2"/>
        <scheme val="minor"/>
      </rPr>
      <t xml:space="preserve"> and the Modified Ln-Sec Equation from Kiefner &amp; Associates, Inc. Calculations are performed in English units.</t>
    </r>
  </si>
  <si>
    <t>%/%</t>
  </si>
  <si>
    <t>rad</t>
  </si>
  <si>
    <t>Ratio of Wrinkle Length to Wrinkle Height</t>
  </si>
  <si>
    <t>Ratio of Putty Length to Wrinkle Height</t>
  </si>
  <si>
    <t>Putty Axial Length</t>
  </si>
  <si>
    <t>Axial Modulus</t>
  </si>
  <si>
    <t>ft2/Pt</t>
  </si>
  <si>
    <t>WRINKLE REPAIR OUTPUTS</t>
  </si>
  <si>
    <t>Target Minimum Wrinkle Reduction of Stress</t>
  </si>
  <si>
    <t>Initial Count of Axial Layers</t>
  </si>
  <si>
    <t>(Multiples of 2)</t>
  </si>
  <si>
    <t>Initial Count of Hoop Layers</t>
  </si>
  <si>
    <t>(Axial Layers / 2)</t>
  </si>
  <si>
    <t>Pipe Modulus</t>
  </si>
  <si>
    <t>psi-in</t>
  </si>
  <si>
    <t>Composite Repair Modulus</t>
  </si>
  <si>
    <t>Unreinforced Stress / M</t>
  </si>
  <si>
    <t>psi / M</t>
  </si>
  <si>
    <t>Reinforced Stress / M</t>
  </si>
  <si>
    <t>Reduction of Stresses</t>
  </si>
  <si>
    <t>Final Count of Axial Layers</t>
  </si>
  <si>
    <t>Final Count of Hoop Layers</t>
  </si>
  <si>
    <t>WRINKLE REPAIR CALCULATIONS</t>
  </si>
  <si>
    <t>Adjust total repair wrap length to be a multiple of the roll size</t>
  </si>
  <si>
    <t>Total resin required * 1.1</t>
  </si>
  <si>
    <t>Total resin required * 1.1 (adjust units)</t>
  </si>
  <si>
    <t>Pt/ft</t>
  </si>
  <si>
    <t>Resin per length (amount of resin necessary per wrap segment) (adjust units)</t>
  </si>
  <si>
    <t>Data Validation Table</t>
  </si>
  <si>
    <t>API 5L Grade</t>
  </si>
  <si>
    <t>SMYS [psi]</t>
  </si>
  <si>
    <t>UTS [psi]</t>
  </si>
  <si>
    <t>Install Temperature [F]</t>
  </si>
  <si>
    <t>Ambient Temperature [F]</t>
  </si>
  <si>
    <t>Repair Linear Length [ft]</t>
  </si>
  <si>
    <t>Overlap [%]</t>
  </si>
  <si>
    <t>Service Factor, f</t>
  </si>
  <si>
    <t>Unit Conversions 
(base English)</t>
  </si>
  <si>
    <t>Hoop Modulus [psi]</t>
  </si>
  <si>
    <t>Axial Modulus [psi]</t>
  </si>
  <si>
    <t>Composite Strain [%]</t>
  </si>
  <si>
    <t>LT Composite Strength [psi]</t>
  </si>
  <si>
    <t>Layer Thickness [in]</t>
  </si>
  <si>
    <t>Resin Coverage [ft2/Qt]</t>
  </si>
  <si>
    <t>Roll Sizes Multiples [ft]</t>
  </si>
  <si>
    <t>Standard Width [in]</t>
  </si>
  <si>
    <t>Steel Pipe Modulus [psi]</t>
  </si>
  <si>
    <t>Defect Type</t>
  </si>
  <si>
    <t>Flaw Shape Parameter</t>
  </si>
  <si>
    <t>Wrinkle Reduction of Stress [%/%]</t>
  </si>
  <si>
    <t>Low</t>
  </si>
  <si>
    <t>High</t>
  </si>
  <si>
    <t>Error Code</t>
  </si>
  <si>
    <t>1 000-h Data</t>
  </si>
  <si>
    <t>1-Elliptical c-Equivalent</t>
  </si>
  <si>
    <t>A25</t>
  </si>
  <si>
    <t>&lt;</t>
  </si>
  <si>
    <t>Stagger</t>
  </si>
  <si>
    <t>Design Life Data</t>
  </si>
  <si>
    <t>Mechanical</t>
  </si>
  <si>
    <t>2-Rectangular</t>
  </si>
  <si>
    <t>[,]</t>
  </si>
  <si>
    <t>Spiral</t>
  </si>
  <si>
    <t>TimeWarp</t>
  </si>
  <si>
    <t>Wrinkle</t>
  </si>
  <si>
    <t>3-Elliptical</t>
  </si>
  <si>
    <t>B</t>
  </si>
  <si>
    <t>(,]</t>
  </si>
  <si>
    <t>Area</t>
  </si>
  <si>
    <t>X46</t>
  </si>
  <si>
    <t>(,)</t>
  </si>
  <si>
    <t>&gt;</t>
  </si>
  <si>
    <t>in2</t>
  </si>
  <si>
    <t>X56</t>
  </si>
  <si>
    <t>mm2</t>
  </si>
  <si>
    <t>X60</t>
  </si>
  <si>
    <t>Volume</t>
  </si>
  <si>
    <t>X65</t>
  </si>
  <si>
    <t>in3</t>
  </si>
  <si>
    <t>X80</t>
  </si>
  <si>
    <t>Timewarp</t>
  </si>
  <si>
    <t>tg</t>
  </si>
  <si>
    <t>C</t>
  </si>
  <si>
    <t>Energy</t>
  </si>
  <si>
    <t>ft-lb</t>
  </si>
  <si>
    <t>J</t>
  </si>
  <si>
    <t>#</t>
  </si>
  <si>
    <t>Error Message</t>
  </si>
  <si>
    <t>Note: Do NOT add or delete rows without careful consideration to the Calculations tabs. There are many calculations using VLOOKUP with hardcoded values that will need to be manually updated if any ordering is changed.
Feel free to EDIT existing cells in the tables, but do so at your own risk.</t>
  </si>
  <si>
    <t>Repair Ouputs Not Applicable</t>
  </si>
  <si>
    <t>Use Minimum 3 Wraps</t>
  </si>
  <si>
    <t>Defect depth must be less than wall thickness</t>
  </si>
  <si>
    <t>RPrimer = (FPrimer * (Length * 12) * Pi * (((D + 2 * TPrimer) / 2) ^ 2 - (D / 2) ^ 2)) * 0.017316</t>
  </si>
  <si>
    <t>Warming tents to be used during installation</t>
  </si>
  <si>
    <t>Consult Allan Edwards, Inc. for your application</t>
  </si>
  <si>
    <t>Please shade pipe and preparation area</t>
  </si>
  <si>
    <t>If Linear Length of Repair is 12 in, must use Layer over Layer as Application Technique</t>
  </si>
  <si>
    <t>Wrinkle length to height ratio exceeds putty length ratio</t>
  </si>
  <si>
    <t>GO TO 276 ROW FOR THE ACTUAL START</t>
  </si>
  <si>
    <t>Complete</t>
  </si>
  <si>
    <t>Reverse Calculated</t>
  </si>
  <si>
    <t>MAOP(using minimum P)</t>
  </si>
  <si>
    <t>TW</t>
  </si>
  <si>
    <t>OW Report</t>
  </si>
  <si>
    <t>calculated</t>
  </si>
  <si>
    <t>Supposed to be</t>
  </si>
  <si>
    <t>OmegaWrap</t>
  </si>
  <si>
    <t>SF</t>
  </si>
  <si>
    <t>Outside Diameter</t>
  </si>
  <si>
    <t>D</t>
  </si>
  <si>
    <t>PCC-2 Layers using f and slt</t>
  </si>
  <si>
    <t>ec, cyclic allowable strain</t>
  </si>
  <si>
    <t>PCC-2 Layers using ec</t>
  </si>
  <si>
    <t>Layers</t>
  </si>
  <si>
    <t>ec</t>
  </si>
  <si>
    <t>Wall thickness</t>
  </si>
  <si>
    <t>t</t>
  </si>
  <si>
    <t>Allowable Strain Max</t>
  </si>
  <si>
    <t>Pmax %</t>
  </si>
  <si>
    <t>Defect Depth %</t>
  </si>
  <si>
    <t>ISO Layers using ec</t>
  </si>
  <si>
    <t>P0</t>
  </si>
  <si>
    <t>PCC-2</t>
  </si>
  <si>
    <t>PD/2 - Sts</t>
  </si>
  <si>
    <t>ISO 24187</t>
  </si>
  <si>
    <t>2t</t>
  </si>
  <si>
    <t>SMYS of pipe</t>
  </si>
  <si>
    <t>s</t>
  </si>
  <si>
    <t>ec, cyclic allowable microstrain</t>
  </si>
  <si>
    <t>1/Ec</t>
  </si>
  <si>
    <t>Long term strength</t>
  </si>
  <si>
    <t>slt</t>
  </si>
  <si>
    <t xml:space="preserve"> lower confidence limit of the long-term
strength</t>
  </si>
  <si>
    <t>tmin</t>
  </si>
  <si>
    <t>P0 D</t>
  </si>
  <si>
    <t>Factor</t>
  </si>
  <si>
    <t>f</t>
  </si>
  <si>
    <t>1000 hour</t>
  </si>
  <si>
    <t>1/tmin</t>
  </si>
  <si>
    <t>A0</t>
  </si>
  <si>
    <t>Depth</t>
  </si>
  <si>
    <t>S0</t>
  </si>
  <si>
    <t>per layer thickness</t>
  </si>
  <si>
    <t>ISO 24817</t>
  </si>
  <si>
    <t>L^2</t>
  </si>
  <si>
    <t>Ec</t>
  </si>
  <si>
    <t>z</t>
  </si>
  <si>
    <t>ASME PCC-2 (2022) 401-3.4.5 Repair Laminate Allowable Stresses Determined by Performance Testing</t>
  </si>
  <si>
    <t>SF x S0</t>
  </si>
  <si>
    <t>remaining wall thickness</t>
  </si>
  <si>
    <t>ts</t>
  </si>
  <si>
    <t>Sflow</t>
  </si>
  <si>
    <t>Pressure calc</t>
  </si>
  <si>
    <t>P</t>
  </si>
  <si>
    <t>Sf x P0</t>
  </si>
  <si>
    <t>PD/2</t>
  </si>
  <si>
    <t>z^2</t>
  </si>
  <si>
    <t>ts*S</t>
  </si>
  <si>
    <t>PD/2-tsS</t>
  </si>
  <si>
    <t>Barlow eq for t_s</t>
  </si>
  <si>
    <t>1/f*slt</t>
  </si>
  <si>
    <t>Pf * D</t>
  </si>
  <si>
    <t>2 * S</t>
  </si>
  <si>
    <t>wondering if equivalent wall thickness</t>
  </si>
  <si>
    <t>M</t>
  </si>
  <si>
    <t>Safe operating pressure</t>
  </si>
  <si>
    <t>Layers (rounded)</t>
  </si>
  <si>
    <t>d/t</t>
  </si>
  <si>
    <t>Pf</t>
  </si>
  <si>
    <t>0.85*d/t</t>
  </si>
  <si>
    <t>ASME PCC-2 (2022) Cyclic Allowable Strains</t>
  </si>
  <si>
    <t>Number of cycles</t>
  </si>
  <si>
    <t>N</t>
  </si>
  <si>
    <t>Top</t>
  </si>
  <si>
    <t>Psafe</t>
  </si>
  <si>
    <t>Min % SMYS</t>
  </si>
  <si>
    <t>Max % SMYS</t>
  </si>
  <si>
    <t>Bottom</t>
  </si>
  <si>
    <t>Glass Transition Temperature</t>
  </si>
  <si>
    <t>Tg</t>
  </si>
  <si>
    <t>degrees C</t>
  </si>
  <si>
    <t>at 122F its</t>
  </si>
  <si>
    <t>at 100F its</t>
  </si>
  <si>
    <t>at 248F its</t>
  </si>
  <si>
    <t>S_F</t>
  </si>
  <si>
    <t>Design Temperature</t>
  </si>
  <si>
    <t>Td</t>
  </si>
  <si>
    <t>50C</t>
  </si>
  <si>
    <t>38C</t>
  </si>
  <si>
    <t>120C</t>
  </si>
  <si>
    <t>2*t*S_F</t>
  </si>
  <si>
    <t>Change T</t>
  </si>
  <si>
    <t>(Delta)T</t>
  </si>
  <si>
    <t>2 Sf t / D</t>
  </si>
  <si>
    <t>axial CTE of laminate</t>
  </si>
  <si>
    <t>aa</t>
  </si>
  <si>
    <t>1/C</t>
  </si>
  <si>
    <t>25 C to 50 C test</t>
  </si>
  <si>
    <t>hoop CTE of laminate</t>
  </si>
  <si>
    <t>ac</t>
  </si>
  <si>
    <t>past fatigue tests</t>
  </si>
  <si>
    <t>Armor Plate</t>
  </si>
  <si>
    <t>https://www.armorplateinc.com/wp-content/uploads/ASME-PCC-2-ISO-24817.pdf</t>
  </si>
  <si>
    <t>CTE of pipe</t>
  </si>
  <si>
    <t>as</t>
  </si>
  <si>
    <t>BSEE and PHMSA</t>
  </si>
  <si>
    <t>https://www.bsee.gov/sites/bsee.gov/files/research-reports/763af.pdf</t>
  </si>
  <si>
    <t>hoop</t>
  </si>
  <si>
    <t>ec0</t>
  </si>
  <si>
    <t>axial</t>
  </si>
  <si>
    <t>ea0</t>
  </si>
  <si>
    <t>Pressure max</t>
  </si>
  <si>
    <t>Pmax</t>
  </si>
  <si>
    <t>Pressure min</t>
  </si>
  <si>
    <t>Pmin</t>
  </si>
  <si>
    <t>Rc</t>
  </si>
  <si>
    <t>Rc^2</t>
  </si>
  <si>
    <t>logN</t>
  </si>
  <si>
    <t>2.888logN</t>
  </si>
  <si>
    <t>1/</t>
  </si>
  <si>
    <t>1-Rc^2</t>
  </si>
  <si>
    <t>+Rc^2</t>
  </si>
  <si>
    <t>fc</t>
  </si>
  <si>
    <t>si units</t>
  </si>
  <si>
    <t>Tm</t>
  </si>
  <si>
    <t>= Tg - 20 C</t>
  </si>
  <si>
    <t>not leaking</t>
  </si>
  <si>
    <t>Tm-Td</t>
  </si>
  <si>
    <t>(Tm-Td) ^2</t>
  </si>
  <si>
    <t>fT &lt;= 1</t>
  </si>
  <si>
    <t>fT max allowable</t>
  </si>
  <si>
    <t>fT ec0 hoop</t>
  </si>
  <si>
    <t>fT ea0 axial</t>
  </si>
  <si>
    <t>as-ac hoop</t>
  </si>
  <si>
    <t>as-aa axial</t>
  </si>
  <si>
    <t>ChangeT (as-ac) hoop</t>
  </si>
  <si>
    <t>ChangeT (as-aa) axial</t>
  </si>
  <si>
    <t>ec noncyclic</t>
  </si>
  <si>
    <t>= fT ec0 - ChangeT (as-ac) 10a hoop</t>
  </si>
  <si>
    <t>ea noncyclic</t>
  </si>
  <si>
    <t>= fT ea0 - ChangeT (as-aa) 10b axial</t>
  </si>
  <si>
    <t>ec cyclic allowable strain</t>
  </si>
  <si>
    <t>= 10a * fc hoop</t>
  </si>
  <si>
    <t>ea cyclic allowable strain</t>
  </si>
  <si>
    <t>=10b * fc axial</t>
  </si>
  <si>
    <t>ASME PCC-2 (2022) 401-3.4.3.2 Underlying Substrate Yields</t>
  </si>
  <si>
    <t>PD/2-s*ts</t>
  </si>
  <si>
    <t>Ec*ec</t>
  </si>
  <si>
    <t>ISO 24817 (2017-08) 7.5.9.2 Cyclic Loading</t>
  </si>
  <si>
    <t>7.5.4 Design based on substrate load sharing (defect type A)</t>
  </si>
  <si>
    <t xml:space="preserve">7.5.4.2 Limited by allowable strain in the repair laminate
</t>
  </si>
  <si>
    <t>7.5.5 Design based on repair laminate allowable strains (defect type A)</t>
  </si>
  <si>
    <t>tdesign</t>
  </si>
  <si>
    <t>design thickness of repair laminate = tmin</t>
  </si>
  <si>
    <t>Peq</t>
  </si>
  <si>
    <t>allowable repair laminate hoop strain derived from 7.5.5 or 7.5.6</t>
  </si>
  <si>
    <t>7.5.5 for ec</t>
  </si>
  <si>
    <t>Use of the design method in this subclause is appropriate if the contribution of the substrate is to be
ignored in the calcu lation for load-carrying capability and if short-term material properties are to be used.</t>
  </si>
  <si>
    <t>Ea</t>
  </si>
  <si>
    <t>0.5*Ec</t>
  </si>
  <si>
    <t>Repair Design Lifetime</t>
  </si>
  <si>
    <t>tlifetime</t>
  </si>
  <si>
    <t>Allowable Strain Class 1</t>
  </si>
  <si>
    <t>Class 1</t>
  </si>
  <si>
    <t>All include a service factor for safety equivalent to 0.67</t>
  </si>
  <si>
    <t>Allowable Strain Class 2</t>
  </si>
  <si>
    <t>Class 2</t>
  </si>
  <si>
    <t>Allowable Strain Class 3</t>
  </si>
  <si>
    <t>Class 3</t>
  </si>
  <si>
    <t>Upper temperature limit for the system in Table 6</t>
  </si>
  <si>
    <t>required design temperature</t>
  </si>
  <si>
    <t>Tm - Td</t>
  </si>
  <si>
    <t>(Tm - Td)^2</t>
  </si>
  <si>
    <t>Temperature Factor</t>
  </si>
  <si>
    <t>fT1</t>
  </si>
  <si>
    <t>change T * (as - ac) hoop</t>
  </si>
  <si>
    <t>change T * (as - aa) axial</t>
  </si>
  <si>
    <t>fT1ec0 Class 1 hoop</t>
  </si>
  <si>
    <t>fT1ec0 Class 2 hoop</t>
  </si>
  <si>
    <t>fT1ec0 Class 3 hoop</t>
  </si>
  <si>
    <t>fT1ea0 Class 1 axial</t>
  </si>
  <si>
    <t>fT1ea0 Class 2 axial</t>
  </si>
  <si>
    <t>fT1ea0 Class 3 axial</t>
  </si>
  <si>
    <t>Hoop Strain non-cyclic class 1</t>
  </si>
  <si>
    <t>ec,non-cyclic</t>
  </si>
  <si>
    <t>Class 1 hoop</t>
  </si>
  <si>
    <t>Hoop Strain non-cyclic class 2</t>
  </si>
  <si>
    <t>Class 2 hoop</t>
  </si>
  <si>
    <t>Hoop Strain non-cyclic class 3</t>
  </si>
  <si>
    <t>Class 3 hoop</t>
  </si>
  <si>
    <t>Axial Strain non-cyclic class 1</t>
  </si>
  <si>
    <t>ea,non-cyclic</t>
  </si>
  <si>
    <t>Class 1 Axial</t>
  </si>
  <si>
    <t>Axial Strain non-cyclic class 2</t>
  </si>
  <si>
    <t>Class 2 Axial</t>
  </si>
  <si>
    <t>Axial Strain non-cyclic class 3</t>
  </si>
  <si>
    <t>Class 3 Axial</t>
  </si>
  <si>
    <t>Pmin/Pmax</t>
  </si>
  <si>
    <t>Rc - 1</t>
  </si>
  <si>
    <t>150 * 10^6</t>
  </si>
  <si>
    <t>Log(150 * 10^6)</t>
  </si>
  <si>
    <t>Log(7000)</t>
  </si>
  <si>
    <t>Log(150 * 10^6) - Log(7000)</t>
  </si>
  <si>
    <t>Rc - 1 / Log(150 * 10^6) - Log(7000)</t>
  </si>
  <si>
    <t>*1.25</t>
  </si>
  <si>
    <t>Log(N)</t>
  </si>
  <si>
    <t>*Log(N)</t>
  </si>
  <si>
    <t>tan</t>
  </si>
  <si>
    <t>*log(7000)</t>
  </si>
  <si>
    <t>Hoop Strain cyclic class 1</t>
  </si>
  <si>
    <t>ec,cyclic</t>
  </si>
  <si>
    <t>Hoop Strain cyclic class 2</t>
  </si>
  <si>
    <t>Hoop Strain cyclic class 3</t>
  </si>
  <si>
    <t>Axial Strain cyclic class 1</t>
  </si>
  <si>
    <t>ea,cyclic</t>
  </si>
  <si>
    <t>Axial Strain cyclic class 2</t>
  </si>
  <si>
    <t>Axial Strain cyclic class 3</t>
  </si>
  <si>
    <t>Equivalent Design Pressure</t>
  </si>
  <si>
    <t>Maximum allowable Working Pressure</t>
  </si>
  <si>
    <t>Ps</t>
  </si>
  <si>
    <t>Peq - Ps</t>
  </si>
  <si>
    <t>Class 1 hoop 2*ec*Ec</t>
  </si>
  <si>
    <t>Class 2 hoop 2*ec*Ec</t>
  </si>
  <si>
    <t>Class 3 hoop 2*ec*Ec</t>
  </si>
  <si>
    <t>Class 1 hoop D/2*ec*Ec</t>
  </si>
  <si>
    <t>Class 2 hoop D/2*ec*Ec</t>
  </si>
  <si>
    <t>Class 3 hoop D/2*ec*Ec</t>
  </si>
  <si>
    <t>Hoop Thickness class 1</t>
  </si>
  <si>
    <t>Hoop Thickness class 2</t>
  </si>
  <si>
    <t>Hoop Thickness class 3</t>
  </si>
  <si>
    <t>Hoop Layers class 1</t>
  </si>
  <si>
    <t>Hoop Layers class 2</t>
  </si>
  <si>
    <t>Hoop Layers class 3</t>
  </si>
  <si>
    <t>Hoop Layers Rounded class 1</t>
  </si>
  <si>
    <t>Hoop Layers Rounded class 2</t>
  </si>
  <si>
    <t>Hoop Layers Rounded class 3</t>
  </si>
  <si>
    <t>55-60 years</t>
  </si>
  <si>
    <t>Conversion factors</t>
  </si>
  <si>
    <t>multiply by</t>
  </si>
  <si>
    <t>psi to MPa</t>
  </si>
  <si>
    <t>in to mm</t>
  </si>
  <si>
    <t>% deep</t>
  </si>
  <si>
    <t>d</t>
  </si>
  <si>
    <t>Max %SMYS</t>
  </si>
  <si>
    <t>Min %SMYS</t>
  </si>
  <si>
    <t>MPa</t>
  </si>
  <si>
    <t>E_steel</t>
  </si>
  <si>
    <t>T_g</t>
  </si>
  <si>
    <t>S_lt</t>
  </si>
  <si>
    <t>t_ply</t>
  </si>
  <si>
    <t>maximum operating/test temperature</t>
  </si>
  <si>
    <t>ChangeT</t>
  </si>
  <si>
    <t>maximum temperature change during test</t>
  </si>
  <si>
    <t>1000 hour data</t>
  </si>
  <si>
    <t>max temp</t>
  </si>
  <si>
    <t>Target Pressure</t>
  </si>
  <si>
    <t>Sa</t>
  </si>
  <si>
    <t>Beginning</t>
  </si>
  <si>
    <t>Y-Target</t>
  </si>
  <si>
    <t>&lt;20 years</t>
  </si>
  <si>
    <t>years</t>
  </si>
  <si>
    <t>Number of Cycles</t>
  </si>
  <si>
    <t>affected by N</t>
  </si>
  <si>
    <t>SF0</t>
  </si>
  <si>
    <t>around 5 - 20</t>
  </si>
  <si>
    <t>actual cycles / design cycles</t>
  </si>
  <si>
    <t>Strain Noncyclic</t>
  </si>
  <si>
    <t>R_year</t>
  </si>
  <si>
    <t>Kiefner Table 5-3</t>
  </si>
  <si>
    <t>cycle/year</t>
  </si>
  <si>
    <t>strain</t>
  </si>
  <si>
    <t>microstrain</t>
  </si>
  <si>
    <t>ISO</t>
  </si>
  <si>
    <t>Seeing mostly 100,000 and 250,000. needs to be a lot higher than 7,000</t>
  </si>
  <si>
    <t>N_Test</t>
  </si>
  <si>
    <t>Y_Target * R_year * SF0</t>
  </si>
  <si>
    <t>cycles</t>
  </si>
  <si>
    <t>Strain Zero</t>
  </si>
  <si>
    <t>Both PCC-2 and ISO 24817</t>
  </si>
  <si>
    <t>Upper temperature limit for the system in Table 6 (ISO)</t>
  </si>
  <si>
    <t>PCC-2 without strain</t>
  </si>
  <si>
    <t>PCC-2 stress</t>
  </si>
  <si>
    <t>1/(f*slt)</t>
  </si>
  <si>
    <t>Layers,slt,PCC-2</t>
  </si>
  <si>
    <t>Pmax_test</t>
  </si>
  <si>
    <t>tmin,PCC-2</t>
  </si>
  <si>
    <t>Pmin_test</t>
  </si>
  <si>
    <t>Max Allowable Strain Cyclic</t>
  </si>
  <si>
    <t>Layers (Rounded)</t>
  </si>
  <si>
    <t>Strain not yielded</t>
  </si>
  <si>
    <t>ISO Perf.</t>
  </si>
  <si>
    <t>ISO Perf. not verified</t>
  </si>
  <si>
    <t>name</t>
  </si>
  <si>
    <t>variable</t>
  </si>
  <si>
    <t>unit</t>
  </si>
  <si>
    <t>finished</t>
  </si>
  <si>
    <t>Strain yielded</t>
  </si>
  <si>
    <t>PCC-2 Way to Get tmin</t>
  </si>
  <si>
    <t>t_s</t>
  </si>
  <si>
    <t>SMYS*t_s</t>
  </si>
  <si>
    <t>fT</t>
  </si>
  <si>
    <t>PD/2 - SMYS*t_s</t>
  </si>
  <si>
    <t>ChangeP_test</t>
  </si>
  <si>
    <t>Pmax_test - Pmin_test</t>
  </si>
  <si>
    <t>Pressure SMYS</t>
  </si>
  <si>
    <t>PCC-2 and ISO</t>
  </si>
  <si>
    <t>PCC-2 strain</t>
  </si>
  <si>
    <t>1/ec,noncyclic</t>
  </si>
  <si>
    <t>1/ecEc</t>
  </si>
  <si>
    <t>ISO Perf</t>
  </si>
  <si>
    <t>1/ec_0</t>
  </si>
  <si>
    <t>max allowable is 1</t>
  </si>
  <si>
    <t>f perf</t>
  </si>
  <si>
    <t>ISO perf</t>
  </si>
  <si>
    <t>10a</t>
  </si>
  <si>
    <t>= fT ec0 - ChangeT (as-ac)</t>
  </si>
  <si>
    <t>max allowable cyclic strain</t>
  </si>
  <si>
    <t>= fc hoop *  (fT ec0 - ChangeT (as-ac))</t>
  </si>
  <si>
    <t>ec cyclic max allowable strain</t>
  </si>
  <si>
    <t>1/ec,cyclic</t>
  </si>
  <si>
    <t>for Repair Class 3</t>
  </si>
  <si>
    <t>t_lifetime</t>
  </si>
  <si>
    <t>&lt; 20 years</t>
  </si>
  <si>
    <t>ec0_ISO</t>
  </si>
  <si>
    <t>For Rc &gt; 0.4</t>
  </si>
  <si>
    <t>fc_ISO</t>
  </si>
  <si>
    <t>1.25·A·log(N_Test) + 1 − tan(1.25·A)·log(7000)</t>
  </si>
  <si>
    <t>ISO 24817 Performance Testing</t>
  </si>
  <si>
    <t>If substrate has not yielded</t>
  </si>
  <si>
    <t>p_test * D</t>
  </si>
  <si>
    <t>1/ec,perf,notyielded</t>
  </si>
  <si>
    <t>Ec*tmin</t>
  </si>
  <si>
    <t>Es*ts</t>
  </si>
  <si>
    <t>Sum*2</t>
  </si>
  <si>
    <t>95% lower confidence long term strain</t>
  </si>
  <si>
    <t>e_lt, not yielded</t>
  </si>
  <si>
    <t>If substrate has yielded</t>
  </si>
  <si>
    <t>p_test * D / 2</t>
  </si>
  <si>
    <t>1/ec,perf,yielded</t>
  </si>
  <si>
    <t>Sa*ts</t>
  </si>
  <si>
    <t>e_lt, yielded</t>
  </si>
  <si>
    <t>1000 hour data for ISO</t>
  </si>
  <si>
    <t>f_perf</t>
  </si>
  <si>
    <t>1/elt,notyielded</t>
  </si>
  <si>
    <t>elt,notyielded*Ec</t>
  </si>
  <si>
    <t>T_test-T_amb</t>
  </si>
  <si>
    <t>1/eltEc</t>
  </si>
  <si>
    <t xml:space="preserve">1/f* </t>
  </si>
  <si>
    <t>(0,0000625*[Tm − Td − (T_test − T_amb)]^2) + 0,00125[Tm − Td − (T_test − T_amb)] + 0,7</t>
  </si>
  <si>
    <t>[Tm − Td − (T_test − T_amb)]</t>
  </si>
  <si>
    <t>1/elt,yielded</t>
  </si>
  <si>
    <t>elt,yielded*Ec</t>
  </si>
  <si>
    <t>fT2</t>
  </si>
  <si>
    <t>ec,perf,ISO, not yielded</t>
  </si>
  <si>
    <t>ec,perf,ISO, yielded</t>
  </si>
  <si>
    <t>ec,perf,ISO, not yielded, cyclic</t>
  </si>
  <si>
    <t>max allowable strain</t>
  </si>
  <si>
    <t>ec,perf,ISO, yielded, cyclic</t>
  </si>
  <si>
    <t>1/ec,perf,ISO, not yielded, cyclic</t>
  </si>
  <si>
    <t>1/ec,perf,ISO, yielded, cyclic</t>
  </si>
  <si>
    <t>Modified ASME B31G</t>
  </si>
  <si>
    <t>D*t</t>
  </si>
  <si>
    <t>+1</t>
  </si>
  <si>
    <t>S_Flow</t>
  </si>
  <si>
    <t>1-0.85(d/t)</t>
  </si>
  <si>
    <t>P_f</t>
  </si>
  <si>
    <t>minimum remaining wall thickness</t>
  </si>
  <si>
    <t>t_s,equivalent</t>
  </si>
  <si>
    <t>Original MAOP</t>
  </si>
  <si>
    <t>Original SMYS</t>
  </si>
  <si>
    <t>%SMYS</t>
  </si>
  <si>
    <t>S_f &lt; SMYS</t>
  </si>
  <si>
    <t>if bad needs repair with SF</t>
  </si>
  <si>
    <t>SMYS / S0</t>
  </si>
  <si>
    <t>P_safe</t>
  </si>
  <si>
    <t>using SF = 1.25</t>
  </si>
  <si>
    <t>Ideas</t>
  </si>
  <si>
    <t>Status</t>
  </si>
  <si>
    <t>No more pints - Done</t>
  </si>
  <si>
    <t>Change it to where all calcs only do quarts from now on - priority</t>
  </si>
  <si>
    <t>Done</t>
  </si>
  <si>
    <t>Update formulas</t>
  </si>
  <si>
    <t>Update formulas on the mechanical page and corrosion page to match the ones on the MechCarbonPrice formulas</t>
  </si>
  <si>
    <t>not done</t>
  </si>
  <si>
    <t>corrosion calcs</t>
  </si>
  <si>
    <t>Rebranding</t>
  </si>
  <si>
    <t>Change logos, company info, contact info, colors, etc.</t>
  </si>
  <si>
    <t>Export PDF</t>
  </si>
  <si>
    <t>change the export function to name it the same as the filename.</t>
  </si>
  <si>
    <t>Long/Lat</t>
  </si>
  <si>
    <t>have longitude and lattitude figure location of repair.</t>
  </si>
  <si>
    <t>almost done</t>
  </si>
  <si>
    <t>Email Format</t>
  </si>
  <si>
    <t>Have template email populated with information from calculator for ease of quoting. (Spec for BW)</t>
  </si>
  <si>
    <t>Girth Welds</t>
  </si>
  <si>
    <t>Add girth weld functionality with calculations.</t>
  </si>
  <si>
    <t>Putty</t>
  </si>
  <si>
    <t>Add different putty calcs to calculator</t>
  </si>
  <si>
    <t>Wrinkle/Buckle  Calcs</t>
  </si>
  <si>
    <t>Add Winkle/Buckle functionality with calculations.</t>
  </si>
  <si>
    <t>Mechanical Tab defects</t>
  </si>
  <si>
    <t>Mechanical Tab should have checkboxes for what type of mechanical defect</t>
  </si>
  <si>
    <t>Girth weld</t>
  </si>
  <si>
    <t>add the two types</t>
  </si>
  <si>
    <t>%SMYS lowers wraps instead of increasing</t>
  </si>
  <si>
    <t>done</t>
  </si>
  <si>
    <t>cutting isolation wrap</t>
  </si>
  <si>
    <t>cut options for IW. 5' and 7.5' options</t>
  </si>
  <si>
    <t>add weight for Carbon and E-glass and Resin</t>
  </si>
  <si>
    <t>add cracks calc</t>
  </si>
  <si>
    <t>add plastic wrap formula</t>
  </si>
  <si>
    <t>layers to depth</t>
  </si>
  <si>
    <t>Main Company</t>
  </si>
  <si>
    <t>Company Name</t>
  </si>
  <si>
    <t>abbr</t>
  </si>
  <si>
    <t>address</t>
  </si>
  <si>
    <t>City</t>
  </si>
  <si>
    <t>State</t>
  </si>
  <si>
    <t>zip code</t>
  </si>
  <si>
    <t>Boardwalk</t>
  </si>
  <si>
    <t>Texas Gas Transmission, LLC</t>
  </si>
  <si>
    <t>TGT</t>
  </si>
  <si>
    <t>P. O. Box 20008</t>
  </si>
  <si>
    <t>Owensboro</t>
  </si>
  <si>
    <t>KY</t>
  </si>
  <si>
    <t>Gulf South Pipeline Company, LLC</t>
  </si>
  <si>
    <t>GSP</t>
  </si>
  <si>
    <t>1020 North Foxhall Road</t>
  </si>
  <si>
    <t>Madison</t>
  </si>
  <si>
    <t>MS</t>
  </si>
  <si>
    <t>Boardwalk Louisiana Midstream, LLC</t>
  </si>
  <si>
    <t>BLM</t>
  </si>
  <si>
    <t>2201 W Burton St</t>
  </si>
  <si>
    <t>Sulphur</t>
  </si>
  <si>
    <t xml:space="preserve">LA </t>
  </si>
  <si>
    <t>Boardwalk Petrochemical Pipeline, LLC</t>
  </si>
  <si>
    <t>BPP</t>
  </si>
  <si>
    <t>P.O. Box 20008</t>
  </si>
  <si>
    <t xml:space="preserve">KY </t>
  </si>
  <si>
    <t>Boardwalk Texas Intrastate, LLC</t>
  </si>
  <si>
    <t>BTI</t>
  </si>
  <si>
    <t>9 Greenway Plz Ste 2800</t>
  </si>
  <si>
    <t>Houston</t>
  </si>
  <si>
    <t xml:space="preserve">TX </t>
  </si>
  <si>
    <t>Bayou Ethane Pipeline, LLC</t>
  </si>
  <si>
    <t>BEP</t>
  </si>
  <si>
    <t>Boardwalk Louisiana Gas Transmission, LLC</t>
  </si>
  <si>
    <t>LGT</t>
  </si>
  <si>
    <t>Boardwalk Storage Company, LLC</t>
  </si>
  <si>
    <t>BSC</t>
  </si>
  <si>
    <t>Pipe Dia</t>
  </si>
  <si>
    <t>Hoop</t>
  </si>
  <si>
    <t>SUM</t>
  </si>
  <si>
    <t># of Layers</t>
  </si>
  <si>
    <t>Axial</t>
  </si>
  <si>
    <t>Layers Needed</t>
  </si>
  <si>
    <t>Length (in)</t>
  </si>
  <si>
    <t>Type of Fabric</t>
  </si>
  <si>
    <t>inches per piece</t>
  </si>
  <si>
    <t>ft per piece</t>
  </si>
  <si>
    <t>in (decimal)</t>
  </si>
  <si>
    <t>layer thickness</t>
  </si>
  <si>
    <t>Isolation:</t>
  </si>
  <si>
    <t>Isolation</t>
  </si>
  <si>
    <t>feet</t>
  </si>
  <si>
    <t>1st Layer</t>
  </si>
  <si>
    <t>the feet and inch is the amount needed for both layers</t>
  </si>
  <si>
    <t>Axial Seperate</t>
  </si>
  <si>
    <t>Hoop seperate</t>
  </si>
  <si>
    <t>2nd Layer</t>
  </si>
  <si>
    <t>3rd Layer</t>
  </si>
  <si>
    <t>4th Layer</t>
  </si>
  <si>
    <t>5th Layer</t>
  </si>
  <si>
    <t>6th Layer</t>
  </si>
  <si>
    <t>7th Layer</t>
  </si>
  <si>
    <t>8th Layer</t>
  </si>
  <si>
    <t>9th Layer</t>
  </si>
  <si>
    <t>total</t>
  </si>
  <si>
    <t>Total Amount of Each Fabric per Linear Foot</t>
  </si>
  <si>
    <t>Axial:</t>
  </si>
  <si>
    <t>Total for all hoop</t>
  </si>
  <si>
    <t>Hoop:</t>
  </si>
  <si>
    <t>Total Amount per Weld</t>
  </si>
  <si>
    <t>3rd</t>
  </si>
  <si>
    <t>1st 30</t>
  </si>
  <si>
    <t>1st 50</t>
  </si>
  <si>
    <t>Girth Weld Putty</t>
  </si>
  <si>
    <t>Pipe</t>
  </si>
  <si>
    <t>Girth Weld</t>
  </si>
  <si>
    <t>Girth Weld Height (h):</t>
  </si>
  <si>
    <t>Taper Length (each side) (L):</t>
  </si>
  <si>
    <t>(Assumed 4")</t>
  </si>
  <si>
    <t>Calculations</t>
  </si>
  <si>
    <t>Total (both sides):</t>
  </si>
  <si>
    <r>
      <t>in</t>
    </r>
    <r>
      <rPr>
        <vertAlign val="superscript"/>
        <sz val="11"/>
        <rFont val="Calibri"/>
        <family val="2"/>
        <scheme val="minor"/>
      </rPr>
      <t>3</t>
    </r>
  </si>
  <si>
    <t>Girth Weld Height</t>
  </si>
  <si>
    <t>h</t>
  </si>
  <si>
    <t>Putty Amount:</t>
  </si>
  <si>
    <t>Putty (Pts):</t>
  </si>
  <si>
    <t>Kits</t>
  </si>
  <si>
    <t>New Diameter</t>
  </si>
  <si>
    <t>D+2h</t>
  </si>
  <si>
    <t>Average Diameter</t>
  </si>
  <si>
    <t xml:space="preserve">(D+(D+h))/2 = D+h </t>
  </si>
  <si>
    <t>average circumference</t>
  </si>
  <si>
    <t>pi*(D+h)</t>
  </si>
  <si>
    <t>Total (both sides)</t>
  </si>
  <si>
    <t>pi*(D+h)*L*h</t>
  </si>
  <si>
    <t>cu in</t>
  </si>
  <si>
    <t>1 quart</t>
  </si>
  <si>
    <t>1 pint</t>
  </si>
  <si>
    <t>Quarts</t>
  </si>
  <si>
    <t>qts</t>
  </si>
  <si>
    <t>Pints</t>
  </si>
  <si>
    <t>pts</t>
  </si>
  <si>
    <t>MIN Quantity</t>
  </si>
  <si>
    <t>MIN Width</t>
  </si>
  <si>
    <t>MAX SUM</t>
  </si>
  <si>
    <t>Optimal Based On Materials</t>
  </si>
  <si>
    <t>Decisions</t>
  </si>
  <si>
    <t>Individual Length</t>
  </si>
  <si>
    <t>Overall Length</t>
  </si>
  <si>
    <t>Overall Quantity</t>
  </si>
  <si>
    <t>Overall Width</t>
  </si>
  <si>
    <t>MIN Individual Length</t>
  </si>
  <si>
    <t>MIN Length</t>
  </si>
  <si>
    <t>New SUM</t>
  </si>
  <si>
    <t>3 6"</t>
  </si>
  <si>
    <t>12" + 6"</t>
  </si>
  <si>
    <t>6"</t>
  </si>
  <si>
    <t>Isolation Wrap (Combo)</t>
  </si>
  <si>
    <t>Isolation Wrap (Full) (No Rules)</t>
  </si>
  <si>
    <t>Isolation Wrap (Cut)</t>
  </si>
  <si>
    <t>Decision</t>
  </si>
  <si>
    <t>HOOP WITH AXIAL</t>
  </si>
  <si>
    <t>Same Quantity?</t>
  </si>
  <si>
    <t>Majority Total</t>
  </si>
  <si>
    <t>Majority Difference</t>
  </si>
  <si>
    <t>Majority Quantity</t>
  </si>
  <si>
    <t>Majority Feet</t>
  </si>
  <si>
    <t>Actual Min</t>
  </si>
  <si>
    <t>Leftovers Total</t>
  </si>
  <si>
    <t>Leftovers Difference</t>
  </si>
  <si>
    <t>Leftovers Multiplied</t>
  </si>
  <si>
    <t>Leftovers Quantity</t>
  </si>
  <si>
    <t>Leftovers Feet</t>
  </si>
  <si>
    <t>Leftovers and Majority Total Feet per Quantity</t>
  </si>
  <si>
    <t>Totals Axial (Usable)</t>
  </si>
  <si>
    <t>Linear Ft</t>
  </si>
  <si>
    <t>Hoop (Full)</t>
  </si>
  <si>
    <t>Hoop (Cut)</t>
  </si>
  <si>
    <t>Hoop (Only)</t>
  </si>
  <si>
    <t>Hoop Full</t>
  </si>
  <si>
    <t>Hoop Only</t>
  </si>
  <si>
    <t>AXIAL WITH HOOP</t>
  </si>
  <si>
    <t>Axial (Full)</t>
  </si>
  <si>
    <t>Axial (Cut)</t>
  </si>
  <si>
    <t>Axial Full</t>
  </si>
  <si>
    <t>Number of layers</t>
  </si>
  <si>
    <t>Actual</t>
  </si>
  <si>
    <t>Alternating</t>
  </si>
  <si>
    <t>Linear feet for Carbon</t>
  </si>
  <si>
    <t>Carbon/Linear feet rounded</t>
  </si>
  <si>
    <t>BOTH</t>
  </si>
  <si>
    <t>Carbon/Linear feet rounded H</t>
  </si>
  <si>
    <t>Carbon/Linear feet rounded A</t>
  </si>
  <si>
    <t>Both HOOP and AXIAL</t>
  </si>
  <si>
    <t>Girth Weld (Hoop and Axial)</t>
  </si>
  <si>
    <t>Type</t>
  </si>
  <si>
    <t>OVERFLOW HOOP</t>
  </si>
  <si>
    <t>OVERFLOW AXIAL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</si>
</sst>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8" formatCode="&quot;$&quot;#,##0.00_);[Red]\(&quot;$&quot;#,##0.00\)"/>
    <numFmt numFmtId="44" formatCode="_(&quot;$&quot;* #,##0.00_);_(&quot;$&quot;* \(#,##0.00\);_(&quot;$&quot;* &quot;-&quot;??_);_(@_)"/>
    <numFmt numFmtId="164" formatCode="0.000"/>
    <numFmt numFmtId="165" formatCode="0.0"/>
    <numFmt numFmtId="166" formatCode="0.000000"/>
    <numFmt numFmtId="167" formatCode="0.00000"/>
    <numFmt numFmtId="168" formatCode="[&lt;=9999999]###\-####;\(###\)\ ###\-####"/>
    <numFmt numFmtId="169" formatCode="0;\-0;;@"/>
    <numFmt numFmtId="170" formatCode="0.00000000000"/>
    <numFmt numFmtId="171" formatCode="0.0000"/>
    <numFmt numFmtId="172" formatCode="_(* #,##0_);_(* \(#,##0\);_(* &quot;-&quot;??_);_(@_)"/>
    <numFmt numFmtId="173" formatCode="_(* #,##0_);_(* \(#,##0\);_(* &quot;-&quot;?_);_(@_)"/>
    <numFmt numFmtId="174" formatCode="_(* #,##0.0000000_);_(* \(#,##0.0000000\);_(* &quot;-&quot;??_);_(@_)"/>
    <numFmt numFmtId="175" formatCode="_(* #,##0.00000000_);_(* \(#,##0.00000000\);_(* &quot;-&quot;??_);_(@_)"/>
    <numFmt numFmtId="176" formatCode="_(* #,##0.00000000_);_(* \(#,##0.00000000\);_(* &quot;-&quot;????????_);_(@_)"/>
    <numFmt numFmtId="177" formatCode="0.000000000"/>
    <numFmt numFmtId="178" formatCode="_(* #,##0.000000000_);_(* \(#,##0.000000000\);_(* &quot;-&quot;??_);_(@_)"/>
    <numFmt numFmtId="179" formatCode="_(* #,##0.0000000_);_(* \(#,##0.0000000\);_(* &quot;-&quot;???????_);_(@_)"/>
    <numFmt numFmtId="180" formatCode="0.00000000"/>
    <numFmt numFmtId="181" formatCode="0.0000000000"/>
    <numFmt numFmtId="182" formatCode="0.0000000"/>
    <numFmt numFmtId="183" formatCode="0.0000000000000"/>
    <numFmt numFmtId="184" formatCode="0.000000000000000"/>
    <numFmt numFmtId="185" formatCode="0.0000000000000000"/>
    <numFmt numFmtId="186" formatCode="0.00000000000000000"/>
    <numFmt numFmtId="187" formatCode="0.00000000000000"/>
  </numFmts>
  <fonts count="65">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sz val="28"/>
      <color theme="0"/>
      <name val="Calibri"/>
      <family val="2"/>
      <scheme val="minor"/>
    </font>
    <font>
      <b/>
      <sz val="12"/>
      <color theme="0"/>
      <name val="Calibri"/>
      <family val="2"/>
      <scheme val="minor"/>
    </font>
    <font>
      <sz val="18"/>
      <color theme="0"/>
      <name val="Calibri"/>
      <family val="2"/>
      <scheme val="minor"/>
    </font>
    <font>
      <sz val="10"/>
      <name val="Calibri"/>
      <family val="2"/>
      <scheme val="minor"/>
    </font>
    <font>
      <b/>
      <sz val="10"/>
      <name val="Calibri"/>
      <family val="2"/>
      <scheme val="minor"/>
    </font>
    <font>
      <i/>
      <sz val="10"/>
      <color theme="1"/>
      <name val="Calibri"/>
      <family val="2"/>
      <scheme val="minor"/>
    </font>
    <font>
      <sz val="11"/>
      <color theme="1"/>
      <name val="Calibri"/>
      <family val="2"/>
      <scheme val="minor"/>
    </font>
    <font>
      <vertAlign val="superscript"/>
      <sz val="11"/>
      <color theme="1"/>
      <name val="Calibri"/>
      <family val="2"/>
      <scheme val="minor"/>
    </font>
    <font>
      <b/>
      <sz val="10"/>
      <color rgb="FFFF0000"/>
      <name val="Calibri"/>
      <family val="2"/>
      <scheme val="minor"/>
    </font>
    <font>
      <b/>
      <sz val="20"/>
      <color theme="0"/>
      <name val="Calibri"/>
      <family val="2"/>
      <scheme val="minor"/>
    </font>
    <font>
      <b/>
      <sz val="16"/>
      <color theme="1"/>
      <name val="Calibri"/>
      <family val="2"/>
      <scheme val="minor"/>
    </font>
    <font>
      <b/>
      <sz val="11"/>
      <color rgb="FFFF0000"/>
      <name val="Calibri"/>
      <family val="2"/>
      <scheme val="minor"/>
    </font>
    <font>
      <sz val="12"/>
      <name val="Calibri"/>
      <family val="2"/>
      <scheme val="minor"/>
    </font>
    <font>
      <sz val="11"/>
      <color theme="1"/>
      <name val="Calibri"/>
      <family val="2"/>
    </font>
    <font>
      <sz val="9"/>
      <color theme="1"/>
      <name val="Calibri"/>
      <family val="2"/>
      <scheme val="minor"/>
    </font>
    <font>
      <sz val="8"/>
      <color theme="1"/>
      <name val="Calibri"/>
      <family val="2"/>
      <scheme val="minor"/>
    </font>
    <font>
      <i/>
      <sz val="11"/>
      <color theme="1"/>
      <name val="Calibri"/>
      <family val="2"/>
      <scheme val="minor"/>
    </font>
    <font>
      <sz val="8"/>
      <name val="Calibri"/>
      <family val="2"/>
      <scheme val="minor"/>
    </font>
    <font>
      <u/>
      <sz val="11"/>
      <color theme="10"/>
      <name val="Calibri"/>
      <family val="2"/>
      <scheme val="minor"/>
    </font>
    <font>
      <b/>
      <i/>
      <sz val="11"/>
      <color theme="1"/>
      <name val="Calibri"/>
      <family val="2"/>
      <scheme val="minor"/>
    </font>
    <font>
      <b/>
      <sz val="11"/>
      <color theme="0"/>
      <name val="Calibri"/>
      <family val="2"/>
      <scheme val="minor"/>
    </font>
    <font>
      <b/>
      <sz val="20"/>
      <color theme="1"/>
      <name val="Calibri"/>
      <family val="2"/>
      <scheme val="minor"/>
    </font>
    <font>
      <sz val="12"/>
      <color theme="1"/>
      <name val="Calibri"/>
      <family val="2"/>
      <scheme val="minor"/>
    </font>
    <font>
      <sz val="16"/>
      <color theme="1"/>
      <name val="Calibri"/>
      <family val="2"/>
      <scheme val="minor"/>
    </font>
    <font>
      <b/>
      <sz val="11"/>
      <color theme="7"/>
      <name val="Calibri"/>
      <family val="2"/>
      <scheme val="minor"/>
    </font>
    <font>
      <b/>
      <sz val="11"/>
      <color theme="9"/>
      <name val="Calibri"/>
      <family val="2"/>
      <scheme val="minor"/>
    </font>
    <font>
      <sz val="9"/>
      <color indexed="81"/>
      <name val="Tahoma"/>
      <family val="2"/>
    </font>
    <font>
      <b/>
      <sz val="10"/>
      <color theme="1"/>
      <name val="Calibri"/>
      <family val="2"/>
      <scheme val="minor"/>
    </font>
    <font>
      <b/>
      <i/>
      <sz val="14"/>
      <color theme="1"/>
      <name val="Calibri"/>
      <family val="2"/>
      <scheme val="minor"/>
    </font>
    <font>
      <sz val="11"/>
      <name val="Calibri"/>
      <family val="2"/>
      <scheme val="minor"/>
    </font>
    <font>
      <sz val="11"/>
      <color rgb="FFFF0000"/>
      <name val="Calibri"/>
      <family val="2"/>
      <scheme val="minor"/>
    </font>
    <font>
      <b/>
      <sz val="12"/>
      <color theme="1"/>
      <name val="Calibri"/>
      <family val="2"/>
      <scheme val="minor"/>
    </font>
    <font>
      <b/>
      <u/>
      <sz val="12"/>
      <color theme="1"/>
      <name val="Calibri"/>
      <family val="2"/>
      <scheme val="minor"/>
    </font>
    <font>
      <sz val="12"/>
      <color rgb="FF333333"/>
      <name val="Calibri"/>
      <family val="2"/>
      <scheme val="minor"/>
    </font>
    <font>
      <b/>
      <i/>
      <sz val="12"/>
      <color theme="1"/>
      <name val="Calibri"/>
      <family val="2"/>
      <scheme val="minor"/>
    </font>
    <font>
      <sz val="11"/>
      <color theme="0"/>
      <name val="Calibri"/>
      <family val="2"/>
      <scheme val="minor"/>
    </font>
    <font>
      <b/>
      <u/>
      <sz val="12"/>
      <color rgb="FF000000"/>
      <name val="Calibri"/>
      <family val="2"/>
      <scheme val="minor"/>
    </font>
    <font>
      <b/>
      <sz val="12"/>
      <color rgb="FF000000"/>
      <name val="Calibri"/>
      <family val="2"/>
      <scheme val="minor"/>
    </font>
    <font>
      <sz val="12"/>
      <color rgb="FF000000"/>
      <name val="Calibri"/>
      <family val="2"/>
      <scheme val="minor"/>
    </font>
    <font>
      <b/>
      <sz val="11"/>
      <color rgb="FF000000"/>
      <name val="Calibri"/>
      <family val="2"/>
      <scheme val="minor"/>
    </font>
    <font>
      <sz val="11"/>
      <color rgb="FF000000"/>
      <name val="Calibri"/>
      <family val="2"/>
      <scheme val="minor"/>
    </font>
    <font>
      <sz val="11"/>
      <color rgb="FF000000"/>
      <name val="Calibri"/>
      <family val="2"/>
    </font>
    <font>
      <sz val="11"/>
      <color rgb="FF000000"/>
      <name val="Aptos Narrow"/>
      <family val="2"/>
    </font>
    <font>
      <sz val="8"/>
      <color rgb="FF000000"/>
      <name val="Calibri"/>
      <family val="2"/>
      <scheme val="minor"/>
    </font>
    <font>
      <b/>
      <sz val="28"/>
      <color rgb="FF00B050"/>
      <name val="Calibri"/>
      <family val="2"/>
      <scheme val="minor"/>
    </font>
    <font>
      <b/>
      <sz val="11"/>
      <color theme="1"/>
      <name val="Calibri"/>
      <family val="2"/>
    </font>
    <font>
      <sz val="11"/>
      <color rgb="FFF2F2F2"/>
      <name val="Calibri"/>
      <family val="2"/>
      <scheme val="minor"/>
    </font>
    <font>
      <sz val="10"/>
      <color rgb="FF000000"/>
      <name val="Calibri"/>
      <family val="2"/>
    </font>
    <font>
      <sz val="11"/>
      <color rgb="FF000000"/>
      <name val="Consolas"/>
      <family val="3"/>
    </font>
    <font>
      <vertAlign val="superscript"/>
      <sz val="11"/>
      <name val="Calibri"/>
      <family val="2"/>
      <scheme val="minor"/>
    </font>
    <font>
      <sz val="11"/>
      <color rgb="FFFFFFFF"/>
      <name val="Calibri"/>
      <family val="2"/>
      <scheme val="minor"/>
    </font>
    <font>
      <sz val="11"/>
      <color theme="1"/>
      <name val="Consolas"/>
      <family val="3"/>
    </font>
    <font>
      <sz val="18"/>
      <color theme="1"/>
      <name val="Calibri"/>
      <family val="2"/>
      <scheme val="minor"/>
    </font>
    <font>
      <sz val="20"/>
      <color theme="1"/>
      <name val="Calibri"/>
      <family val="2"/>
      <scheme val="minor"/>
    </font>
    <font>
      <sz val="22"/>
      <color theme="1"/>
      <name val="Calibri"/>
      <family val="2"/>
      <scheme val="minor"/>
    </font>
    <font>
      <b/>
      <sz val="11"/>
      <color rgb="FF00B0F0"/>
      <name val="Calibri"/>
      <family val="2"/>
      <scheme val="minor"/>
    </font>
    <font>
      <sz val="10"/>
      <color rgb="FF00B0F0"/>
      <name val="Calibri"/>
      <family val="2"/>
      <scheme val="minor"/>
    </font>
    <font>
      <sz val="11"/>
      <color rgb="FF00B0F0"/>
      <name val="Calibri"/>
      <family val="2"/>
      <scheme val="minor"/>
    </font>
    <font>
      <sz val="11"/>
      <name val="Consolas"/>
      <family val="3"/>
    </font>
    <font>
      <b/>
      <u/>
      <sz val="11"/>
      <color theme="4" tint="-0.249977111117893"/>
      <name val="Calibri"/>
      <family val="2"/>
      <scheme val="minor"/>
    </font>
    <font>
      <vertAlign val="superscript"/>
      <sz val="11"/>
      <color rgb="FF000000"/>
      <name val="Calibri"/>
      <family val="2"/>
      <scheme val="minor"/>
    </font>
  </fonts>
  <fills count="34">
    <fill>
      <patternFill patternType="none"/>
    </fill>
    <fill>
      <patternFill patternType="gray125"/>
    </fill>
    <fill>
      <patternFill patternType="solid">
        <fgColor theme="0" tint="-4.9989318521683403E-2"/>
        <bgColor indexed="64"/>
      </patternFill>
    </fill>
    <fill>
      <patternFill patternType="solid">
        <fgColor rgb="FF009C4B"/>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FF00"/>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theme="7" tint="-0.499984740745262"/>
        <bgColor indexed="64"/>
      </patternFill>
    </fill>
    <fill>
      <patternFill patternType="solid">
        <fgColor rgb="FFFFC000"/>
        <bgColor indexed="64"/>
      </patternFill>
    </fill>
    <fill>
      <patternFill patternType="solid">
        <fgColor theme="0"/>
        <bgColor indexed="64"/>
      </patternFill>
    </fill>
    <fill>
      <patternFill patternType="solid">
        <fgColor rgb="FF92D050"/>
        <bgColor indexed="64"/>
      </patternFill>
    </fill>
    <fill>
      <patternFill patternType="solid">
        <fgColor theme="1"/>
        <bgColor indexed="64"/>
      </patternFill>
    </fill>
    <fill>
      <patternFill patternType="solid">
        <fgColor rgb="FFFFC000"/>
        <bgColor rgb="FF000000"/>
      </patternFill>
    </fill>
    <fill>
      <patternFill patternType="solid">
        <fgColor rgb="FFFFFFFF"/>
        <bgColor rgb="FF000000"/>
      </patternFill>
    </fill>
    <fill>
      <patternFill patternType="solid">
        <fgColor rgb="FF70AD47"/>
        <bgColor rgb="FF000000"/>
      </patternFill>
    </fill>
    <fill>
      <patternFill patternType="solid">
        <fgColor theme="9" tint="0.59999389629810485"/>
        <bgColor indexed="64"/>
      </patternFill>
    </fill>
    <fill>
      <patternFill patternType="solid">
        <fgColor theme="2"/>
        <bgColor indexed="64"/>
      </patternFill>
    </fill>
    <fill>
      <patternFill patternType="solid">
        <fgColor rgb="FFF2F2F2"/>
        <bgColor indexed="64"/>
      </patternFill>
    </fill>
    <fill>
      <patternFill patternType="solid">
        <fgColor rgb="FFFFF2CC"/>
        <bgColor indexed="64"/>
      </patternFill>
    </fill>
    <fill>
      <patternFill patternType="solid">
        <fgColor theme="6" tint="0.79998168889431442"/>
        <bgColor indexed="64"/>
      </patternFill>
    </fill>
    <fill>
      <patternFill patternType="solid">
        <fgColor rgb="FFC6E0B4"/>
        <bgColor indexed="64"/>
      </patternFill>
    </fill>
    <fill>
      <patternFill patternType="solid">
        <fgColor rgb="FFE2EFDA"/>
        <bgColor indexed="64"/>
      </patternFill>
    </fill>
    <fill>
      <patternFill patternType="solid">
        <fgColor theme="9"/>
        <bgColor indexed="64"/>
      </patternFill>
    </fill>
    <fill>
      <patternFill patternType="solid">
        <fgColor rgb="FFFFFF00"/>
        <bgColor rgb="FF000000"/>
      </patternFill>
    </fill>
    <fill>
      <patternFill patternType="solid">
        <fgColor rgb="FF00B0F0"/>
        <bgColor rgb="FF000000"/>
      </patternFill>
    </fill>
    <fill>
      <patternFill patternType="solid">
        <fgColor theme="4" tint="0.79998168889431442"/>
        <bgColor indexed="64"/>
      </patternFill>
    </fill>
    <fill>
      <patternFill patternType="solid">
        <fgColor theme="6" tint="0.59999389629810485"/>
        <bgColor indexed="64"/>
      </patternFill>
    </fill>
    <fill>
      <patternFill patternType="solid">
        <fgColor theme="6" tint="0.59999389629810485"/>
        <bgColor rgb="FF000000"/>
      </patternFill>
    </fill>
    <fill>
      <patternFill patternType="solid">
        <fgColor rgb="FFFF0000"/>
        <bgColor indexed="64"/>
      </patternFill>
    </fill>
    <fill>
      <patternFill patternType="solid">
        <fgColor theme="6"/>
        <bgColor indexed="64"/>
      </patternFill>
    </fill>
    <fill>
      <patternFill patternType="solid">
        <fgColor theme="1" tint="0.499984740745262"/>
        <bgColor indexed="64"/>
      </patternFill>
    </fill>
    <fill>
      <patternFill patternType="solid">
        <fgColor theme="2" tint="-9.9978637043366805E-2"/>
        <bgColor indexed="64"/>
      </patternFill>
    </fill>
  </fills>
  <borders count="203">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indexed="64"/>
      </left>
      <right style="thin">
        <color indexed="64"/>
      </right>
      <top style="thin">
        <color indexed="64"/>
      </top>
      <bottom style="thin">
        <color indexed="64"/>
      </bottom>
      <diagonal/>
    </border>
    <border>
      <left style="medium">
        <color auto="1"/>
      </left>
      <right style="thin">
        <color auto="1"/>
      </right>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bottom style="thin">
        <color rgb="FF000000"/>
      </bottom>
      <diagonal/>
    </border>
    <border>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rgb="FF000000"/>
      </right>
      <top style="medium">
        <color rgb="FF000000"/>
      </top>
      <bottom/>
      <diagonal/>
    </border>
    <border>
      <left style="thin">
        <color rgb="FF000000"/>
      </left>
      <right/>
      <top style="medium">
        <color rgb="FF000000"/>
      </top>
      <bottom/>
      <diagonal/>
    </border>
    <border>
      <left style="thin">
        <color rgb="FF000000"/>
      </left>
      <right/>
      <top style="medium">
        <color rgb="FF000000"/>
      </top>
      <bottom style="thin">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top style="medium">
        <color indexed="64"/>
      </top>
      <bottom/>
      <diagonal/>
    </border>
    <border>
      <left/>
      <right style="medium">
        <color rgb="FF000000"/>
      </right>
      <top style="medium">
        <color indexed="64"/>
      </top>
      <bottom/>
      <diagonal/>
    </border>
    <border>
      <left style="medium">
        <color rgb="FF000000"/>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rgb="FF000000"/>
      </left>
      <right style="thin">
        <color indexed="64"/>
      </right>
      <top style="medium">
        <color rgb="FF000000"/>
      </top>
      <bottom style="medium">
        <color rgb="FF000000"/>
      </bottom>
      <diagonal/>
    </border>
    <border>
      <left style="thin">
        <color indexed="64"/>
      </left>
      <right style="thin">
        <color indexed="64"/>
      </right>
      <top style="medium">
        <color rgb="FF000000"/>
      </top>
      <bottom style="medium">
        <color rgb="FF000000"/>
      </bottom>
      <diagonal/>
    </border>
    <border>
      <left style="thin">
        <color indexed="64"/>
      </left>
      <right/>
      <top style="medium">
        <color rgb="FF000000"/>
      </top>
      <bottom style="medium">
        <color rgb="FF000000"/>
      </bottom>
      <diagonal/>
    </border>
    <border>
      <left style="thin">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diagonal/>
    </border>
    <border>
      <left style="medium">
        <color rgb="FF000000"/>
      </left>
      <right style="thin">
        <color indexed="64"/>
      </right>
      <top style="medium">
        <color rgb="FF000000"/>
      </top>
      <bottom style="thin">
        <color indexed="64"/>
      </bottom>
      <diagonal/>
    </border>
    <border>
      <left/>
      <right style="thin">
        <color indexed="64"/>
      </right>
      <top style="medium">
        <color rgb="FF000000"/>
      </top>
      <bottom style="thin">
        <color indexed="64"/>
      </bottom>
      <diagonal/>
    </border>
    <border>
      <left/>
      <right style="thin">
        <color indexed="64"/>
      </right>
      <top style="thin">
        <color indexed="64"/>
      </top>
      <bottom style="medium">
        <color rgb="FF000000"/>
      </bottom>
      <diagonal/>
    </border>
    <border>
      <left/>
      <right style="medium">
        <color rgb="FF000000"/>
      </right>
      <top/>
      <bottom style="medium">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medium">
        <color rgb="FF000000"/>
      </bottom>
      <diagonal/>
    </border>
    <border>
      <left/>
      <right/>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medium">
        <color rgb="FF000000"/>
      </right>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rgb="FF000000"/>
      </right>
      <top style="medium">
        <color indexed="64"/>
      </top>
      <bottom style="medium">
        <color indexed="64"/>
      </bottom>
      <diagonal/>
    </border>
    <border>
      <left style="thin">
        <color rgb="FF000000"/>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style="medium">
        <color indexed="64"/>
      </left>
      <right/>
      <top style="thin">
        <color rgb="FF000000"/>
      </top>
      <bottom/>
      <diagonal/>
    </border>
    <border>
      <left/>
      <right style="medium">
        <color indexed="64"/>
      </right>
      <top style="thin">
        <color rgb="FF000000"/>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rgb="FF000000"/>
      </bottom>
      <diagonal/>
    </border>
    <border>
      <left/>
      <right style="thin">
        <color indexed="64"/>
      </right>
      <top style="medium">
        <color indexed="64"/>
      </top>
      <bottom style="medium">
        <color indexed="64"/>
      </bottom>
      <diagonal/>
    </border>
    <border>
      <left/>
      <right style="thin">
        <color rgb="FF000000"/>
      </right>
      <top style="medium">
        <color indexed="64"/>
      </top>
      <bottom style="medium">
        <color indexed="64"/>
      </bottom>
      <diagonal/>
    </border>
    <border>
      <left style="thin">
        <color rgb="FF000000"/>
      </left>
      <right/>
      <top style="medium">
        <color indexed="64"/>
      </top>
      <bottom style="medium">
        <color indexed="64"/>
      </bottom>
      <diagonal/>
    </border>
    <border>
      <left style="thin">
        <color rgb="FF000000"/>
      </left>
      <right style="medium">
        <color rgb="FF000000"/>
      </right>
      <top/>
      <bottom/>
      <diagonal/>
    </border>
    <border>
      <left/>
      <right style="thin">
        <color rgb="FF000000"/>
      </right>
      <top/>
      <bottom/>
      <diagonal/>
    </border>
    <border>
      <left/>
      <right/>
      <top style="thin">
        <color rgb="FF000000"/>
      </top>
      <bottom style="medium">
        <color rgb="FF000000"/>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top style="thin">
        <color rgb="FF000000"/>
      </top>
      <bottom style="thin">
        <color rgb="FF000000"/>
      </bottom>
      <diagonal/>
    </border>
    <border>
      <left/>
      <right style="medium">
        <color indexed="64"/>
      </right>
      <top style="thin">
        <color rgb="FF000000"/>
      </top>
      <bottom style="thin">
        <color rgb="FF000000"/>
      </bottom>
      <diagonal/>
    </border>
    <border>
      <left style="medium">
        <color indexed="64"/>
      </left>
      <right/>
      <top style="thin">
        <color rgb="FF000000"/>
      </top>
      <bottom style="medium">
        <color indexed="64"/>
      </bottom>
      <diagonal/>
    </border>
    <border>
      <left/>
      <right style="medium">
        <color indexed="64"/>
      </right>
      <top style="thin">
        <color rgb="FF000000"/>
      </top>
      <bottom style="medium">
        <color indexed="64"/>
      </bottom>
      <diagonal/>
    </border>
    <border>
      <left style="thin">
        <color rgb="FF000000"/>
      </left>
      <right/>
      <top/>
      <bottom/>
      <diagonal/>
    </border>
    <border>
      <left style="thin">
        <color rgb="FF000000"/>
      </left>
      <right/>
      <top/>
      <bottom style="thin">
        <color rgb="FF000000"/>
      </bottom>
      <diagonal/>
    </border>
    <border>
      <left style="medium">
        <color indexed="64"/>
      </left>
      <right style="medium">
        <color indexed="64"/>
      </right>
      <top style="medium">
        <color indexed="64"/>
      </top>
      <bottom style="dotted">
        <color indexed="64"/>
      </bottom>
      <diagonal/>
    </border>
    <border>
      <left style="medium">
        <color indexed="64"/>
      </left>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style="dotted">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dotted">
        <color indexed="64"/>
      </bottom>
      <diagonal/>
    </border>
    <border>
      <left/>
      <right style="medium">
        <color indexed="64"/>
      </right>
      <top style="dotted">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thin">
        <color rgb="FF000000"/>
      </right>
      <top style="thin">
        <color rgb="FF000000"/>
      </top>
      <bottom/>
      <diagonal/>
    </border>
    <border>
      <left style="medium">
        <color rgb="FF000000"/>
      </left>
      <right style="medium">
        <color rgb="FF000000"/>
      </right>
      <top/>
      <bottom style="medium">
        <color rgb="FF000000"/>
      </bottom>
      <diagonal/>
    </border>
    <border>
      <left style="medium">
        <color rgb="FF000000"/>
      </left>
      <right/>
      <top style="thin">
        <color rgb="FF000000"/>
      </top>
      <bottom/>
      <diagonal/>
    </border>
    <border>
      <left/>
      <right style="medium">
        <color rgb="FF000000"/>
      </right>
      <top style="thin">
        <color rgb="FF000000"/>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indexed="64"/>
      </left>
      <right style="medium">
        <color rgb="FF000000"/>
      </right>
      <top style="medium">
        <color rgb="FF000000"/>
      </top>
      <bottom/>
      <diagonal/>
    </border>
    <border>
      <left/>
      <right style="medium">
        <color indexed="64"/>
      </right>
      <top style="medium">
        <color rgb="FF000000"/>
      </top>
      <bottom/>
      <diagonal/>
    </border>
    <border>
      <left style="medium">
        <color indexed="64"/>
      </left>
      <right style="medium">
        <color rgb="FF000000"/>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style="medium">
        <color rgb="FF000000"/>
      </right>
      <top style="medium">
        <color indexed="64"/>
      </top>
      <bottom style="medium">
        <color indexed="64"/>
      </bottom>
      <diagonal/>
    </border>
    <border>
      <left style="medium">
        <color indexed="64"/>
      </left>
      <right style="medium">
        <color rgb="FF000000"/>
      </right>
      <top style="medium">
        <color indexed="64"/>
      </top>
      <bottom style="medium">
        <color rgb="FF000000"/>
      </bottom>
      <diagonal/>
    </border>
    <border>
      <left style="medium">
        <color indexed="64"/>
      </left>
      <right style="medium">
        <color rgb="FF000000"/>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top style="medium">
        <color rgb="FF000000"/>
      </top>
      <bottom style="medium">
        <color rgb="FF000000"/>
      </bottom>
      <diagonal/>
    </border>
    <border>
      <left/>
      <right style="medium">
        <color rgb="FF000000"/>
      </right>
      <top style="medium">
        <color indexed="64"/>
      </top>
      <bottom style="medium">
        <color rgb="FF000000"/>
      </bottom>
      <diagonal/>
    </border>
    <border>
      <left style="medium">
        <color rgb="FF000000"/>
      </left>
      <right style="medium">
        <color indexed="64"/>
      </right>
      <top style="medium">
        <color indexed="64"/>
      </top>
      <bottom/>
      <diagonal/>
    </border>
    <border>
      <left style="medium">
        <color rgb="FF000000"/>
      </left>
      <right style="medium">
        <color indexed="64"/>
      </right>
      <top/>
      <bottom style="medium">
        <color indexed="64"/>
      </bottom>
      <diagonal/>
    </border>
    <border>
      <left style="medium">
        <color rgb="FF000000"/>
      </left>
      <right style="medium">
        <color indexed="64"/>
      </right>
      <top style="medium">
        <color indexed="64"/>
      </top>
      <bottom style="medium">
        <color indexed="64"/>
      </bottom>
      <diagonal/>
    </border>
    <border>
      <left style="thin">
        <color rgb="FF000000"/>
      </left>
      <right/>
      <top style="thin">
        <color rgb="FF000000"/>
      </top>
      <bottom/>
      <diagonal/>
    </border>
    <border>
      <left/>
      <right style="thin">
        <color rgb="FF000000"/>
      </right>
      <top style="medium">
        <color indexed="64"/>
      </top>
      <bottom/>
      <diagonal/>
    </border>
    <border>
      <left style="thin">
        <color rgb="FF000000"/>
      </left>
      <right/>
      <top style="medium">
        <color indexed="64"/>
      </top>
      <bottom style="thin">
        <color rgb="FF000000"/>
      </bottom>
      <diagonal/>
    </border>
    <border>
      <left/>
      <right style="thin">
        <color rgb="FF000000"/>
      </right>
      <top style="medium">
        <color indexed="64"/>
      </top>
      <bottom style="thin">
        <color rgb="FF000000"/>
      </bottom>
      <diagonal/>
    </border>
    <border>
      <left/>
      <right style="thin">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rgb="FF000000"/>
      </left>
      <right/>
      <top style="thin">
        <color rgb="FF000000"/>
      </top>
      <bottom style="medium">
        <color indexed="64"/>
      </bottom>
      <diagonal/>
    </border>
    <border>
      <left/>
      <right style="thin">
        <color rgb="FF000000"/>
      </right>
      <top style="thin">
        <color rgb="FF000000"/>
      </top>
      <bottom style="medium">
        <color indexed="64"/>
      </bottom>
      <diagonal/>
    </border>
    <border>
      <left/>
      <right style="thin">
        <color indexed="64"/>
      </right>
      <top style="medium">
        <color indexed="64"/>
      </top>
      <bottom style="thin">
        <color indexed="64"/>
      </bottom>
      <diagonal/>
    </border>
    <border>
      <left style="thin">
        <color rgb="FF000000"/>
      </left>
      <right style="thin">
        <color rgb="FF000000"/>
      </right>
      <top style="medium">
        <color indexed="64"/>
      </top>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diagonal/>
    </border>
    <border>
      <left style="thin">
        <color indexed="64"/>
      </left>
      <right style="medium">
        <color rgb="FF000000"/>
      </right>
      <top style="thin">
        <color indexed="64"/>
      </top>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indexed="64"/>
      </right>
      <top/>
      <bottom style="thin">
        <color indexed="64"/>
      </bottom>
      <diagonal/>
    </border>
    <border>
      <left style="thin">
        <color indexed="64"/>
      </left>
      <right style="medium">
        <color rgb="FF000000"/>
      </right>
      <top/>
      <bottom style="thin">
        <color indexed="64"/>
      </bottom>
      <diagonal/>
    </border>
    <border>
      <left style="medium">
        <color rgb="FF000000"/>
      </left>
      <right style="thin">
        <color rgb="FF000000"/>
      </right>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thin">
        <color indexed="64"/>
      </right>
      <top/>
      <bottom style="thin">
        <color rgb="FF000000"/>
      </bottom>
      <diagonal/>
    </border>
    <border>
      <left style="thin">
        <color indexed="64"/>
      </left>
      <right style="thin">
        <color indexed="64"/>
      </right>
      <top/>
      <bottom style="thin">
        <color rgb="FF000000"/>
      </bottom>
      <diagonal/>
    </border>
    <border>
      <left style="thin">
        <color indexed="64"/>
      </left>
      <right style="thin">
        <color rgb="FF000000"/>
      </right>
      <top/>
      <bottom style="thin">
        <color rgb="FF000000"/>
      </bottom>
      <diagonal/>
    </border>
  </borders>
  <cellStyleXfs count="5">
    <xf numFmtId="0" fontId="0" fillId="0" borderId="0"/>
    <xf numFmtId="9" fontId="10" fillId="0" borderId="0" applyFont="0" applyFill="0" applyBorder="0" applyAlignment="0" applyProtection="0"/>
    <xf numFmtId="0" fontId="22" fillId="0" borderId="0" applyNumberFormat="0" applyFill="0" applyBorder="0" applyAlignment="0" applyProtection="0"/>
    <xf numFmtId="44" fontId="10" fillId="0" borderId="0" applyFont="0" applyFill="0" applyBorder="0" applyAlignment="0" applyProtection="0"/>
    <xf numFmtId="9" fontId="10" fillId="0" borderId="0" applyFont="0" applyFill="0" applyBorder="0" applyAlignment="0" applyProtection="0"/>
  </cellStyleXfs>
  <cellXfs count="1438">
    <xf numFmtId="0" fontId="0" fillId="0" borderId="0" xfId="0"/>
    <xf numFmtId="0" fontId="0" fillId="0" borderId="0" xfId="0" applyAlignment="1">
      <alignment horizontal="center" vertical="center"/>
    </xf>
    <xf numFmtId="0" fontId="0" fillId="0" borderId="0" xfId="0" applyProtection="1">
      <protection hidden="1"/>
    </xf>
    <xf numFmtId="0" fontId="7" fillId="0" borderId="15" xfId="0" applyFont="1" applyBorder="1" applyAlignment="1" applyProtection="1">
      <alignment horizontal="center" vertical="center"/>
      <protection hidden="1"/>
    </xf>
    <xf numFmtId="0" fontId="0" fillId="0" borderId="0" xfId="0" applyAlignment="1" applyProtection="1">
      <alignment horizontal="center" vertical="center"/>
      <protection hidden="1"/>
    </xf>
    <xf numFmtId="0" fontId="7" fillId="0" borderId="0" xfId="0" applyFont="1" applyAlignment="1" applyProtection="1">
      <alignment horizontal="center" vertical="center" wrapText="1"/>
      <protection hidden="1"/>
    </xf>
    <xf numFmtId="0" fontId="7" fillId="0" borderId="15" xfId="0" applyFont="1" applyBorder="1" applyAlignment="1" applyProtection="1">
      <alignment horizontal="center" vertical="center" wrapText="1"/>
      <protection hidden="1"/>
    </xf>
    <xf numFmtId="0" fontId="7" fillId="0" borderId="20" xfId="0" applyFont="1" applyBorder="1" applyAlignment="1" applyProtection="1">
      <alignment horizontal="center" vertical="center" wrapText="1"/>
      <protection hidden="1"/>
    </xf>
    <xf numFmtId="0" fontId="8" fillId="0" borderId="0" xfId="0" applyFont="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21" xfId="0" applyFont="1" applyBorder="1" applyAlignment="1" applyProtection="1">
      <alignment horizontal="center" vertical="center" wrapText="1"/>
      <protection hidden="1"/>
    </xf>
    <xf numFmtId="0" fontId="8" fillId="0" borderId="0" xfId="0" applyFont="1" applyAlignment="1" applyProtection="1">
      <alignment horizontal="center" vertical="center" wrapText="1"/>
      <protection hidden="1"/>
    </xf>
    <xf numFmtId="0" fontId="0" fillId="0" borderId="15" xfId="0" applyBorder="1" applyAlignment="1">
      <alignment horizontal="center" vertical="center"/>
    </xf>
    <xf numFmtId="0" fontId="0" fillId="0" borderId="20" xfId="0" applyBorder="1" applyAlignment="1">
      <alignment horizontal="center" vertical="center"/>
    </xf>
    <xf numFmtId="0" fontId="7" fillId="0" borderId="18" xfId="0" applyFont="1" applyBorder="1" applyAlignment="1" applyProtection="1">
      <alignment horizontal="center" vertical="center" wrapText="1"/>
      <protection hidden="1"/>
    </xf>
    <xf numFmtId="0" fontId="7" fillId="0" borderId="14" xfId="0" applyFont="1" applyBorder="1" applyAlignment="1" applyProtection="1">
      <alignment horizontal="center" vertical="center"/>
      <protection hidden="1"/>
    </xf>
    <xf numFmtId="0" fontId="7" fillId="0" borderId="21" xfId="0" applyFont="1" applyBorder="1" applyAlignment="1" applyProtection="1">
      <alignment horizontal="center" vertical="center"/>
      <protection hidden="1"/>
    </xf>
    <xf numFmtId="164" fontId="7" fillId="0" borderId="0" xfId="0" applyNumberFormat="1" applyFont="1" applyAlignment="1" applyProtection="1">
      <alignment horizontal="center" vertical="center"/>
      <protection hidden="1"/>
    </xf>
    <xf numFmtId="0" fontId="0" fillId="2" borderId="7" xfId="0" applyFill="1" applyBorder="1"/>
    <xf numFmtId="0" fontId="2" fillId="2" borderId="0" xfId="0" applyFont="1" applyFill="1" applyAlignment="1">
      <alignment horizontal="center" vertical="center"/>
    </xf>
    <xf numFmtId="0" fontId="0" fillId="5" borderId="0" xfId="0" applyFill="1" applyAlignment="1" applyProtection="1">
      <alignment horizontal="center" vertical="center"/>
      <protection locked="0"/>
    </xf>
    <xf numFmtId="0" fontId="0" fillId="2" borderId="0" xfId="0" applyFill="1" applyAlignment="1">
      <alignment horizontal="center" vertical="center"/>
    </xf>
    <xf numFmtId="0" fontId="0" fillId="2" borderId="0" xfId="0" applyFill="1"/>
    <xf numFmtId="0" fontId="0" fillId="2" borderId="7" xfId="0" applyFill="1" applyBorder="1" applyAlignment="1">
      <alignment horizontal="center" vertical="center"/>
    </xf>
    <xf numFmtId="0" fontId="0" fillId="2" borderId="0" xfId="0" applyFill="1" applyAlignment="1">
      <alignment horizontal="center"/>
    </xf>
    <xf numFmtId="0" fontId="3" fillId="0" borderId="0" xfId="0" applyFont="1" applyAlignment="1">
      <alignment horizontal="left" vertical="top" wrapText="1"/>
    </xf>
    <xf numFmtId="0" fontId="0" fillId="0" borderId="0" xfId="0" applyAlignment="1">
      <alignment horizontal="center" vertical="center" wrapText="1"/>
    </xf>
    <xf numFmtId="0" fontId="8" fillId="0" borderId="0" xfId="0" applyFont="1" applyAlignment="1">
      <alignment horizontal="center" vertical="center"/>
    </xf>
    <xf numFmtId="0" fontId="8" fillId="0" borderId="15" xfId="0" applyFont="1" applyBorder="1" applyAlignment="1">
      <alignment horizontal="center" vertical="center"/>
    </xf>
    <xf numFmtId="0" fontId="3" fillId="0" borderId="21" xfId="0" applyFont="1" applyBorder="1" applyAlignment="1">
      <alignment horizontal="left" vertical="top"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3" fillId="0" borderId="3" xfId="0" applyFont="1" applyBorder="1" applyAlignment="1">
      <alignment horizontal="left" vertical="top" wrapText="1"/>
    </xf>
    <xf numFmtId="0" fontId="3" fillId="0" borderId="1" xfId="0" applyFont="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25" xfId="0" applyBorder="1" applyAlignment="1">
      <alignment horizontal="center" vertical="center"/>
    </xf>
    <xf numFmtId="0" fontId="0" fillId="5" borderId="0" xfId="0" applyFill="1" applyAlignment="1">
      <alignment horizontal="center" vertical="center"/>
    </xf>
    <xf numFmtId="0" fontId="7" fillId="0" borderId="18" xfId="0" applyFont="1" applyBorder="1" applyAlignment="1" applyProtection="1">
      <alignment horizontal="center" vertical="center"/>
      <protection hidden="1"/>
    </xf>
    <xf numFmtId="164" fontId="0" fillId="5" borderId="0" xfId="0" applyNumberFormat="1" applyFill="1" applyAlignment="1" applyProtection="1">
      <alignment horizontal="center" vertical="center"/>
      <protection locked="0"/>
    </xf>
    <xf numFmtId="0" fontId="0" fillId="2" borderId="7" xfId="0" applyFill="1" applyBorder="1" applyAlignment="1">
      <alignment horizontal="center"/>
    </xf>
    <xf numFmtId="0" fontId="3" fillId="0" borderId="13" xfId="0" applyFont="1" applyBorder="1" applyAlignment="1">
      <alignment horizontal="left" vertical="top" wrapText="1"/>
    </xf>
    <xf numFmtId="0" fontId="0" fillId="0" borderId="13" xfId="0" applyBorder="1" applyAlignment="1">
      <alignment horizontal="center" vertical="center"/>
    </xf>
    <xf numFmtId="0" fontId="0" fillId="5" borderId="13" xfId="0" applyFill="1" applyBorder="1" applyAlignment="1">
      <alignment horizontal="center" vertical="center"/>
    </xf>
    <xf numFmtId="0" fontId="0" fillId="0" borderId="19" xfId="0" applyBorder="1" applyAlignment="1">
      <alignment horizontal="center" vertical="center"/>
    </xf>
    <xf numFmtId="0" fontId="7" fillId="0" borderId="0" xfId="0" applyFont="1" applyAlignment="1">
      <alignment horizontal="center" vertical="center"/>
    </xf>
    <xf numFmtId="0" fontId="0" fillId="0" borderId="21" xfId="0" applyBorder="1"/>
    <xf numFmtId="0" fontId="0" fillId="0" borderId="15" xfId="0" applyBorder="1"/>
    <xf numFmtId="164" fontId="3" fillId="0" borderId="0" xfId="0" applyNumberFormat="1" applyFont="1" applyAlignment="1">
      <alignment horizontal="center" vertical="center"/>
    </xf>
    <xf numFmtId="164" fontId="3" fillId="0" borderId="1"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0" fillId="4" borderId="0" xfId="0" applyNumberFormat="1" applyFill="1" applyAlignment="1">
      <alignment horizontal="center" vertical="center"/>
    </xf>
    <xf numFmtId="1" fontId="0" fillId="4" borderId="0" xfId="0" applyNumberFormat="1" applyFill="1" applyAlignment="1">
      <alignment horizontal="center" vertical="center"/>
    </xf>
    <xf numFmtId="0" fontId="7" fillId="0" borderId="26" xfId="0" applyFont="1" applyBorder="1" applyAlignment="1">
      <alignment horizontal="center" vertical="center"/>
    </xf>
    <xf numFmtId="0" fontId="7" fillId="0" borderId="27" xfId="0" applyFont="1" applyBorder="1" applyAlignment="1">
      <alignment horizontal="center" vertical="center"/>
    </xf>
    <xf numFmtId="0" fontId="8" fillId="0" borderId="27" xfId="0" applyFont="1" applyBorder="1" applyAlignment="1">
      <alignment horizontal="center" vertical="center" wrapText="1"/>
    </xf>
    <xf numFmtId="0" fontId="8" fillId="0" borderId="27" xfId="0" applyFont="1" applyBorder="1" applyAlignment="1">
      <alignment horizontal="center" vertical="center"/>
    </xf>
    <xf numFmtId="0" fontId="8" fillId="0" borderId="28" xfId="0" applyFont="1" applyBorder="1" applyAlignment="1">
      <alignment horizontal="center" vertical="center"/>
    </xf>
    <xf numFmtId="3" fontId="0" fillId="2" borderId="0" xfId="0" applyNumberFormat="1" applyFill="1" applyAlignment="1">
      <alignment horizontal="center" vertical="center"/>
    </xf>
    <xf numFmtId="164" fontId="0" fillId="2" borderId="0" xfId="1" applyNumberFormat="1" applyFont="1" applyFill="1" applyBorder="1" applyAlignment="1" applyProtection="1">
      <alignment horizontal="center" vertical="center"/>
    </xf>
    <xf numFmtId="164" fontId="0" fillId="5" borderId="0" xfId="0" applyNumberFormat="1" applyFill="1" applyAlignment="1">
      <alignment horizontal="center" vertical="center"/>
    </xf>
    <xf numFmtId="0" fontId="12" fillId="0" borderId="0" xfId="0" applyFont="1" applyAlignment="1">
      <alignment horizontal="center" vertical="center" wrapText="1"/>
    </xf>
    <xf numFmtId="1" fontId="3" fillId="0" borderId="0" xfId="0" applyNumberFormat="1" applyFont="1" applyAlignment="1">
      <alignment horizontal="center" vertical="center"/>
    </xf>
    <xf numFmtId="0" fontId="0" fillId="0" borderId="21" xfId="0" applyBorder="1" applyAlignment="1">
      <alignment horizontal="center" vertical="center"/>
    </xf>
    <xf numFmtId="0" fontId="3" fillId="0" borderId="14" xfId="0" applyFont="1" applyBorder="1" applyAlignment="1">
      <alignment horizontal="center" vertical="center" wrapText="1"/>
    </xf>
    <xf numFmtId="0" fontId="8" fillId="0" borderId="29" xfId="0" applyFont="1" applyBorder="1" applyAlignment="1">
      <alignment horizontal="center" vertical="center"/>
    </xf>
    <xf numFmtId="164" fontId="0" fillId="0" borderId="0" xfId="1" applyNumberFormat="1" applyFont="1" applyFill="1" applyBorder="1" applyAlignment="1" applyProtection="1">
      <alignment horizontal="center" vertical="center"/>
    </xf>
    <xf numFmtId="1" fontId="0" fillId="5" borderId="0" xfId="0" applyNumberFormat="1" applyFill="1" applyAlignment="1" applyProtection="1">
      <alignment horizontal="center" vertical="center"/>
      <protection locked="0"/>
    </xf>
    <xf numFmtId="1" fontId="0" fillId="5" borderId="1" xfId="0" applyNumberFormat="1" applyFill="1" applyBorder="1" applyAlignment="1">
      <alignment horizontal="center" vertical="center"/>
    </xf>
    <xf numFmtId="0" fontId="0" fillId="0" borderId="13" xfId="0" applyBorder="1" applyAlignment="1">
      <alignment horizontal="center" vertical="center" wrapText="1"/>
    </xf>
    <xf numFmtId="2" fontId="0" fillId="5" borderId="13" xfId="0" applyNumberFormat="1" applyFill="1" applyBorder="1" applyAlignment="1">
      <alignment horizontal="center" vertical="center"/>
    </xf>
    <xf numFmtId="2" fontId="0" fillId="5" borderId="0" xfId="0" applyNumberFormat="1" applyFill="1" applyAlignment="1">
      <alignment horizontal="center" vertical="center"/>
    </xf>
    <xf numFmtId="1" fontId="0" fillId="2" borderId="0" xfId="0" applyNumberFormat="1" applyFill="1" applyAlignment="1">
      <alignment horizontal="center"/>
    </xf>
    <xf numFmtId="0" fontId="3" fillId="0" borderId="0" xfId="0" applyFont="1" applyAlignment="1">
      <alignment vertical="center"/>
    </xf>
    <xf numFmtId="2" fontId="0" fillId="0" borderId="0" xfId="0" applyNumberFormat="1" applyAlignment="1">
      <alignment horizontal="center" vertical="center"/>
    </xf>
    <xf numFmtId="0" fontId="7" fillId="0" borderId="23" xfId="0" applyFont="1" applyBorder="1" applyAlignment="1" applyProtection="1">
      <alignment horizontal="center" vertical="center"/>
      <protection hidden="1"/>
    </xf>
    <xf numFmtId="0" fontId="8" fillId="0" borderId="33" xfId="0" applyFont="1" applyBorder="1" applyAlignment="1" applyProtection="1">
      <alignment horizontal="center" vertical="center" wrapText="1"/>
      <protection hidden="1"/>
    </xf>
    <xf numFmtId="0" fontId="8" fillId="0" borderId="34" xfId="0" applyFont="1" applyBorder="1" applyAlignment="1" applyProtection="1">
      <alignment horizontal="center" vertical="center" wrapText="1"/>
      <protection hidden="1"/>
    </xf>
    <xf numFmtId="0" fontId="8" fillId="0" borderId="35" xfId="0" applyFont="1" applyBorder="1" applyAlignment="1" applyProtection="1">
      <alignment horizontal="center" vertical="center" wrapText="1"/>
      <protection hidden="1"/>
    </xf>
    <xf numFmtId="0" fontId="0" fillId="0" borderId="3" xfId="0" applyBorder="1" applyAlignment="1">
      <alignment horizontal="center" vertical="center"/>
    </xf>
    <xf numFmtId="0" fontId="7" fillId="0" borderId="25" xfId="0" applyFont="1" applyBorder="1" applyAlignment="1" applyProtection="1">
      <alignment horizontal="center" vertical="center"/>
      <protection hidden="1"/>
    </xf>
    <xf numFmtId="0" fontId="7" fillId="0" borderId="14" xfId="0" applyFont="1" applyBorder="1" applyAlignment="1" applyProtection="1">
      <alignment horizontal="center" vertical="center" wrapText="1"/>
      <protection hidden="1"/>
    </xf>
    <xf numFmtId="0" fontId="15" fillId="0" borderId="1" xfId="0" applyFont="1" applyBorder="1" applyAlignment="1">
      <alignment horizontal="center" vertical="center" wrapText="1"/>
    </xf>
    <xf numFmtId="0" fontId="0" fillId="2" borderId="1" xfId="0" applyFill="1" applyBorder="1"/>
    <xf numFmtId="0" fontId="7" fillId="0" borderId="29" xfId="0" applyFont="1" applyBorder="1" applyAlignment="1" applyProtection="1">
      <alignment vertical="center"/>
      <protection hidden="1"/>
    </xf>
    <xf numFmtId="0" fontId="7" fillId="0" borderId="2" xfId="0" applyFont="1" applyBorder="1" applyAlignment="1" applyProtection="1">
      <alignment horizontal="center" vertical="center"/>
      <protection hidden="1"/>
    </xf>
    <xf numFmtId="0" fontId="0" fillId="2" borderId="0" xfId="0" applyFill="1" applyAlignment="1">
      <alignment horizontal="left" vertical="center"/>
    </xf>
    <xf numFmtId="0" fontId="20" fillId="2" borderId="0" xfId="0" applyFont="1" applyFill="1" applyAlignment="1">
      <alignment vertical="top"/>
    </xf>
    <xf numFmtId="0" fontId="3" fillId="0" borderId="14" xfId="0" applyFont="1" applyBorder="1" applyAlignment="1">
      <alignment horizontal="center" vertical="center"/>
    </xf>
    <xf numFmtId="0" fontId="3" fillId="0" borderId="18" xfId="0" applyFont="1" applyBorder="1" applyAlignment="1">
      <alignment horizontal="center" vertical="center"/>
    </xf>
    <xf numFmtId="1" fontId="0" fillId="4" borderId="13" xfId="0" applyNumberFormat="1" applyFill="1" applyBorder="1" applyAlignment="1">
      <alignment horizontal="center" vertical="center"/>
    </xf>
    <xf numFmtId="0" fontId="21" fillId="0" borderId="14" xfId="0" applyFont="1" applyBorder="1" applyAlignment="1">
      <alignment horizontal="right" vertical="center"/>
    </xf>
    <xf numFmtId="0" fontId="19" fillId="0" borderId="14" xfId="0" applyFont="1" applyBorder="1" applyAlignment="1">
      <alignment horizontal="right" vertical="center" wrapText="1"/>
    </xf>
    <xf numFmtId="2" fontId="0" fillId="2" borderId="0" xfId="0" applyNumberFormat="1" applyFill="1" applyAlignment="1">
      <alignment horizontal="center" vertical="center"/>
    </xf>
    <xf numFmtId="3" fontId="7" fillId="0" borderId="14" xfId="0" applyNumberFormat="1" applyFont="1" applyBorder="1" applyAlignment="1" applyProtection="1">
      <alignment horizontal="center" vertical="center"/>
      <protection hidden="1"/>
    </xf>
    <xf numFmtId="1" fontId="0" fillId="2" borderId="0" xfId="0" applyNumberFormat="1" applyFill="1" applyAlignment="1">
      <alignment horizontal="center" vertical="center"/>
    </xf>
    <xf numFmtId="1" fontId="0" fillId="4" borderId="4" xfId="0" applyNumberFormat="1" applyFill="1" applyBorder="1" applyAlignment="1">
      <alignment horizontal="center" vertical="center"/>
    </xf>
    <xf numFmtId="1" fontId="0" fillId="2" borderId="3" xfId="0" applyNumberFormat="1" applyFill="1" applyBorder="1" applyAlignment="1">
      <alignment horizontal="center" vertical="center"/>
    </xf>
    <xf numFmtId="1" fontId="0" fillId="2" borderId="3" xfId="0" applyNumberFormat="1" applyFill="1" applyBorder="1" applyAlignment="1">
      <alignment vertical="center"/>
    </xf>
    <xf numFmtId="1" fontId="0" fillId="2" borderId="5" xfId="0" applyNumberFormat="1" applyFill="1" applyBorder="1" applyAlignment="1">
      <alignment vertical="center"/>
    </xf>
    <xf numFmtId="0" fontId="0" fillId="4" borderId="6" xfId="0" applyFill="1" applyBorder="1" applyAlignment="1">
      <alignment horizontal="center" vertical="center"/>
    </xf>
    <xf numFmtId="1" fontId="0" fillId="4" borderId="6" xfId="0" applyNumberFormat="1" applyFill="1" applyBorder="1" applyAlignment="1">
      <alignment horizontal="center" vertical="center"/>
    </xf>
    <xf numFmtId="0" fontId="0" fillId="2" borderId="7" xfId="0" applyFill="1" applyBorder="1" applyAlignment="1">
      <alignment vertical="center"/>
    </xf>
    <xf numFmtId="0" fontId="23" fillId="2" borderId="0" xfId="0" applyFont="1" applyFill="1" applyAlignment="1">
      <alignment vertical="top"/>
    </xf>
    <xf numFmtId="2" fontId="0" fillId="5" borderId="0" xfId="0" applyNumberFormat="1" applyFill="1" applyAlignment="1" applyProtection="1">
      <alignment horizontal="center" vertical="center"/>
      <protection locked="0"/>
    </xf>
    <xf numFmtId="0" fontId="0" fillId="0" borderId="19" xfId="0" applyBorder="1" applyAlignment="1">
      <alignment horizontal="center" vertical="center" wrapText="1"/>
    </xf>
    <xf numFmtId="166" fontId="7" fillId="0" borderId="15" xfId="0" applyNumberFormat="1" applyFont="1" applyBorder="1" applyAlignment="1" applyProtection="1">
      <alignment horizontal="center" vertical="center"/>
      <protection hidden="1"/>
    </xf>
    <xf numFmtId="0" fontId="0" fillId="0" borderId="23" xfId="0" applyBorder="1" applyAlignment="1">
      <alignment horizontal="center" vertical="center"/>
    </xf>
    <xf numFmtId="0" fontId="0" fillId="0" borderId="0" xfId="0" applyAlignment="1">
      <alignment horizontal="right" vertical="center"/>
    </xf>
    <xf numFmtId="0" fontId="0" fillId="5" borderId="3" xfId="0" applyFill="1" applyBorder="1" applyAlignment="1">
      <alignment horizontal="center" vertical="center"/>
    </xf>
    <xf numFmtId="0" fontId="3" fillId="0" borderId="0" xfId="0" applyFont="1" applyAlignment="1">
      <alignment horizontal="center" vertical="center" wrapText="1"/>
    </xf>
    <xf numFmtId="165" fontId="7" fillId="0" borderId="0" xfId="0" applyNumberFormat="1" applyFont="1" applyAlignment="1" applyProtection="1">
      <alignment horizontal="center" vertical="center"/>
      <protection hidden="1"/>
    </xf>
    <xf numFmtId="0" fontId="19" fillId="0" borderId="18" xfId="0" applyFont="1" applyBorder="1" applyAlignment="1">
      <alignment horizontal="center" vertical="center" wrapText="1"/>
    </xf>
    <xf numFmtId="0" fontId="27" fillId="0" borderId="0" xfId="0" applyFont="1"/>
    <xf numFmtId="1" fontId="3" fillId="0" borderId="13" xfId="0" applyNumberFormat="1" applyFont="1" applyBorder="1" applyAlignment="1">
      <alignment horizontal="center" vertical="center"/>
    </xf>
    <xf numFmtId="0" fontId="2" fillId="2" borderId="0" xfId="0" applyFont="1" applyFill="1" applyAlignment="1">
      <alignment vertical="center"/>
    </xf>
    <xf numFmtId="0" fontId="2" fillId="2" borderId="7" xfId="0" applyFont="1" applyFill="1" applyBorder="1" applyAlignment="1">
      <alignment vertical="center"/>
    </xf>
    <xf numFmtId="0" fontId="13" fillId="7" borderId="10" xfId="0" applyFont="1" applyFill="1" applyBorder="1" applyAlignment="1">
      <alignment vertical="center"/>
    </xf>
    <xf numFmtId="0" fontId="13" fillId="7" borderId="2" xfId="0" applyFont="1" applyFill="1" applyBorder="1" applyAlignment="1">
      <alignment vertical="center"/>
    </xf>
    <xf numFmtId="0" fontId="24" fillId="7" borderId="2" xfId="0" applyFont="1" applyFill="1" applyBorder="1" applyAlignment="1">
      <alignment horizontal="right" vertical="center"/>
    </xf>
    <xf numFmtId="0" fontId="24" fillId="7" borderId="2" xfId="0" applyFont="1" applyFill="1" applyBorder="1" applyAlignment="1">
      <alignment vertical="center"/>
    </xf>
    <xf numFmtId="0" fontId="13" fillId="7" borderId="11" xfId="0" applyFont="1" applyFill="1" applyBorder="1" applyAlignment="1">
      <alignment vertical="center"/>
    </xf>
    <xf numFmtId="0" fontId="13" fillId="8" borderId="10" xfId="0" applyFont="1" applyFill="1" applyBorder="1" applyAlignment="1">
      <alignment vertical="center"/>
    </xf>
    <xf numFmtId="0" fontId="13" fillId="8" borderId="2" xfId="0" applyFont="1" applyFill="1" applyBorder="1" applyAlignment="1">
      <alignment vertical="center"/>
    </xf>
    <xf numFmtId="0" fontId="24" fillId="8" borderId="2" xfId="0" applyFont="1" applyFill="1" applyBorder="1" applyAlignment="1">
      <alignment horizontal="right" vertical="center"/>
    </xf>
    <xf numFmtId="0" fontId="24" fillId="8" borderId="2" xfId="0" applyFont="1" applyFill="1" applyBorder="1" applyAlignment="1">
      <alignment vertical="center"/>
    </xf>
    <xf numFmtId="0" fontId="13" fillId="8" borderId="11" xfId="0" applyFont="1" applyFill="1" applyBorder="1" applyAlignment="1">
      <alignment vertical="center"/>
    </xf>
    <xf numFmtId="1" fontId="12" fillId="0" borderId="0" xfId="0" applyNumberFormat="1" applyFont="1" applyAlignment="1">
      <alignment horizontal="center" vertical="center"/>
    </xf>
    <xf numFmtId="0" fontId="12" fillId="0" borderId="13" xfId="0" applyFont="1" applyBorder="1" applyAlignment="1">
      <alignment horizontal="left" vertical="top" wrapText="1"/>
    </xf>
    <xf numFmtId="0" fontId="7" fillId="0" borderId="3" xfId="0" applyFont="1" applyBorder="1" applyAlignment="1" applyProtection="1">
      <alignment horizontal="left" vertical="center"/>
      <protection hidden="1"/>
    </xf>
    <xf numFmtId="0" fontId="7" fillId="0" borderId="0" xfId="0" applyFont="1" applyAlignment="1" applyProtection="1">
      <alignment horizontal="left" vertical="center"/>
      <protection hidden="1"/>
    </xf>
    <xf numFmtId="0" fontId="3" fillId="0" borderId="3" xfId="0" applyFont="1" applyBorder="1" applyAlignment="1">
      <alignment horizontal="left" vertical="center"/>
    </xf>
    <xf numFmtId="0" fontId="3" fillId="0" borderId="0" xfId="0" applyFont="1" applyAlignment="1">
      <alignment horizontal="left" vertical="center"/>
    </xf>
    <xf numFmtId="0" fontId="3" fillId="0" borderId="0" xfId="0" applyFont="1" applyAlignment="1" applyProtection="1">
      <alignment horizontal="left" vertical="center"/>
      <protection hidden="1"/>
    </xf>
    <xf numFmtId="0" fontId="3" fillId="0" borderId="1" xfId="0" applyFont="1" applyBorder="1" applyAlignment="1">
      <alignment horizontal="left" vertical="center"/>
    </xf>
    <xf numFmtId="0" fontId="0" fillId="0" borderId="0" xfId="0" applyAlignment="1" applyProtection="1">
      <alignment horizontal="left" vertical="center"/>
      <protection hidden="1"/>
    </xf>
    <xf numFmtId="0" fontId="8" fillId="0" borderId="14" xfId="0" applyFont="1" applyBorder="1" applyAlignment="1" applyProtection="1">
      <alignment horizontal="center" vertical="center" wrapText="1"/>
      <protection hidden="1"/>
    </xf>
    <xf numFmtId="0" fontId="8" fillId="0" borderId="15" xfId="0" applyFont="1" applyBorder="1" applyAlignment="1" applyProtection="1">
      <alignment horizontal="center" vertical="center"/>
      <protection hidden="1"/>
    </xf>
    <xf numFmtId="0" fontId="0" fillId="0" borderId="23"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8" fillId="0" borderId="25" xfId="0" applyFont="1" applyBorder="1" applyAlignment="1" applyProtection="1">
      <alignment horizontal="center" vertical="center" wrapText="1"/>
      <protection hidden="1"/>
    </xf>
    <xf numFmtId="0" fontId="7" fillId="0" borderId="23" xfId="0" applyFont="1" applyBorder="1" applyAlignment="1" applyProtection="1">
      <alignment horizontal="center" vertical="center" wrapText="1"/>
      <protection hidden="1"/>
    </xf>
    <xf numFmtId="0" fontId="7" fillId="0" borderId="21" xfId="0" applyFont="1" applyBorder="1" applyAlignment="1" applyProtection="1">
      <alignment horizontal="left" vertical="center"/>
      <protection hidden="1"/>
    </xf>
    <xf numFmtId="0" fontId="0" fillId="0" borderId="21" xfId="0" applyBorder="1" applyAlignment="1" applyProtection="1">
      <alignment horizontal="left" vertical="center"/>
      <protection hidden="1"/>
    </xf>
    <xf numFmtId="0" fontId="8" fillId="0" borderId="0" xfId="0" applyFont="1" applyAlignment="1" applyProtection="1">
      <alignment horizontal="left" vertical="center" wrapText="1"/>
      <protection hidden="1"/>
    </xf>
    <xf numFmtId="0" fontId="2" fillId="2" borderId="1" xfId="0" applyFont="1" applyFill="1" applyBorder="1" applyAlignment="1">
      <alignment vertical="center"/>
    </xf>
    <xf numFmtId="0" fontId="2" fillId="2" borderId="9" xfId="0" applyFont="1" applyFill="1" applyBorder="1" applyAlignment="1">
      <alignment vertical="center"/>
    </xf>
    <xf numFmtId="0" fontId="7" fillId="0" borderId="24" xfId="0" applyFont="1" applyBorder="1" applyAlignment="1" applyProtection="1">
      <alignment horizontal="center" vertical="center"/>
      <protection hidden="1"/>
    </xf>
    <xf numFmtId="0" fontId="7" fillId="0" borderId="25" xfId="0" applyFont="1" applyBorder="1" applyAlignment="1" applyProtection="1">
      <alignment horizontal="center" vertical="center" wrapText="1"/>
      <protection hidden="1"/>
    </xf>
    <xf numFmtId="0" fontId="7" fillId="0" borderId="0" xfId="0" applyFont="1" applyAlignment="1" applyProtection="1">
      <alignment vertical="top" wrapText="1"/>
      <protection hidden="1"/>
    </xf>
    <xf numFmtId="0" fontId="7" fillId="0" borderId="10" xfId="0" applyFont="1" applyBorder="1" applyAlignment="1" applyProtection="1">
      <alignment horizontal="center" vertical="center"/>
      <protection hidden="1"/>
    </xf>
    <xf numFmtId="0" fontId="7" fillId="0" borderId="31" xfId="0" applyFont="1" applyBorder="1" applyAlignment="1" applyProtection="1">
      <alignment horizontal="center" vertical="center"/>
      <protection hidden="1"/>
    </xf>
    <xf numFmtId="0" fontId="3" fillId="0" borderId="22" xfId="0" applyFont="1" applyBorder="1" applyAlignment="1">
      <alignment horizontal="center" vertical="center" wrapText="1"/>
    </xf>
    <xf numFmtId="0" fontId="3" fillId="0" borderId="24" xfId="0" applyFont="1" applyBorder="1" applyAlignment="1">
      <alignment horizontal="center" vertical="center" wrapText="1"/>
    </xf>
    <xf numFmtId="164" fontId="0" fillId="4" borderId="21" xfId="0" applyNumberFormat="1" applyFill="1" applyBorder="1" applyAlignment="1">
      <alignment horizontal="center" vertical="center"/>
    </xf>
    <xf numFmtId="0" fontId="8" fillId="0" borderId="14" xfId="0" applyFont="1" applyBorder="1" applyAlignment="1">
      <alignment horizontal="center" vertical="center"/>
    </xf>
    <xf numFmtId="0" fontId="3" fillId="0" borderId="21" xfId="0" applyFont="1" applyBorder="1" applyAlignment="1">
      <alignment horizontal="center" vertical="center" wrapText="1"/>
    </xf>
    <xf numFmtId="0" fontId="8" fillId="0" borderId="2" xfId="0" applyFont="1" applyBorder="1" applyAlignment="1">
      <alignment horizontal="center" vertical="center"/>
    </xf>
    <xf numFmtId="0" fontId="8" fillId="0" borderId="31" xfId="0" applyFont="1" applyBorder="1" applyAlignment="1">
      <alignment horizontal="center" vertical="center"/>
    </xf>
    <xf numFmtId="164" fontId="0" fillId="5" borderId="21" xfId="0" applyNumberFormat="1" applyFill="1" applyBorder="1" applyAlignment="1">
      <alignment vertical="center"/>
    </xf>
    <xf numFmtId="164" fontId="0" fillId="0" borderId="21" xfId="0" applyNumberFormat="1" applyBorder="1" applyAlignment="1">
      <alignment vertical="center"/>
    </xf>
    <xf numFmtId="164" fontId="0" fillId="0" borderId="20" xfId="0" applyNumberFormat="1" applyBorder="1" applyAlignment="1">
      <alignment vertical="center"/>
    </xf>
    <xf numFmtId="0" fontId="6" fillId="3" borderId="26" xfId="0" applyFont="1" applyFill="1" applyBorder="1" applyAlignment="1">
      <alignment horizontal="center" vertical="center"/>
    </xf>
    <xf numFmtId="0" fontId="19" fillId="0" borderId="21" xfId="0" applyFont="1" applyBorder="1" applyAlignment="1">
      <alignment vertical="center"/>
    </xf>
    <xf numFmtId="0" fontId="0" fillId="0" borderId="3" xfId="0" applyBorder="1" applyAlignment="1">
      <alignment vertical="center" wrapText="1"/>
    </xf>
    <xf numFmtId="0" fontId="0" fillId="0" borderId="23" xfId="0" applyBorder="1" applyAlignment="1">
      <alignment vertical="center" wrapText="1"/>
    </xf>
    <xf numFmtId="0" fontId="0" fillId="0" borderId="3" xfId="0" applyBorder="1" applyAlignment="1">
      <alignment vertical="center"/>
    </xf>
    <xf numFmtId="0" fontId="31" fillId="0" borderId="2" xfId="0" applyFont="1" applyBorder="1" applyAlignment="1">
      <alignment horizontal="center" vertical="center"/>
    </xf>
    <xf numFmtId="0" fontId="31" fillId="0" borderId="29" xfId="0" applyFont="1" applyBorder="1" applyAlignment="1">
      <alignment horizontal="center" vertical="center"/>
    </xf>
    <xf numFmtId="0" fontId="12" fillId="0" borderId="14" xfId="0" applyFont="1" applyBorder="1" applyAlignment="1">
      <alignment horizontal="center" vertical="center"/>
    </xf>
    <xf numFmtId="0" fontId="3" fillId="0" borderId="0" xfId="0" applyFont="1"/>
    <xf numFmtId="0" fontId="3" fillId="0" borderId="15" xfId="0" applyFont="1" applyBorder="1" applyAlignment="1">
      <alignment horizontal="center" vertical="center"/>
    </xf>
    <xf numFmtId="0" fontId="12" fillId="0" borderId="18" xfId="0" applyFont="1" applyBorder="1" applyAlignment="1">
      <alignment horizontal="center" vertical="center"/>
    </xf>
    <xf numFmtId="0" fontId="3" fillId="0" borderId="21" xfId="0" applyFont="1" applyBorder="1" applyAlignment="1">
      <alignment vertical="center"/>
    </xf>
    <xf numFmtId="0" fontId="3" fillId="0" borderId="21" xfId="0" applyFont="1" applyBorder="1"/>
    <xf numFmtId="0" fontId="3" fillId="0" borderId="20" xfId="0" applyFont="1" applyBorder="1" applyAlignment="1">
      <alignment horizontal="center" vertical="center"/>
    </xf>
    <xf numFmtId="1" fontId="15" fillId="2" borderId="3" xfId="0" applyNumberFormat="1" applyFont="1" applyFill="1" applyBorder="1" applyAlignment="1">
      <alignment vertical="center"/>
    </xf>
    <xf numFmtId="49" fontId="7" fillId="0" borderId="17" xfId="0" applyNumberFormat="1" applyFont="1" applyBorder="1" applyAlignment="1" applyProtection="1">
      <alignment horizontal="center" vertical="center" wrapText="1"/>
      <protection hidden="1"/>
    </xf>
    <xf numFmtId="0" fontId="0" fillId="5" borderId="0" xfId="1" applyNumberFormat="1" applyFont="1" applyFill="1" applyBorder="1" applyAlignment="1" applyProtection="1">
      <alignment horizontal="center" vertical="center"/>
    </xf>
    <xf numFmtId="164" fontId="7" fillId="0" borderId="15" xfId="0" applyNumberFormat="1" applyFont="1" applyBorder="1" applyAlignment="1" applyProtection="1">
      <alignment horizontal="center" vertical="center"/>
      <protection hidden="1"/>
    </xf>
    <xf numFmtId="0" fontId="3" fillId="0" borderId="3" xfId="0" applyFont="1" applyBorder="1" applyAlignment="1">
      <alignment horizontal="center" vertical="center"/>
    </xf>
    <xf numFmtId="0" fontId="3" fillId="0" borderId="0" xfId="0" applyFont="1" applyAlignment="1">
      <alignment horizontal="center" vertical="center"/>
    </xf>
    <xf numFmtId="0" fontId="3" fillId="0" borderId="1" xfId="0" applyFont="1" applyBorder="1" applyAlignment="1">
      <alignment horizontal="center" vertical="center"/>
    </xf>
    <xf numFmtId="0" fontId="3" fillId="0" borderId="25" xfId="0" applyFont="1" applyBorder="1" applyAlignment="1">
      <alignment horizontal="center" vertical="center"/>
    </xf>
    <xf numFmtId="0" fontId="3" fillId="0" borderId="23" xfId="0" applyFont="1" applyBorder="1" applyAlignment="1">
      <alignment horizontal="center" vertical="center"/>
    </xf>
    <xf numFmtId="0" fontId="3" fillId="0" borderId="21" xfId="0" applyFont="1" applyBorder="1" applyAlignment="1">
      <alignment horizontal="center" vertical="center"/>
    </xf>
    <xf numFmtId="0" fontId="2" fillId="0" borderId="33" xfId="0" applyFont="1" applyBorder="1" applyAlignment="1">
      <alignment horizontal="center" vertical="center" wrapText="1"/>
    </xf>
    <xf numFmtId="0" fontId="2" fillId="0" borderId="35" xfId="0" applyFont="1" applyBorder="1" applyAlignment="1">
      <alignment horizontal="center" vertical="center" wrapText="1"/>
    </xf>
    <xf numFmtId="49" fontId="0" fillId="2" borderId="7" xfId="0" applyNumberFormat="1" applyFill="1" applyBorder="1" applyAlignment="1">
      <alignment vertical="center"/>
    </xf>
    <xf numFmtId="0" fontId="0" fillId="2" borderId="9" xfId="0" applyFill="1" applyBorder="1" applyAlignment="1">
      <alignment vertical="center"/>
    </xf>
    <xf numFmtId="0" fontId="12" fillId="2" borderId="0" xfId="0" applyFont="1" applyFill="1" applyAlignment="1">
      <alignment vertical="top" wrapText="1"/>
    </xf>
    <xf numFmtId="2" fontId="2" fillId="2" borderId="0" xfId="0" applyNumberFormat="1" applyFont="1" applyFill="1" applyAlignment="1">
      <alignment horizontal="left" vertical="center"/>
    </xf>
    <xf numFmtId="169" fontId="0" fillId="2" borderId="0" xfId="0" applyNumberFormat="1" applyFill="1" applyAlignment="1">
      <alignment horizontal="left" vertical="center"/>
    </xf>
    <xf numFmtId="0" fontId="14" fillId="2" borderId="6" xfId="0" applyFont="1" applyFill="1" applyBorder="1" applyAlignment="1">
      <alignment vertical="center"/>
    </xf>
    <xf numFmtId="0" fontId="14" fillId="2" borderId="0" xfId="0" applyFont="1" applyFill="1" applyAlignment="1">
      <alignment vertical="center"/>
    </xf>
    <xf numFmtId="0" fontId="14" fillId="2" borderId="7" xfId="0" applyFont="1" applyFill="1" applyBorder="1" applyAlignment="1">
      <alignment vertical="center"/>
    </xf>
    <xf numFmtId="0" fontId="2" fillId="0" borderId="32" xfId="0" applyFont="1" applyBorder="1" applyAlignment="1">
      <alignment horizontal="center" vertical="center" wrapText="1"/>
    </xf>
    <xf numFmtId="0" fontId="0" fillId="0" borderId="16" xfId="0" applyBorder="1" applyAlignment="1">
      <alignment horizontal="center" vertical="center"/>
    </xf>
    <xf numFmtId="0" fontId="0" fillId="0" borderId="17" xfId="0" applyBorder="1" applyAlignment="1">
      <alignment horizontal="center" vertical="center"/>
    </xf>
    <xf numFmtId="1" fontId="0" fillId="0" borderId="0" xfId="0" applyNumberFormat="1" applyAlignment="1">
      <alignment horizontal="center" vertical="center"/>
    </xf>
    <xf numFmtId="0" fontId="7" fillId="0" borderId="6" xfId="0" applyFont="1" applyBorder="1" applyAlignment="1" applyProtection="1">
      <alignment horizontal="center" vertical="center" wrapText="1"/>
      <protection hidden="1"/>
    </xf>
    <xf numFmtId="0" fontId="7" fillId="0" borderId="1" xfId="0" applyFont="1" applyBorder="1" applyAlignment="1" applyProtection="1">
      <alignment horizontal="center" vertical="center" wrapText="1"/>
      <protection hidden="1"/>
    </xf>
    <xf numFmtId="0" fontId="7" fillId="0" borderId="8" xfId="0" applyFont="1" applyBorder="1" applyAlignment="1" applyProtection="1">
      <alignment horizontal="center" vertical="center" wrapText="1"/>
      <protection hidden="1"/>
    </xf>
    <xf numFmtId="0" fontId="7" fillId="0" borderId="38" xfId="0" applyFont="1" applyBorder="1" applyAlignment="1" applyProtection="1">
      <alignment horizontal="center" vertical="center" wrapText="1"/>
      <protection hidden="1"/>
    </xf>
    <xf numFmtId="0" fontId="7" fillId="0" borderId="0" xfId="0" applyFont="1" applyAlignment="1" applyProtection="1">
      <alignment horizontal="center" wrapText="1"/>
      <protection hidden="1"/>
    </xf>
    <xf numFmtId="0" fontId="8" fillId="0" borderId="32" xfId="0" applyFont="1" applyBorder="1" applyAlignment="1" applyProtection="1">
      <alignment horizontal="center" vertical="center" wrapText="1"/>
      <protection hidden="1"/>
    </xf>
    <xf numFmtId="0" fontId="3" fillId="0" borderId="17" xfId="0" applyFont="1" applyBorder="1" applyAlignment="1">
      <alignment horizontal="center" vertical="center"/>
    </xf>
    <xf numFmtId="0" fontId="19" fillId="0" borderId="0" xfId="0" applyFont="1" applyAlignment="1">
      <alignment vertical="center"/>
    </xf>
    <xf numFmtId="0" fontId="3" fillId="0" borderId="12" xfId="0" applyFont="1" applyBorder="1" applyAlignment="1">
      <alignment horizontal="center" vertical="center"/>
    </xf>
    <xf numFmtId="0" fontId="19" fillId="0" borderId="13" xfId="0" applyFont="1" applyBorder="1" applyAlignment="1">
      <alignment vertical="center"/>
    </xf>
    <xf numFmtId="0" fontId="0" fillId="0" borderId="13" xfId="0" applyBorder="1"/>
    <xf numFmtId="0" fontId="0" fillId="0" borderId="19" xfId="0" applyBorder="1"/>
    <xf numFmtId="0" fontId="7" fillId="0" borderId="21" xfId="0" applyFont="1" applyBorder="1" applyAlignment="1" applyProtection="1">
      <alignment vertical="top"/>
      <protection hidden="1"/>
    </xf>
    <xf numFmtId="0" fontId="0" fillId="0" borderId="20" xfId="0" applyBorder="1" applyAlignment="1" applyProtection="1">
      <alignment horizontal="center" vertical="center"/>
      <protection hidden="1"/>
    </xf>
    <xf numFmtId="0" fontId="19" fillId="0" borderId="26" xfId="0" applyFont="1" applyBorder="1" applyAlignment="1">
      <alignment horizontal="center" vertical="center" wrapText="1"/>
    </xf>
    <xf numFmtId="165" fontId="0" fillId="4" borderId="6" xfId="0" applyNumberFormat="1" applyFill="1" applyBorder="1" applyAlignment="1">
      <alignment horizontal="center" vertical="center"/>
    </xf>
    <xf numFmtId="2" fontId="0" fillId="2" borderId="0" xfId="1" applyNumberFormat="1" applyFont="1" applyFill="1" applyBorder="1" applyAlignment="1" applyProtection="1">
      <alignment horizontal="center" vertical="center"/>
    </xf>
    <xf numFmtId="0" fontId="18" fillId="2" borderId="6" xfId="0" applyFont="1" applyFill="1" applyBorder="1" applyAlignment="1">
      <alignment vertical="center"/>
    </xf>
    <xf numFmtId="169" fontId="18" fillId="2" borderId="0" xfId="0" applyNumberFormat="1" applyFont="1" applyFill="1" applyAlignment="1">
      <alignment horizontal="left" vertical="center"/>
    </xf>
    <xf numFmtId="0" fontId="18" fillId="2" borderId="8" xfId="0" applyFont="1" applyFill="1" applyBorder="1" applyAlignment="1">
      <alignment vertical="center"/>
    </xf>
    <xf numFmtId="169" fontId="18" fillId="2" borderId="1" xfId="0" applyNumberFormat="1" applyFont="1" applyFill="1" applyBorder="1" applyAlignment="1">
      <alignment horizontal="left" vertical="center"/>
    </xf>
    <xf numFmtId="0" fontId="0" fillId="2" borderId="1" xfId="0" applyFill="1" applyBorder="1" applyAlignment="1">
      <alignment vertical="center"/>
    </xf>
    <xf numFmtId="49" fontId="7" fillId="0" borderId="39" xfId="0" applyNumberFormat="1" applyFont="1" applyBorder="1" applyAlignment="1" applyProtection="1">
      <alignment horizontal="center" vertical="center" wrapText="1"/>
      <protection hidden="1"/>
    </xf>
    <xf numFmtId="0" fontId="0" fillId="2" borderId="0" xfId="0" applyFill="1" applyAlignment="1">
      <alignment vertical="center"/>
    </xf>
    <xf numFmtId="0" fontId="0" fillId="2" borderId="3" xfId="0" applyFill="1" applyBorder="1" applyAlignment="1">
      <alignment vertical="center"/>
    </xf>
    <xf numFmtId="0" fontId="0" fillId="2" borderId="5" xfId="0" applyFill="1" applyBorder="1" applyAlignment="1">
      <alignment vertical="center"/>
    </xf>
    <xf numFmtId="167" fontId="3" fillId="0" borderId="0" xfId="0" applyNumberFormat="1" applyFont="1" applyAlignment="1">
      <alignment horizontal="left" vertical="top" wrapText="1"/>
    </xf>
    <xf numFmtId="2" fontId="0" fillId="4" borderId="0" xfId="0" applyNumberFormat="1" applyFill="1" applyAlignment="1">
      <alignment horizontal="center" vertical="center"/>
    </xf>
    <xf numFmtId="2" fontId="0" fillId="4" borderId="6" xfId="0" applyNumberFormat="1" applyFill="1" applyBorder="1" applyAlignment="1">
      <alignment horizontal="center" vertical="center"/>
    </xf>
    <xf numFmtId="164" fontId="0" fillId="4" borderId="6" xfId="0" applyNumberFormat="1" applyFill="1" applyBorder="1" applyAlignment="1">
      <alignment horizontal="center" vertical="center"/>
    </xf>
    <xf numFmtId="0" fontId="2" fillId="2" borderId="0" xfId="0" applyFont="1" applyFill="1" applyAlignment="1">
      <alignment horizontal="right" vertical="center"/>
    </xf>
    <xf numFmtId="0" fontId="2" fillId="2" borderId="7" xfId="0" applyFont="1" applyFill="1" applyBorder="1" applyAlignment="1">
      <alignment horizontal="center" vertical="center"/>
    </xf>
    <xf numFmtId="0" fontId="12" fillId="2" borderId="0" xfId="0" applyFont="1" applyFill="1" applyAlignment="1">
      <alignment horizontal="center" vertical="top" wrapText="1"/>
    </xf>
    <xf numFmtId="0" fontId="0" fillId="4" borderId="0" xfId="0" applyFill="1" applyAlignment="1">
      <alignment horizontal="center" vertical="center"/>
    </xf>
    <xf numFmtId="0" fontId="13" fillId="9" borderId="10" xfId="0" applyFont="1" applyFill="1" applyBorder="1" applyAlignment="1">
      <alignment vertical="center"/>
    </xf>
    <xf numFmtId="0" fontId="13" fillId="9" borderId="2" xfId="0" applyFont="1" applyFill="1" applyBorder="1" applyAlignment="1">
      <alignment vertical="center"/>
    </xf>
    <xf numFmtId="0" fontId="24" fillId="9" borderId="2" xfId="0" applyFont="1" applyFill="1" applyBorder="1" applyAlignment="1">
      <alignment horizontal="right" vertical="center"/>
    </xf>
    <xf numFmtId="0" fontId="24" fillId="9" borderId="2" xfId="0" applyFont="1" applyFill="1" applyBorder="1" applyAlignment="1">
      <alignment vertical="center"/>
    </xf>
    <xf numFmtId="0" fontId="13" fillId="9" borderId="11" xfId="0" applyFont="1" applyFill="1" applyBorder="1" applyAlignment="1">
      <alignment vertical="center"/>
    </xf>
    <xf numFmtId="9" fontId="0" fillId="2" borderId="0" xfId="0" applyNumberFormat="1" applyFill="1" applyAlignment="1">
      <alignment horizontal="center" vertical="center"/>
    </xf>
    <xf numFmtId="0" fontId="0" fillId="2" borderId="7" xfId="0" applyFill="1" applyBorder="1" applyAlignment="1">
      <alignment horizontal="left" vertical="center"/>
    </xf>
    <xf numFmtId="1" fontId="0" fillId="5" borderId="0" xfId="0" applyNumberFormat="1" applyFill="1" applyAlignment="1">
      <alignment horizontal="center" vertical="center"/>
    </xf>
    <xf numFmtId="165" fontId="0" fillId="0" borderId="0" xfId="0" applyNumberFormat="1" applyAlignment="1">
      <alignment horizontal="center" vertical="center"/>
    </xf>
    <xf numFmtId="2" fontId="0" fillId="5" borderId="1" xfId="0" applyNumberFormat="1" applyFill="1" applyBorder="1" applyAlignment="1">
      <alignment horizontal="center" vertical="center"/>
    </xf>
    <xf numFmtId="1" fontId="12" fillId="0" borderId="21" xfId="0" applyNumberFormat="1" applyFont="1" applyBorder="1" applyAlignment="1">
      <alignment horizontal="center" vertical="center"/>
    </xf>
    <xf numFmtId="165" fontId="0" fillId="4" borderId="0" xfId="0" applyNumberFormat="1" applyFill="1" applyAlignment="1">
      <alignment horizontal="center" vertical="center"/>
    </xf>
    <xf numFmtId="0" fontId="8" fillId="0" borderId="13" xfId="0" applyFont="1" applyBorder="1" applyAlignment="1">
      <alignment horizontal="center" vertical="center" wrapText="1"/>
    </xf>
    <xf numFmtId="0" fontId="8" fillId="0" borderId="13" xfId="0" applyFont="1" applyBorder="1" applyAlignment="1">
      <alignment horizontal="center" vertical="center"/>
    </xf>
    <xf numFmtId="0" fontId="7" fillId="0" borderId="13" xfId="0" applyFont="1" applyBorder="1" applyAlignment="1">
      <alignment horizontal="center" vertical="center"/>
    </xf>
    <xf numFmtId="0" fontId="33" fillId="0" borderId="19" xfId="0" applyFont="1" applyBorder="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left" vertical="center"/>
    </xf>
    <xf numFmtId="0" fontId="33" fillId="0" borderId="15" xfId="0" applyFont="1" applyBorder="1" applyAlignment="1">
      <alignment horizontal="center" vertical="center"/>
    </xf>
    <xf numFmtId="11" fontId="3" fillId="0" borderId="0" xfId="0" applyNumberFormat="1" applyFont="1" applyAlignment="1">
      <alignment horizontal="center" vertical="center"/>
    </xf>
    <xf numFmtId="10" fontId="3" fillId="0" borderId="0" xfId="1" applyNumberFormat="1" applyFont="1" applyBorder="1" applyAlignment="1">
      <alignment horizontal="center" vertical="center"/>
    </xf>
    <xf numFmtId="0" fontId="3" fillId="0" borderId="0" xfId="1" applyNumberFormat="1" applyFont="1" applyBorder="1" applyAlignment="1">
      <alignment horizontal="center" vertical="center"/>
    </xf>
    <xf numFmtId="1" fontId="3" fillId="0" borderId="21" xfId="0" applyNumberFormat="1" applyFont="1" applyBorder="1" applyAlignment="1">
      <alignment horizontal="center" vertical="center"/>
    </xf>
    <xf numFmtId="1" fontId="12" fillId="0" borderId="13" xfId="0" applyNumberFormat="1" applyFont="1" applyBorder="1" applyAlignment="1">
      <alignment horizontal="center" vertical="center"/>
    </xf>
    <xf numFmtId="49" fontId="7" fillId="0" borderId="16" xfId="0" applyNumberFormat="1" applyFont="1" applyBorder="1" applyAlignment="1" applyProtection="1">
      <alignment horizontal="center" vertical="center" wrapText="1"/>
      <protection hidden="1"/>
    </xf>
    <xf numFmtId="1" fontId="0" fillId="5" borderId="3" xfId="0" applyNumberFormat="1" applyFill="1" applyBorder="1" applyAlignment="1">
      <alignment horizontal="center" vertical="center"/>
    </xf>
    <xf numFmtId="0" fontId="34" fillId="0" borderId="0" xfId="0" applyFont="1"/>
    <xf numFmtId="44" fontId="35" fillId="10" borderId="0" xfId="3" applyFont="1" applyFill="1" applyBorder="1" applyAlignment="1">
      <alignment horizontal="center"/>
    </xf>
    <xf numFmtId="0" fontId="33" fillId="0" borderId="0" xfId="0" applyFont="1"/>
    <xf numFmtId="0" fontId="0" fillId="0" borderId="30" xfId="0" applyBorder="1"/>
    <xf numFmtId="0" fontId="0" fillId="0" borderId="30" xfId="0" applyBorder="1" applyAlignment="1">
      <alignment horizontal="center"/>
    </xf>
    <xf numFmtId="44" fontId="26" fillId="0" borderId="43" xfId="3" applyFont="1" applyBorder="1"/>
    <xf numFmtId="0" fontId="2" fillId="0" borderId="0" xfId="0" applyFont="1" applyAlignment="1">
      <alignment horizontal="center"/>
    </xf>
    <xf numFmtId="0" fontId="0" fillId="0" borderId="30" xfId="0" applyBorder="1" applyAlignment="1">
      <alignment vertical="center"/>
    </xf>
    <xf numFmtId="0" fontId="0" fillId="0" borderId="0" xfId="0" applyAlignment="1">
      <alignment horizontal="center"/>
    </xf>
    <xf numFmtId="0" fontId="37" fillId="0" borderId="45" xfId="0" applyFont="1" applyBorder="1" applyAlignment="1">
      <alignment vertical="top"/>
    </xf>
    <xf numFmtId="44" fontId="26" fillId="0" borderId="45" xfId="3" applyFont="1" applyBorder="1"/>
    <xf numFmtId="44" fontId="26" fillId="0" borderId="30" xfId="3" applyFont="1" applyBorder="1"/>
    <xf numFmtId="0" fontId="37" fillId="0" borderId="30" xfId="0" applyFont="1" applyBorder="1"/>
    <xf numFmtId="0" fontId="2" fillId="0" borderId="0" xfId="0" applyFont="1" applyAlignment="1">
      <alignment horizontal="right"/>
    </xf>
    <xf numFmtId="2" fontId="0" fillId="0" borderId="30" xfId="0" applyNumberFormat="1" applyBorder="1" applyAlignment="1">
      <alignment horizontal="center"/>
    </xf>
    <xf numFmtId="0" fontId="26" fillId="13" borderId="48" xfId="0" applyFont="1" applyFill="1" applyBorder="1"/>
    <xf numFmtId="44" fontId="26" fillId="13" borderId="48" xfId="3" applyFont="1" applyFill="1" applyBorder="1"/>
    <xf numFmtId="0" fontId="26" fillId="13" borderId="48" xfId="3" applyNumberFormat="1" applyFont="1" applyFill="1" applyBorder="1" applyAlignment="1">
      <alignment horizontal="center"/>
    </xf>
    <xf numFmtId="0" fontId="26" fillId="0" borderId="43" xfId="0" applyFont="1" applyBorder="1"/>
    <xf numFmtId="0" fontId="26" fillId="0" borderId="45" xfId="0" applyFont="1" applyBorder="1"/>
    <xf numFmtId="0" fontId="26" fillId="0" borderId="30" xfId="0" applyFont="1" applyBorder="1"/>
    <xf numFmtId="0" fontId="26" fillId="0" borderId="50" xfId="0" applyFont="1" applyBorder="1"/>
    <xf numFmtId="44" fontId="26" fillId="0" borderId="50" xfId="3" applyFont="1" applyBorder="1"/>
    <xf numFmtId="0" fontId="26" fillId="13" borderId="0" xfId="0" applyFont="1" applyFill="1"/>
    <xf numFmtId="44" fontId="26" fillId="13" borderId="0" xfId="3" applyFont="1" applyFill="1" applyBorder="1"/>
    <xf numFmtId="0" fontId="26" fillId="13" borderId="0" xfId="3" applyNumberFormat="1" applyFont="1" applyFill="1" applyBorder="1" applyAlignment="1">
      <alignment horizontal="center"/>
    </xf>
    <xf numFmtId="0" fontId="26" fillId="11" borderId="50" xfId="0" applyFont="1" applyFill="1" applyBorder="1"/>
    <xf numFmtId="44" fontId="26" fillId="11" borderId="50" xfId="3" applyFont="1" applyFill="1" applyBorder="1"/>
    <xf numFmtId="44" fontId="35" fillId="0" borderId="0" xfId="0" applyNumberFormat="1" applyFont="1"/>
    <xf numFmtId="0" fontId="0" fillId="0" borderId="0" xfId="0" applyAlignment="1">
      <alignment wrapText="1"/>
    </xf>
    <xf numFmtId="0" fontId="33" fillId="12" borderId="30" xfId="0" applyFont="1" applyFill="1" applyBorder="1"/>
    <xf numFmtId="0" fontId="0" fillId="0" borderId="30" xfId="0" applyBorder="1" applyAlignment="1">
      <alignment wrapText="1"/>
    </xf>
    <xf numFmtId="2" fontId="0" fillId="0" borderId="0" xfId="0" applyNumberFormat="1" applyAlignment="1">
      <alignment horizontal="center"/>
    </xf>
    <xf numFmtId="0" fontId="26" fillId="11" borderId="44" xfId="0" applyFont="1" applyFill="1" applyBorder="1" applyAlignment="1">
      <alignment horizontal="left" vertical="center" wrapText="1"/>
    </xf>
    <xf numFmtId="0" fontId="26" fillId="11" borderId="46" xfId="0" applyFont="1" applyFill="1" applyBorder="1" applyAlignment="1">
      <alignment horizontal="left" vertical="center" wrapText="1"/>
    </xf>
    <xf numFmtId="0" fontId="26" fillId="13" borderId="47" xfId="0" applyFont="1" applyFill="1" applyBorder="1" applyAlignment="1">
      <alignment horizontal="left" vertical="center" wrapText="1"/>
    </xf>
    <xf numFmtId="0" fontId="38" fillId="6" borderId="42" xfId="0" applyFont="1" applyFill="1" applyBorder="1" applyAlignment="1">
      <alignment horizontal="left" vertical="center" wrapText="1"/>
    </xf>
    <xf numFmtId="0" fontId="26" fillId="11" borderId="46" xfId="0" applyFont="1" applyFill="1" applyBorder="1" applyAlignment="1">
      <alignment wrapText="1"/>
    </xf>
    <xf numFmtId="0" fontId="26" fillId="11" borderId="49" xfId="0" applyFont="1" applyFill="1" applyBorder="1" applyAlignment="1">
      <alignment wrapText="1"/>
    </xf>
    <xf numFmtId="0" fontId="26" fillId="13" borderId="14" xfId="0" applyFont="1" applyFill="1" applyBorder="1" applyAlignment="1">
      <alignment wrapText="1"/>
    </xf>
    <xf numFmtId="9" fontId="33" fillId="0" borderId="30" xfId="1" applyFont="1" applyBorder="1" applyAlignment="1">
      <alignment horizontal="center"/>
    </xf>
    <xf numFmtId="9" fontId="33" fillId="12" borderId="30" xfId="0" applyNumberFormat="1" applyFont="1" applyFill="1" applyBorder="1" applyAlignment="1">
      <alignment horizontal="center"/>
    </xf>
    <xf numFmtId="0" fontId="2" fillId="0" borderId="6" xfId="0" applyFont="1" applyBorder="1" applyAlignment="1">
      <alignment vertical="center"/>
    </xf>
    <xf numFmtId="0" fontId="34" fillId="0" borderId="30" xfId="0" applyFont="1" applyBorder="1"/>
    <xf numFmtId="0" fontId="2" fillId="0" borderId="0" xfId="0" applyFont="1"/>
    <xf numFmtId="0" fontId="34" fillId="0" borderId="0" xfId="0" applyFont="1">
      <extLst>
        <ext xmlns:xfpb="http://schemas.microsoft.com/office/spreadsheetml/2022/featurepropertybag" uri="{C7286773-470A-42A8-94C5-96B5CB345126}">
          <xfpb:xfComplement i="0"/>
        </ext>
      </extLst>
    </xf>
    <xf numFmtId="0" fontId="0" fillId="0" borderId="11" xfId="0" applyBorder="1"/>
    <xf numFmtId="44" fontId="26" fillId="0" borderId="10" xfId="3" applyFont="1" applyBorder="1"/>
    <xf numFmtId="0" fontId="26" fillId="13" borderId="6" xfId="3" applyNumberFormat="1" applyFont="1" applyFill="1" applyBorder="1" applyAlignment="1">
      <alignment horizontal="center"/>
    </xf>
    <xf numFmtId="44" fontId="26" fillId="0" borderId="52" xfId="3" applyFont="1" applyBorder="1"/>
    <xf numFmtId="0" fontId="0" fillId="0" borderId="11" xfId="0" applyBorder="1" applyAlignment="1">
      <alignment wrapText="1"/>
      <extLst>
        <ext xmlns:xfpb="http://schemas.microsoft.com/office/spreadsheetml/2022/featurepropertybag" uri="{C7286773-470A-42A8-94C5-96B5CB345126}">
          <xfpb:xfComplement i="0"/>
        </ext>
      </extLst>
    </xf>
    <xf numFmtId="0" fontId="34" fillId="0" borderId="30" xfId="0" applyFont="1" applyBorder="1" applyAlignment="1">
      <alignment wrapText="1"/>
    </xf>
    <xf numFmtId="0" fontId="0" fillId="0" borderId="30" xfId="3" applyNumberFormat="1" applyFont="1" applyBorder="1" applyAlignment="1">
      <alignment horizontal="center"/>
    </xf>
    <xf numFmtId="0" fontId="0" fillId="0" borderId="30" xfId="0" applyBorder="1" applyAlignment="1">
      <alignment horizontal="center" wrapText="1"/>
    </xf>
    <xf numFmtId="0" fontId="0" fillId="0" borderId="10" xfId="0" applyBorder="1"/>
    <xf numFmtId="165" fontId="0" fillId="0" borderId="10" xfId="0" applyNumberFormat="1" applyBorder="1" applyAlignment="1">
      <alignment horizontal="center" vertical="center"/>
    </xf>
    <xf numFmtId="0" fontId="33" fillId="0" borderId="30" xfId="0" applyFont="1" applyBorder="1"/>
    <xf numFmtId="0" fontId="0" fillId="0" borderId="45" xfId="0" applyBorder="1"/>
    <xf numFmtId="0" fontId="34" fillId="0" borderId="45" xfId="0" applyFont="1" applyBorder="1"/>
    <xf numFmtId="0" fontId="2" fillId="0" borderId="30" xfId="0" applyFont="1" applyBorder="1" applyAlignment="1">
      <alignment horizontal="right"/>
    </xf>
    <xf numFmtId="2" fontId="0" fillId="0" borderId="0" xfId="0" applyNumberFormat="1"/>
    <xf numFmtId="0" fontId="40" fillId="14" borderId="40" xfId="0" applyFont="1" applyFill="1" applyBorder="1" applyAlignment="1">
      <alignment horizontal="center" vertical="center" wrapText="1"/>
    </xf>
    <xf numFmtId="0" fontId="41" fillId="14" borderId="41" xfId="0" applyFont="1" applyFill="1" applyBorder="1" applyAlignment="1">
      <alignment horizontal="center"/>
    </xf>
    <xf numFmtId="0" fontId="42" fillId="0" borderId="30" xfId="0" applyFont="1" applyBorder="1" applyAlignment="1">
      <alignment horizontal="center"/>
    </xf>
    <xf numFmtId="8" fontId="42" fillId="0" borderId="30" xfId="0" applyNumberFormat="1" applyFont="1" applyBorder="1"/>
    <xf numFmtId="0" fontId="0" fillId="0" borderId="53" xfId="0" applyBorder="1"/>
    <xf numFmtId="1" fontId="0" fillId="12" borderId="0" xfId="0" applyNumberFormat="1" applyFill="1" applyAlignment="1">
      <alignment horizontal="right"/>
    </xf>
    <xf numFmtId="2" fontId="35" fillId="0" borderId="0" xfId="0" applyNumberFormat="1" applyFont="1"/>
    <xf numFmtId="9" fontId="0" fillId="0" borderId="0" xfId="0" applyNumberFormat="1"/>
    <xf numFmtId="2" fontId="26" fillId="0" borderId="53" xfId="3" applyNumberFormat="1" applyFont="1" applyBorder="1"/>
    <xf numFmtId="44" fontId="26" fillId="0" borderId="53" xfId="3" applyFont="1" applyBorder="1"/>
    <xf numFmtId="2" fontId="26" fillId="13" borderId="53" xfId="3" applyNumberFormat="1" applyFont="1" applyFill="1" applyBorder="1" applyAlignment="1">
      <alignment horizontal="center"/>
    </xf>
    <xf numFmtId="0" fontId="26" fillId="13" borderId="53" xfId="3" applyNumberFormat="1" applyFont="1" applyFill="1" applyBorder="1" applyAlignment="1">
      <alignment horizontal="center"/>
    </xf>
    <xf numFmtId="0" fontId="0" fillId="0" borderId="11" xfId="0" applyBorder="1" applyAlignment="1">
      <alignment wrapText="1"/>
    </xf>
    <xf numFmtId="0" fontId="0" fillId="13" borderId="11" xfId="0" applyFill="1" applyBorder="1"/>
    <xf numFmtId="0" fontId="33" fillId="0" borderId="11" xfId="0" applyFont="1" applyBorder="1" applyAlignment="1">
      <alignment horizontal="center"/>
    </xf>
    <xf numFmtId="0" fontId="33" fillId="0" borderId="11" xfId="0" applyFont="1" applyBorder="1" applyAlignment="1">
      <alignment horizontal="center" wrapText="1"/>
    </xf>
    <xf numFmtId="0" fontId="33" fillId="0" borderId="11" xfId="0" applyFont="1" applyBorder="1" applyAlignment="1">
      <alignment wrapText="1"/>
    </xf>
    <xf numFmtId="0" fontId="43" fillId="0" borderId="53" xfId="0" applyFont="1" applyBorder="1" applyAlignment="1">
      <alignment horizontal="right"/>
    </xf>
    <xf numFmtId="0" fontId="44" fillId="12" borderId="53" xfId="0" applyFont="1" applyFill="1" applyBorder="1" applyAlignment="1">
      <alignment horizontal="center"/>
    </xf>
    <xf numFmtId="2" fontId="42" fillId="0" borderId="53" xfId="0" applyNumberFormat="1" applyFont="1" applyBorder="1"/>
    <xf numFmtId="0" fontId="45" fillId="12" borderId="53" xfId="0" applyFont="1" applyFill="1" applyBorder="1" applyAlignment="1">
      <alignment horizontal="center"/>
    </xf>
    <xf numFmtId="0" fontId="44" fillId="16" borderId="53" xfId="0" applyFont="1" applyFill="1" applyBorder="1" applyAlignment="1">
      <alignment horizontal="center"/>
    </xf>
    <xf numFmtId="0" fontId="41" fillId="14" borderId="51" xfId="0" applyFont="1" applyFill="1" applyBorder="1"/>
    <xf numFmtId="44" fontId="42" fillId="0" borderId="10" xfId="0" applyNumberFormat="1" applyFont="1" applyBorder="1"/>
    <xf numFmtId="0" fontId="39" fillId="0" borderId="0" xfId="0" quotePrefix="1" applyFont="1"/>
    <xf numFmtId="0" fontId="0" fillId="0" borderId="55" xfId="0" applyBorder="1"/>
    <xf numFmtId="0" fontId="0" fillId="0" borderId="56" xfId="0" applyBorder="1"/>
    <xf numFmtId="0" fontId="2" fillId="0" borderId="57" xfId="0" applyFont="1" applyBorder="1"/>
    <xf numFmtId="2" fontId="41" fillId="14" borderId="58" xfId="0" applyNumberFormat="1" applyFont="1" applyFill="1" applyBorder="1" applyAlignment="1">
      <alignment horizontal="center"/>
    </xf>
    <xf numFmtId="2" fontId="41" fillId="14" borderId="59" xfId="0" applyNumberFormat="1" applyFont="1" applyFill="1" applyBorder="1" applyAlignment="1">
      <alignment horizontal="center"/>
    </xf>
    <xf numFmtId="0" fontId="26" fillId="0" borderId="53" xfId="3" applyNumberFormat="1" applyFont="1" applyBorder="1" applyAlignment="1">
      <alignment horizontal="center"/>
    </xf>
    <xf numFmtId="0" fontId="26" fillId="12" borderId="53" xfId="3" applyNumberFormat="1" applyFont="1" applyFill="1" applyBorder="1" applyAlignment="1">
      <alignment horizontal="center"/>
    </xf>
    <xf numFmtId="0" fontId="0" fillId="0" borderId="2" xfId="0" applyBorder="1" applyAlignment="1">
      <alignment wrapText="1"/>
    </xf>
    <xf numFmtId="2" fontId="0" fillId="0" borderId="60" xfId="0" applyNumberFormat="1" applyBorder="1"/>
    <xf numFmtId="0" fontId="42" fillId="15" borderId="11" xfId="0" applyFont="1" applyFill="1" applyBorder="1" applyAlignment="1">
      <alignment horizontal="left" vertical="center"/>
    </xf>
    <xf numFmtId="0" fontId="26" fillId="11" borderId="9" xfId="0" applyFont="1" applyFill="1" applyBorder="1" applyAlignment="1">
      <alignment horizontal="left" vertical="center" wrapText="1"/>
    </xf>
    <xf numFmtId="0" fontId="26" fillId="11" borderId="11" xfId="0" applyFont="1" applyFill="1" applyBorder="1" applyAlignment="1">
      <alignment horizontal="left" vertical="center" wrapText="1"/>
    </xf>
    <xf numFmtId="0" fontId="46" fillId="0" borderId="0" xfId="0" applyFont="1"/>
    <xf numFmtId="0" fontId="46" fillId="0" borderId="30" xfId="0" applyFont="1" applyBorder="1"/>
    <xf numFmtId="0" fontId="45" fillId="0" borderId="30" xfId="0" applyFont="1" applyBorder="1"/>
    <xf numFmtId="0" fontId="45" fillId="0" borderId="11" xfId="0" applyFont="1" applyBorder="1"/>
    <xf numFmtId="0" fontId="46" fillId="0" borderId="45" xfId="0" applyFont="1" applyBorder="1"/>
    <xf numFmtId="0" fontId="46" fillId="0" borderId="9" xfId="0" applyFont="1" applyBorder="1"/>
    <xf numFmtId="0" fontId="45" fillId="0" borderId="45" xfId="0" applyFont="1" applyBorder="1"/>
    <xf numFmtId="0" fontId="45" fillId="0" borderId="9" xfId="0" applyFont="1" applyBorder="1"/>
    <xf numFmtId="2" fontId="46" fillId="0" borderId="11" xfId="0" applyNumberFormat="1" applyFont="1" applyBorder="1"/>
    <xf numFmtId="0" fontId="0" fillId="18" borderId="30" xfId="0" applyFill="1" applyBorder="1"/>
    <xf numFmtId="0" fontId="0" fillId="0" borderId="0" xfId="0" quotePrefix="1" applyAlignment="1">
      <alignment horizontal="left"/>
    </xf>
    <xf numFmtId="0" fontId="0" fillId="17" borderId="30" xfId="0" applyFill="1" applyBorder="1"/>
    <xf numFmtId="0" fontId="46" fillId="0" borderId="53" xfId="0" applyFont="1" applyBorder="1"/>
    <xf numFmtId="20" fontId="46" fillId="0" borderId="0" xfId="0" applyNumberFormat="1" applyFont="1"/>
    <xf numFmtId="0" fontId="0" fillId="0" borderId="58" xfId="0" applyBorder="1" applyAlignment="1">
      <alignment horizontal="center" vertical="center"/>
    </xf>
    <xf numFmtId="0" fontId="46" fillId="0" borderId="0" xfId="0" applyFont="1" applyAlignment="1">
      <alignment wrapText="1"/>
    </xf>
    <xf numFmtId="0" fontId="0" fillId="0" borderId="0" xfId="0" applyAlignment="1">
      <alignment horizontal="center" wrapText="1"/>
    </xf>
    <xf numFmtId="0" fontId="0" fillId="0" borderId="0" xfId="0" quotePrefix="1"/>
    <xf numFmtId="0" fontId="26" fillId="11" borderId="30" xfId="3" applyNumberFormat="1" applyFont="1" applyFill="1" applyBorder="1" applyAlignment="1">
      <alignment horizontal="center"/>
    </xf>
    <xf numFmtId="1" fontId="2" fillId="0" borderId="0" xfId="0" applyNumberFormat="1" applyFont="1" applyAlignment="1">
      <alignment horizontal="right"/>
    </xf>
    <xf numFmtId="0" fontId="46" fillId="0" borderId="11" xfId="0" applyFont="1" applyBorder="1"/>
    <xf numFmtId="0" fontId="46" fillId="0" borderId="61" xfId="0" applyFont="1" applyBorder="1" applyAlignment="1">
      <alignment horizontal="center" vertical="center"/>
    </xf>
    <xf numFmtId="0" fontId="2" fillId="0" borderId="54" xfId="0" applyFont="1" applyBorder="1"/>
    <xf numFmtId="0" fontId="0" fillId="19" borderId="0" xfId="0" applyFill="1" applyAlignment="1">
      <alignment horizontal="center" vertical="center"/>
    </xf>
    <xf numFmtId="0" fontId="44" fillId="0" borderId="0" xfId="0" applyFont="1"/>
    <xf numFmtId="0" fontId="41" fillId="10" borderId="0" xfId="0" applyFont="1" applyFill="1" applyAlignment="1">
      <alignment horizontal="center"/>
    </xf>
    <xf numFmtId="44" fontId="41" fillId="10" borderId="0" xfId="3" applyFont="1" applyFill="1" applyBorder="1" applyAlignment="1">
      <alignment horizontal="center"/>
    </xf>
    <xf numFmtId="0" fontId="45" fillId="0" borderId="0" xfId="0" quotePrefix="1" applyFont="1"/>
    <xf numFmtId="0" fontId="0" fillId="20" borderId="0" xfId="0" applyFill="1" applyAlignment="1">
      <alignment horizontal="center"/>
    </xf>
    <xf numFmtId="2" fontId="0" fillId="0" borderId="53" xfId="0" applyNumberFormat="1" applyBorder="1" applyAlignment="1" applyProtection="1">
      <alignment horizontal="center" vertical="center"/>
      <protection locked="0"/>
    </xf>
    <xf numFmtId="1" fontId="0" fillId="0" borderId="53" xfId="0" applyNumberFormat="1" applyBorder="1" applyAlignment="1" applyProtection="1">
      <alignment horizontal="center" vertical="center"/>
      <protection locked="0"/>
    </xf>
    <xf numFmtId="164" fontId="0" fillId="0" borderId="53" xfId="0" applyNumberFormat="1" applyBorder="1" applyAlignment="1" applyProtection="1">
      <alignment horizontal="center" vertical="center"/>
      <protection locked="0"/>
    </xf>
    <xf numFmtId="0" fontId="2" fillId="2" borderId="0" xfId="0" applyFont="1" applyFill="1" applyAlignment="1">
      <alignment horizontal="center"/>
    </xf>
    <xf numFmtId="0" fontId="0" fillId="0" borderId="53" xfId="0" applyBorder="1" applyAlignment="1" applyProtection="1">
      <alignment horizontal="center" vertical="center"/>
      <protection locked="0"/>
    </xf>
    <xf numFmtId="44" fontId="44" fillId="0" borderId="0" xfId="0" applyNumberFormat="1" applyFont="1"/>
    <xf numFmtId="0" fontId="44" fillId="0" borderId="0" xfId="0" applyFont="1" applyAlignment="1">
      <alignment horizontal="left"/>
    </xf>
    <xf numFmtId="0" fontId="42" fillId="12" borderId="30" xfId="0" applyFont="1" applyFill="1" applyBorder="1" applyAlignment="1">
      <alignment horizontal="center"/>
    </xf>
    <xf numFmtId="0" fontId="0" fillId="12" borderId="0" xfId="0" applyFill="1" applyAlignment="1">
      <alignment horizontal="center"/>
    </xf>
    <xf numFmtId="0" fontId="16" fillId="12" borderId="30" xfId="3" applyNumberFormat="1" applyFont="1" applyFill="1" applyBorder="1" applyAlignment="1">
      <alignment horizontal="center"/>
    </xf>
    <xf numFmtId="0" fontId="26" fillId="12" borderId="50" xfId="3" applyNumberFormat="1" applyFont="1" applyFill="1" applyBorder="1" applyAlignment="1">
      <alignment horizontal="center"/>
    </xf>
    <xf numFmtId="0" fontId="14" fillId="0" borderId="0" xfId="0" applyFont="1"/>
    <xf numFmtId="0" fontId="48" fillId="0" borderId="0" xfId="0" applyFont="1"/>
    <xf numFmtId="14" fontId="2" fillId="0" borderId="0" xfId="0" applyNumberFormat="1" applyFont="1"/>
    <xf numFmtId="0" fontId="0" fillId="21" borderId="30" xfId="0" applyFill="1" applyBorder="1" applyAlignment="1" applyProtection="1">
      <alignment horizontal="center"/>
      <protection locked="0"/>
    </xf>
    <xf numFmtId="0" fontId="0" fillId="17" borderId="30" xfId="0" applyFill="1" applyBorder="1" applyAlignment="1">
      <alignment horizontal="center"/>
    </xf>
    <xf numFmtId="2" fontId="0" fillId="17" borderId="30" xfId="0" applyNumberFormat="1" applyFill="1" applyBorder="1" applyAlignment="1">
      <alignment horizontal="center"/>
    </xf>
    <xf numFmtId="1" fontId="0" fillId="0" borderId="0" xfId="0" applyNumberFormat="1" applyAlignment="1">
      <alignment horizontal="center"/>
    </xf>
    <xf numFmtId="1" fontId="0" fillId="17" borderId="30" xfId="0" applyNumberFormat="1" applyFill="1" applyBorder="1" applyAlignment="1">
      <alignment horizontal="center"/>
    </xf>
    <xf numFmtId="1" fontId="0" fillId="0" borderId="0" xfId="0" applyNumberFormat="1" applyAlignment="1">
      <alignment horizontal="left"/>
    </xf>
    <xf numFmtId="2" fontId="2" fillId="0" borderId="0" xfId="0" applyNumberFormat="1" applyFont="1"/>
    <xf numFmtId="0" fontId="2" fillId="0" borderId="0" xfId="0" applyFont="1" applyAlignment="1">
      <alignment horizontal="left"/>
    </xf>
    <xf numFmtId="0" fontId="44" fillId="0" borderId="53" xfId="0" applyFont="1" applyBorder="1"/>
    <xf numFmtId="0" fontId="44" fillId="0" borderId="53" xfId="0" applyFont="1" applyBorder="1" applyAlignment="1">
      <alignment horizontal="center"/>
    </xf>
    <xf numFmtId="0" fontId="0" fillId="19" borderId="30" xfId="0" applyFill="1" applyBorder="1" applyAlignment="1">
      <alignment horizontal="center"/>
    </xf>
    <xf numFmtId="0" fontId="0" fillId="22" borderId="30" xfId="0" applyFill="1" applyBorder="1" applyAlignment="1" applyProtection="1">
      <alignment horizontal="center"/>
      <protection locked="0"/>
    </xf>
    <xf numFmtId="44" fontId="41" fillId="10" borderId="66" xfId="3" applyFont="1" applyFill="1" applyBorder="1" applyAlignment="1">
      <alignment horizontal="center"/>
    </xf>
    <xf numFmtId="2" fontId="0" fillId="21" borderId="30" xfId="0" applyNumberFormat="1" applyFill="1" applyBorder="1" applyAlignment="1" applyProtection="1">
      <alignment horizontal="center"/>
      <protection locked="0"/>
    </xf>
    <xf numFmtId="0" fontId="19" fillId="0" borderId="67" xfId="0" applyFont="1" applyBorder="1" applyAlignment="1">
      <alignment horizontal="center" vertical="center" wrapText="1"/>
    </xf>
    <xf numFmtId="0" fontId="39" fillId="0" borderId="0" xfId="0" applyFont="1"/>
    <xf numFmtId="0" fontId="47" fillId="0" borderId="26" xfId="0" applyFont="1" applyBorder="1" applyAlignment="1">
      <alignment horizontal="center" vertical="center" wrapText="1"/>
    </xf>
    <xf numFmtId="0" fontId="0" fillId="0" borderId="58" xfId="0" applyBorder="1" applyAlignment="1">
      <alignment wrapText="1"/>
    </xf>
    <xf numFmtId="2" fontId="46" fillId="0" borderId="9" xfId="0" applyNumberFormat="1" applyFont="1" applyBorder="1"/>
    <xf numFmtId="2" fontId="42" fillId="12" borderId="30" xfId="0" applyNumberFormat="1" applyFont="1" applyFill="1" applyBorder="1" applyAlignment="1">
      <alignment horizontal="center"/>
    </xf>
    <xf numFmtId="164" fontId="0" fillId="0" borderId="0" xfId="0" applyNumberFormat="1" applyAlignment="1">
      <alignment horizontal="center" vertical="center"/>
    </xf>
    <xf numFmtId="0" fontId="44" fillId="11" borderId="0" xfId="0" applyFont="1" applyFill="1"/>
    <xf numFmtId="2" fontId="44" fillId="0" borderId="53" xfId="0" applyNumberFormat="1" applyFont="1" applyBorder="1" applyAlignment="1" applyProtection="1">
      <alignment horizontal="center" vertical="center"/>
      <protection locked="0"/>
    </xf>
    <xf numFmtId="1" fontId="44" fillId="0" borderId="53" xfId="0" applyNumberFormat="1" applyFont="1" applyBorder="1" applyAlignment="1" applyProtection="1">
      <alignment horizontal="center" vertical="center"/>
      <protection locked="0"/>
    </xf>
    <xf numFmtId="9" fontId="44" fillId="0" borderId="0" xfId="0" applyNumberFormat="1" applyFont="1"/>
    <xf numFmtId="164" fontId="44" fillId="0" borderId="53" xfId="0" applyNumberFormat="1" applyFont="1" applyBorder="1" applyAlignment="1" applyProtection="1">
      <alignment horizontal="center" vertical="center"/>
      <protection locked="0"/>
    </xf>
    <xf numFmtId="0" fontId="2" fillId="0" borderId="70" xfId="0" applyFont="1" applyBorder="1"/>
    <xf numFmtId="0" fontId="2" fillId="0" borderId="71" xfId="0" applyFont="1" applyBorder="1"/>
    <xf numFmtId="0" fontId="0" fillId="0" borderId="74" xfId="0" applyBorder="1"/>
    <xf numFmtId="0" fontId="0" fillId="0" borderId="75" xfId="0" applyBorder="1"/>
    <xf numFmtId="0" fontId="0" fillId="0" borderId="76" xfId="0" applyBorder="1"/>
    <xf numFmtId="0" fontId="0" fillId="0" borderId="72" xfId="0" applyBorder="1" applyAlignment="1">
      <alignment wrapText="1"/>
    </xf>
    <xf numFmtId="0" fontId="45" fillId="0" borderId="0" xfId="0" applyFont="1" applyAlignment="1">
      <alignment wrapText="1"/>
    </xf>
    <xf numFmtId="0" fontId="0" fillId="0" borderId="73" xfId="0" applyBorder="1" applyAlignment="1">
      <alignment wrapText="1"/>
    </xf>
    <xf numFmtId="169" fontId="17" fillId="23" borderId="7" xfId="0" applyNumberFormat="1" applyFont="1" applyFill="1" applyBorder="1" applyAlignment="1" applyProtection="1">
      <alignment horizontal="center" vertical="center"/>
      <protection hidden="1"/>
    </xf>
    <xf numFmtId="169" fontId="17" fillId="23" borderId="0" xfId="0" applyNumberFormat="1" applyFont="1" applyFill="1" applyAlignment="1">
      <alignment horizontal="center" vertical="center"/>
    </xf>
    <xf numFmtId="0" fontId="42" fillId="0" borderId="53" xfId="0" applyFont="1" applyBorder="1" applyAlignment="1">
      <alignment vertical="top"/>
    </xf>
    <xf numFmtId="0" fontId="42" fillId="0" borderId="53" xfId="3" applyNumberFormat="1" applyFont="1" applyFill="1" applyBorder="1" applyAlignment="1">
      <alignment horizontal="center"/>
    </xf>
    <xf numFmtId="0" fontId="42" fillId="0" borderId="53" xfId="0" applyFont="1" applyBorder="1"/>
    <xf numFmtId="0" fontId="44" fillId="0" borderId="64" xfId="0" applyFont="1" applyBorder="1"/>
    <xf numFmtId="0" fontId="42" fillId="24" borderId="53" xfId="3" applyNumberFormat="1" applyFont="1" applyFill="1" applyBorder="1" applyAlignment="1">
      <alignment horizontal="center"/>
    </xf>
    <xf numFmtId="0" fontId="44" fillId="0" borderId="64" xfId="0" applyFont="1" applyBorder="1" applyAlignment="1">
      <alignment horizontal="center"/>
    </xf>
    <xf numFmtId="0" fontId="44" fillId="0" borderId="58" xfId="0" applyFont="1" applyBorder="1" applyAlignment="1">
      <alignment horizontal="left"/>
    </xf>
    <xf numFmtId="0" fontId="0" fillId="0" borderId="63" xfId="0" applyBorder="1"/>
    <xf numFmtId="169" fontId="17" fillId="23" borderId="1" xfId="0" applyNumberFormat="1" applyFont="1" applyFill="1" applyBorder="1" applyAlignment="1">
      <alignment horizontal="center" vertical="center"/>
    </xf>
    <xf numFmtId="44" fontId="41" fillId="10" borderId="30" xfId="3" applyFont="1" applyFill="1" applyBorder="1" applyAlignment="1">
      <alignment horizontal="center"/>
    </xf>
    <xf numFmtId="169" fontId="17" fillId="23" borderId="36" xfId="0" applyNumberFormat="1" applyFont="1" applyFill="1" applyBorder="1" applyAlignment="1">
      <alignment horizontal="center" vertical="center"/>
    </xf>
    <xf numFmtId="169" fontId="17" fillId="23" borderId="48" xfId="0" applyNumberFormat="1" applyFont="1" applyFill="1" applyBorder="1" applyAlignment="1">
      <alignment horizontal="center" vertical="center"/>
    </xf>
    <xf numFmtId="169" fontId="17" fillId="23" borderId="45" xfId="0" applyNumberFormat="1" applyFont="1" applyFill="1" applyBorder="1" applyAlignment="1">
      <alignment horizontal="center" vertical="center"/>
    </xf>
    <xf numFmtId="169" fontId="17" fillId="23" borderId="0" xfId="0" applyNumberFormat="1" applyFont="1" applyFill="1" applyAlignment="1" applyProtection="1">
      <alignment horizontal="center" vertical="center"/>
      <protection hidden="1"/>
    </xf>
    <xf numFmtId="1" fontId="0" fillId="0" borderId="0" xfId="0" applyNumberFormat="1"/>
    <xf numFmtId="0" fontId="3" fillId="0" borderId="78" xfId="0" applyFont="1" applyBorder="1" applyAlignment="1">
      <alignment horizontal="left" vertical="top" wrapText="1"/>
    </xf>
    <xf numFmtId="0" fontId="0" fillId="0" borderId="78" xfId="0" applyBorder="1" applyAlignment="1">
      <alignment horizontal="center" vertical="center"/>
    </xf>
    <xf numFmtId="1" fontId="0" fillId="4" borderId="78" xfId="0" applyNumberFormat="1" applyFill="1" applyBorder="1" applyAlignment="1">
      <alignment horizontal="center" vertical="center"/>
    </xf>
    <xf numFmtId="0" fontId="0" fillId="0" borderId="79" xfId="0" applyBorder="1" applyAlignment="1">
      <alignment horizontal="center" vertical="center"/>
    </xf>
    <xf numFmtId="0" fontId="0" fillId="0" borderId="81" xfId="0" applyBorder="1" applyAlignment="1">
      <alignment horizontal="center" vertical="center"/>
    </xf>
    <xf numFmtId="164" fontId="0" fillId="0" borderId="83" xfId="0" applyNumberFormat="1" applyBorder="1" applyAlignment="1">
      <alignment vertical="center"/>
    </xf>
    <xf numFmtId="0" fontId="7" fillId="0" borderId="86" xfId="0" applyFont="1" applyBorder="1" applyAlignment="1">
      <alignment horizontal="center" vertical="center"/>
    </xf>
    <xf numFmtId="0" fontId="8" fillId="0" borderId="87" xfId="0" applyFont="1" applyBorder="1" applyAlignment="1">
      <alignment horizontal="center" vertical="center"/>
    </xf>
    <xf numFmtId="171" fontId="3" fillId="0" borderId="0" xfId="0" applyNumberFormat="1" applyFont="1" applyAlignment="1">
      <alignment horizontal="center" vertical="center"/>
    </xf>
    <xf numFmtId="0" fontId="12" fillId="0" borderId="0" xfId="0" applyFont="1" applyAlignment="1">
      <alignment horizontal="left" vertical="top" wrapText="1"/>
    </xf>
    <xf numFmtId="0" fontId="26" fillId="12" borderId="10" xfId="3" applyNumberFormat="1" applyFont="1" applyFill="1" applyBorder="1" applyAlignment="1">
      <alignment horizontal="center"/>
    </xf>
    <xf numFmtId="1" fontId="26" fillId="12" borderId="10" xfId="3" applyNumberFormat="1" applyFont="1" applyFill="1" applyBorder="1" applyAlignment="1">
      <alignment horizontal="center"/>
    </xf>
    <xf numFmtId="0" fontId="46" fillId="0" borderId="53" xfId="0" applyFont="1" applyBorder="1" applyAlignment="1">
      <alignment horizontal="center"/>
    </xf>
    <xf numFmtId="0" fontId="46" fillId="0" borderId="58" xfId="0" applyFont="1" applyBorder="1" applyAlignment="1">
      <alignment horizontal="center"/>
    </xf>
    <xf numFmtId="0" fontId="0" fillId="0" borderId="53" xfId="0" applyBorder="1" applyAlignment="1">
      <alignment horizontal="center" vertical="center"/>
    </xf>
    <xf numFmtId="44" fontId="26" fillId="0" borderId="2" xfId="3" applyFont="1" applyBorder="1"/>
    <xf numFmtId="0" fontId="36" fillId="10" borderId="88" xfId="0" applyFont="1" applyFill="1" applyBorder="1" applyAlignment="1">
      <alignment horizontal="center" vertical="center" wrapText="1"/>
    </xf>
    <xf numFmtId="0" fontId="35" fillId="10" borderId="89" xfId="0" applyFont="1" applyFill="1" applyBorder="1" applyAlignment="1">
      <alignment horizontal="center"/>
    </xf>
    <xf numFmtId="44" fontId="35" fillId="10" borderId="89" xfId="3" applyFont="1" applyFill="1" applyBorder="1" applyAlignment="1">
      <alignment horizontal="center"/>
    </xf>
    <xf numFmtId="44" fontId="35" fillId="10" borderId="90" xfId="3" applyFont="1" applyFill="1" applyBorder="1" applyAlignment="1">
      <alignment horizontal="center"/>
    </xf>
    <xf numFmtId="44" fontId="35" fillId="10" borderId="93" xfId="3" applyFont="1" applyFill="1" applyBorder="1" applyAlignment="1">
      <alignment horizontal="center"/>
    </xf>
    <xf numFmtId="0" fontId="26" fillId="12" borderId="65" xfId="3" applyNumberFormat="1" applyFont="1" applyFill="1" applyBorder="1" applyAlignment="1">
      <alignment horizontal="center"/>
    </xf>
    <xf numFmtId="44" fontId="26" fillId="0" borderId="1" xfId="3" applyFont="1" applyBorder="1"/>
    <xf numFmtId="2" fontId="26" fillId="0" borderId="65" xfId="3" applyNumberFormat="1" applyFont="1" applyBorder="1"/>
    <xf numFmtId="0" fontId="0" fillId="0" borderId="9" xfId="0" applyBorder="1"/>
    <xf numFmtId="0" fontId="46" fillId="0" borderId="0" xfId="0" applyFont="1" applyAlignment="1">
      <alignment horizontal="center"/>
    </xf>
    <xf numFmtId="0" fontId="46" fillId="0" borderId="0" xfId="0" applyFont="1" applyAlignment="1">
      <alignment vertical="center" wrapText="1"/>
    </xf>
    <xf numFmtId="2" fontId="46" fillId="0" borderId="0" xfId="0" applyNumberFormat="1" applyFont="1"/>
    <xf numFmtId="0" fontId="0" fillId="0" borderId="53" xfId="0" applyBorder="1" applyAlignment="1">
      <alignment wrapText="1"/>
    </xf>
    <xf numFmtId="2" fontId="46" fillId="0" borderId="53" xfId="0" applyNumberFormat="1" applyFont="1" applyBorder="1"/>
    <xf numFmtId="165" fontId="46" fillId="0" borderId="53" xfId="0" applyNumberFormat="1" applyFont="1" applyBorder="1"/>
    <xf numFmtId="0" fontId="46" fillId="0" borderId="53" xfId="0" applyFont="1" applyBorder="1" applyAlignment="1">
      <alignment horizontal="center" wrapText="1"/>
    </xf>
    <xf numFmtId="2" fontId="46" fillId="0" borderId="53" xfId="0" applyNumberFormat="1" applyFont="1" applyBorder="1" applyAlignment="1">
      <alignment horizontal="center"/>
    </xf>
    <xf numFmtId="2" fontId="46" fillId="0" borderId="0" xfId="0" applyNumberFormat="1" applyFont="1" applyAlignment="1">
      <alignment horizontal="center"/>
    </xf>
    <xf numFmtId="1" fontId="46" fillId="0" borderId="53" xfId="0" applyNumberFormat="1" applyFont="1" applyBorder="1" applyAlignment="1">
      <alignment horizontal="center"/>
    </xf>
    <xf numFmtId="1" fontId="46" fillId="0" borderId="0" xfId="0" applyNumberFormat="1" applyFont="1" applyAlignment="1">
      <alignment horizontal="center"/>
    </xf>
    <xf numFmtId="1" fontId="45" fillId="0" borderId="9" xfId="0" applyNumberFormat="1" applyFont="1" applyBorder="1"/>
    <xf numFmtId="1" fontId="45" fillId="0" borderId="11" xfId="0" applyNumberFormat="1" applyFont="1" applyBorder="1"/>
    <xf numFmtId="0" fontId="46" fillId="0" borderId="64" xfId="0" applyFont="1" applyBorder="1"/>
    <xf numFmtId="2" fontId="0" fillId="0" borderId="53" xfId="0" applyNumberFormat="1" applyBorder="1"/>
    <xf numFmtId="0" fontId="45" fillId="0" borderId="53" xfId="0" applyFont="1" applyBorder="1"/>
    <xf numFmtId="0" fontId="45" fillId="0" borderId="95" xfId="0" applyFont="1" applyBorder="1"/>
    <xf numFmtId="1" fontId="45" fillId="0" borderId="96" xfId="0" applyNumberFormat="1" applyFont="1" applyBorder="1"/>
    <xf numFmtId="0" fontId="46" fillId="0" borderId="79" xfId="0" applyFont="1" applyBorder="1" applyAlignment="1">
      <alignment wrapText="1"/>
    </xf>
    <xf numFmtId="0" fontId="0" fillId="0" borderId="80" xfId="0" applyBorder="1"/>
    <xf numFmtId="0" fontId="0" fillId="0" borderId="81" xfId="0" applyBorder="1"/>
    <xf numFmtId="0" fontId="45" fillId="0" borderId="55" xfId="0" applyFont="1" applyBorder="1"/>
    <xf numFmtId="0" fontId="46" fillId="0" borderId="81" xfId="0" applyFont="1" applyBorder="1" applyAlignment="1">
      <alignment wrapText="1"/>
    </xf>
    <xf numFmtId="0" fontId="45" fillId="0" borderId="56" xfId="0" applyFont="1" applyBorder="1"/>
    <xf numFmtId="1" fontId="45" fillId="0" borderId="97" xfId="0" applyNumberFormat="1" applyFont="1" applyBorder="1"/>
    <xf numFmtId="0" fontId="46" fillId="0" borderId="98" xfId="0" applyFont="1" applyBorder="1" applyAlignment="1">
      <alignment wrapText="1"/>
    </xf>
    <xf numFmtId="0" fontId="52" fillId="0" borderId="53" xfId="0" applyFont="1" applyBorder="1"/>
    <xf numFmtId="1" fontId="0" fillId="0" borderId="53" xfId="0" applyNumberFormat="1" applyBorder="1"/>
    <xf numFmtId="1" fontId="0" fillId="0" borderId="53" xfId="0" applyNumberFormat="1" applyBorder="1" applyAlignment="1">
      <alignment horizontal="center"/>
    </xf>
    <xf numFmtId="2" fontId="0" fillId="0" borderId="58" xfId="0" applyNumberFormat="1" applyBorder="1"/>
    <xf numFmtId="165" fontId="0" fillId="0" borderId="53" xfId="0" applyNumberFormat="1" applyBorder="1" applyAlignment="1">
      <alignment horizontal="center" vertical="center"/>
    </xf>
    <xf numFmtId="0" fontId="0" fillId="0" borderId="54" xfId="0" applyBorder="1" applyAlignment="1">
      <alignment wrapText="1"/>
    </xf>
    <xf numFmtId="0" fontId="0" fillId="0" borderId="99" xfId="0" applyBorder="1" applyAlignment="1">
      <alignment wrapText="1"/>
    </xf>
    <xf numFmtId="0" fontId="0" fillId="0" borderId="78" xfId="0" applyBorder="1"/>
    <xf numFmtId="165" fontId="0" fillId="0" borderId="101" xfId="0" applyNumberFormat="1" applyBorder="1" applyAlignment="1">
      <alignment horizontal="center" vertical="center"/>
    </xf>
    <xf numFmtId="0" fontId="0" fillId="0" borderId="103" xfId="0" applyBorder="1"/>
    <xf numFmtId="0" fontId="0" fillId="0" borderId="100" xfId="0" applyBorder="1" applyAlignment="1">
      <alignment wrapText="1"/>
    </xf>
    <xf numFmtId="2" fontId="0" fillId="0" borderId="101" xfId="0" applyNumberFormat="1" applyBorder="1"/>
    <xf numFmtId="0" fontId="0" fillId="0" borderId="101" xfId="0" applyBorder="1"/>
    <xf numFmtId="2" fontId="0" fillId="0" borderId="104" xfId="0" applyNumberFormat="1" applyBorder="1"/>
    <xf numFmtId="0" fontId="0" fillId="0" borderId="74" xfId="0" applyBorder="1" applyAlignment="1">
      <alignment wrapText="1"/>
    </xf>
    <xf numFmtId="0" fontId="0" fillId="0" borderId="105" xfId="0" applyBorder="1"/>
    <xf numFmtId="1" fontId="0" fillId="0" borderId="75" xfId="0" applyNumberFormat="1" applyBorder="1"/>
    <xf numFmtId="1" fontId="0" fillId="0" borderId="76" xfId="0" applyNumberFormat="1" applyBorder="1"/>
    <xf numFmtId="0" fontId="46" fillId="0" borderId="53" xfId="0" applyFont="1" applyBorder="1" applyAlignment="1">
      <alignment wrapText="1"/>
    </xf>
    <xf numFmtId="1" fontId="45" fillId="0" borderId="53" xfId="0" applyNumberFormat="1" applyFont="1" applyBorder="1" applyAlignment="1">
      <alignment horizontal="center"/>
    </xf>
    <xf numFmtId="0" fontId="45" fillId="0" borderId="53" xfId="0" applyFont="1" applyBorder="1" applyAlignment="1">
      <alignment horizontal="center"/>
    </xf>
    <xf numFmtId="2" fontId="0" fillId="0" borderId="30" xfId="0" applyNumberFormat="1" applyBorder="1"/>
    <xf numFmtId="2" fontId="0" fillId="0" borderId="0" xfId="0" applyNumberFormat="1" applyAlignment="1">
      <alignment horizontal="center"/>
      <extLst>
        <ext xmlns:xfpb="http://schemas.microsoft.com/office/spreadsheetml/2022/featurepropertybag" uri="{C7286773-470A-42A8-94C5-96B5CB345126}">
          <xfpb:xfComplement i="0"/>
        </ext>
      </extLst>
    </xf>
    <xf numFmtId="165" fontId="0" fillId="0" borderId="30" xfId="0" applyNumberFormat="1" applyBorder="1"/>
    <xf numFmtId="165" fontId="0" fillId="0" borderId="7" xfId="0" applyNumberFormat="1" applyBorder="1" applyAlignment="1">
      <alignment horizontal="center"/>
    </xf>
    <xf numFmtId="0" fontId="0" fillId="0" borderId="12" xfId="0" applyBorder="1"/>
    <xf numFmtId="0" fontId="0" fillId="0" borderId="43" xfId="0" applyBorder="1"/>
    <xf numFmtId="0" fontId="0" fillId="0" borderId="108" xfId="0" applyBorder="1"/>
    <xf numFmtId="0" fontId="0" fillId="0" borderId="46" xfId="0" applyBorder="1"/>
    <xf numFmtId="0" fontId="0" fillId="0" borderId="14" xfId="0" applyBorder="1"/>
    <xf numFmtId="0" fontId="33" fillId="0" borderId="15" xfId="0" applyFont="1" applyBorder="1"/>
    <xf numFmtId="0" fontId="0" fillId="0" borderId="49" xfId="0" applyBorder="1"/>
    <xf numFmtId="0" fontId="0" fillId="0" borderId="50" xfId="0" applyBorder="1"/>
    <xf numFmtId="0" fontId="0" fillId="0" borderId="37" xfId="0" applyBorder="1"/>
    <xf numFmtId="0" fontId="0" fillId="0" borderId="52" xfId="0" applyBorder="1"/>
    <xf numFmtId="165" fontId="0" fillId="0" borderId="40" xfId="0" applyNumberFormat="1" applyBorder="1" applyAlignment="1">
      <alignment wrapText="1"/>
    </xf>
    <xf numFmtId="2" fontId="0" fillId="0" borderId="49" xfId="0" applyNumberFormat="1" applyBorder="1" applyAlignment="1">
      <alignment vertical="center"/>
    </xf>
    <xf numFmtId="2" fontId="0" fillId="0" borderId="118" xfId="0" applyNumberFormat="1" applyBorder="1" applyAlignment="1">
      <alignment vertical="center"/>
    </xf>
    <xf numFmtId="2" fontId="0" fillId="0" borderId="52" xfId="0" applyNumberFormat="1" applyBorder="1" applyAlignment="1">
      <alignment vertical="center"/>
    </xf>
    <xf numFmtId="2" fontId="0" fillId="0" borderId="119" xfId="0" applyNumberFormat="1" applyBorder="1" applyAlignment="1">
      <alignment vertical="center"/>
    </xf>
    <xf numFmtId="165" fontId="0" fillId="0" borderId="113" xfId="0" applyNumberFormat="1" applyBorder="1" applyAlignment="1">
      <alignment wrapText="1"/>
    </xf>
    <xf numFmtId="165" fontId="0" fillId="0" borderId="51" xfId="0" applyNumberFormat="1" applyBorder="1" applyAlignment="1">
      <alignment wrapText="1"/>
    </xf>
    <xf numFmtId="165" fontId="0" fillId="0" borderId="121" xfId="0" applyNumberFormat="1" applyBorder="1" applyAlignment="1">
      <alignment wrapText="1"/>
    </xf>
    <xf numFmtId="165" fontId="0" fillId="0" borderId="124" xfId="0" applyNumberFormat="1" applyBorder="1" applyAlignment="1">
      <alignment horizontal="center" vertical="center"/>
    </xf>
    <xf numFmtId="165" fontId="0" fillId="0" borderId="125" xfId="0" applyNumberFormat="1" applyBorder="1" applyAlignment="1">
      <alignment horizontal="center" vertical="center"/>
    </xf>
    <xf numFmtId="165" fontId="0" fillId="0" borderId="127" xfId="0" applyNumberFormat="1" applyBorder="1" applyAlignment="1">
      <alignment horizontal="center" vertical="center"/>
    </xf>
    <xf numFmtId="165" fontId="0" fillId="0" borderId="128" xfId="0" applyNumberFormat="1" applyBorder="1" applyAlignment="1">
      <alignment horizontal="center" vertical="center"/>
    </xf>
    <xf numFmtId="165" fontId="0" fillId="0" borderId="133" xfId="0" applyNumberFormat="1" applyBorder="1" applyAlignment="1">
      <alignment horizontal="center" vertical="center"/>
    </xf>
    <xf numFmtId="0" fontId="0" fillId="0" borderId="26" xfId="0" applyBorder="1"/>
    <xf numFmtId="0" fontId="0" fillId="0" borderId="109" xfId="0" applyBorder="1" applyAlignment="1">
      <alignment horizontal="center"/>
    </xf>
    <xf numFmtId="0" fontId="45" fillId="0" borderId="0" xfId="0" applyFont="1"/>
    <xf numFmtId="16" fontId="45" fillId="0" borderId="53" xfId="0" applyNumberFormat="1" applyFont="1" applyBorder="1"/>
    <xf numFmtId="0" fontId="45" fillId="0" borderId="65" xfId="0" applyFont="1" applyBorder="1"/>
    <xf numFmtId="1" fontId="45" fillId="0" borderId="134" xfId="0" applyNumberFormat="1" applyFont="1" applyBorder="1" applyAlignment="1">
      <alignment horizontal="center"/>
    </xf>
    <xf numFmtId="1" fontId="45" fillId="0" borderId="58" xfId="0" applyNumberFormat="1" applyFont="1" applyBorder="1" applyAlignment="1">
      <alignment horizontal="center"/>
    </xf>
    <xf numFmtId="0" fontId="44" fillId="0" borderId="30" xfId="0" applyFont="1" applyBorder="1"/>
    <xf numFmtId="0" fontId="44" fillId="0" borderId="30" xfId="0" applyFont="1" applyBorder="1" applyAlignment="1">
      <alignment horizontal="center"/>
    </xf>
    <xf numFmtId="0" fontId="44" fillId="0" borderId="30" xfId="0" quotePrefix="1" applyFont="1" applyBorder="1" applyAlignment="1">
      <alignment horizontal="center"/>
    </xf>
    <xf numFmtId="0" fontId="43" fillId="0" borderId="0" xfId="0" applyFont="1"/>
    <xf numFmtId="0" fontId="44" fillId="0" borderId="0" xfId="0" applyFont="1" applyAlignment="1">
      <alignment horizontal="center"/>
    </xf>
    <xf numFmtId="0" fontId="43" fillId="0" borderId="109" xfId="0" applyFont="1" applyBorder="1"/>
    <xf numFmtId="0" fontId="43" fillId="0" borderId="135" xfId="0" applyFont="1" applyBorder="1"/>
    <xf numFmtId="0" fontId="43" fillId="0" borderId="137" xfId="0" applyFont="1" applyBorder="1"/>
    <xf numFmtId="0" fontId="43" fillId="0" borderId="139" xfId="0" applyFont="1" applyBorder="1"/>
    <xf numFmtId="0" fontId="43" fillId="0" borderId="140" xfId="0" applyFont="1" applyBorder="1"/>
    <xf numFmtId="0" fontId="44" fillId="0" borderId="136" xfId="0" applyFont="1" applyBorder="1" applyAlignment="1">
      <alignment horizontal="center"/>
    </xf>
    <xf numFmtId="0" fontId="44" fillId="0" borderId="138" xfId="0" applyFont="1" applyBorder="1" applyAlignment="1">
      <alignment horizontal="center"/>
    </xf>
    <xf numFmtId="0" fontId="44" fillId="0" borderId="26" xfId="0" applyFont="1" applyBorder="1" applyAlignment="1">
      <alignment horizontal="center"/>
    </xf>
    <xf numFmtId="0" fontId="43" fillId="0" borderId="0" xfId="0" applyFont="1" applyAlignment="1">
      <alignment horizontal="right"/>
    </xf>
    <xf numFmtId="0" fontId="44" fillId="0" borderId="135" xfId="0" applyFont="1" applyBorder="1" applyAlignment="1">
      <alignment horizontal="center"/>
    </xf>
    <xf numFmtId="0" fontId="44" fillId="0" borderId="137" xfId="0" applyFont="1" applyBorder="1" applyAlignment="1">
      <alignment horizontal="center"/>
    </xf>
    <xf numFmtId="0" fontId="44" fillId="0" borderId="109" xfId="0" applyFont="1" applyBorder="1" applyAlignment="1">
      <alignment horizontal="center"/>
    </xf>
    <xf numFmtId="0" fontId="44" fillId="0" borderId="138" xfId="0" applyFont="1" applyBorder="1"/>
    <xf numFmtId="0" fontId="44" fillId="0" borderId="26" xfId="0" applyFont="1" applyBorder="1"/>
    <xf numFmtId="0" fontId="44" fillId="0" borderId="136" xfId="0" applyFont="1" applyBorder="1"/>
    <xf numFmtId="0" fontId="43" fillId="0" borderId="26" xfId="0" applyFont="1" applyBorder="1"/>
    <xf numFmtId="0" fontId="44" fillId="0" borderId="135" xfId="0" applyFont="1" applyBorder="1"/>
    <xf numFmtId="0" fontId="44" fillId="0" borderId="137" xfId="0" applyFont="1" applyBorder="1"/>
    <xf numFmtId="0" fontId="44" fillId="0" borderId="109" xfId="0" applyFont="1" applyBorder="1"/>
    <xf numFmtId="0" fontId="55" fillId="0" borderId="0" xfId="0" applyFont="1"/>
    <xf numFmtId="2" fontId="44" fillId="0" borderId="0" xfId="0" applyNumberFormat="1" applyFont="1"/>
    <xf numFmtId="2" fontId="0" fillId="0" borderId="50" xfId="0" applyNumberFormat="1" applyBorder="1"/>
    <xf numFmtId="0" fontId="7" fillId="0" borderId="3" xfId="0" applyFont="1" applyBorder="1" applyAlignment="1" applyProtection="1">
      <alignment horizontal="center" vertical="center"/>
      <protection hidden="1"/>
    </xf>
    <xf numFmtId="0" fontId="0" fillId="19" borderId="0" xfId="0" applyFill="1"/>
    <xf numFmtId="0" fontId="37" fillId="0" borderId="0" xfId="0" applyFont="1"/>
    <xf numFmtId="2" fontId="0" fillId="0" borderId="45" xfId="0" applyNumberFormat="1" applyBorder="1" applyAlignment="1">
      <alignment horizontal="center"/>
    </xf>
    <xf numFmtId="2" fontId="0" fillId="0" borderId="53" xfId="0" applyNumberFormat="1" applyBorder="1" applyAlignment="1">
      <alignment horizontal="center"/>
    </xf>
    <xf numFmtId="2" fontId="0" fillId="0" borderId="8" xfId="0" applyNumberFormat="1" applyBorder="1" applyAlignment="1">
      <alignment horizontal="center"/>
    </xf>
    <xf numFmtId="165" fontId="46" fillId="0" borderId="64" xfId="0" applyNumberFormat="1" applyFont="1" applyBorder="1"/>
    <xf numFmtId="0" fontId="52" fillId="0" borderId="0" xfId="0" applyFont="1"/>
    <xf numFmtId="0" fontId="0" fillId="0" borderId="61" xfId="0" applyBorder="1"/>
    <xf numFmtId="0" fontId="0" fillId="0" borderId="53" xfId="0" applyBorder="1" applyAlignment="1">
      <alignment horizontal="center"/>
    </xf>
    <xf numFmtId="2" fontId="46" fillId="0" borderId="59" xfId="0" applyNumberFormat="1" applyFont="1" applyBorder="1"/>
    <xf numFmtId="0" fontId="0" fillId="0" borderId="93" xfId="0" applyBorder="1" applyAlignment="1">
      <alignment horizontal="center" vertical="center"/>
    </xf>
    <xf numFmtId="0" fontId="0" fillId="0" borderId="0" xfId="0" applyAlignment="1">
      <alignment vertical="center"/>
    </xf>
    <xf numFmtId="0" fontId="0" fillId="0" borderId="61" xfId="0" applyBorder="1" applyAlignment="1">
      <alignment horizontal="center" vertical="center"/>
    </xf>
    <xf numFmtId="0" fontId="7" fillId="0" borderId="80" xfId="0" applyFont="1" applyBorder="1" applyAlignment="1" applyProtection="1">
      <alignment horizontal="center" vertical="center" wrapText="1"/>
      <protection hidden="1"/>
    </xf>
    <xf numFmtId="0" fontId="7" fillId="0" borderId="145" xfId="0" applyFont="1" applyBorder="1" applyAlignment="1" applyProtection="1">
      <alignment horizontal="center" vertical="center" wrapText="1"/>
      <protection hidden="1"/>
    </xf>
    <xf numFmtId="3" fontId="7" fillId="0" borderId="103" xfId="0" applyNumberFormat="1" applyFont="1" applyBorder="1" applyAlignment="1" applyProtection="1">
      <alignment horizontal="center" vertical="center" wrapText="1"/>
      <protection hidden="1"/>
    </xf>
    <xf numFmtId="10" fontId="7" fillId="0" borderId="103" xfId="0" applyNumberFormat="1" applyFont="1" applyBorder="1" applyAlignment="1" applyProtection="1">
      <alignment horizontal="center" vertical="center" wrapText="1"/>
      <protection hidden="1"/>
    </xf>
    <xf numFmtId="164" fontId="0" fillId="0" borderId="103" xfId="0" applyNumberFormat="1" applyBorder="1" applyAlignment="1">
      <alignment horizontal="center" vertical="center"/>
    </xf>
    <xf numFmtId="0" fontId="0" fillId="0" borderId="103" xfId="0" applyBorder="1" applyAlignment="1">
      <alignment horizontal="center" vertical="center"/>
    </xf>
    <xf numFmtId="0" fontId="0" fillId="0" borderId="98" xfId="0" applyBorder="1" applyAlignment="1">
      <alignment horizontal="center" vertical="center"/>
    </xf>
    <xf numFmtId="0" fontId="8" fillId="0" borderId="77" xfId="0" applyFont="1" applyBorder="1" applyAlignment="1" applyProtection="1">
      <alignment horizontal="center" vertical="center" wrapText="1"/>
      <protection hidden="1"/>
    </xf>
    <xf numFmtId="0" fontId="8" fillId="0" borderId="78" xfId="0" applyFont="1" applyBorder="1" applyAlignment="1" applyProtection="1">
      <alignment horizontal="center" vertical="center" wrapText="1"/>
      <protection hidden="1"/>
    </xf>
    <xf numFmtId="0" fontId="8" fillId="0" borderId="79" xfId="0" applyFont="1" applyBorder="1" applyAlignment="1" applyProtection="1">
      <alignment horizontal="center" vertical="center" wrapText="1"/>
      <protection hidden="1"/>
    </xf>
    <xf numFmtId="0" fontId="7" fillId="0" borderId="148" xfId="0" applyFont="1" applyBorder="1" applyAlignment="1" applyProtection="1">
      <alignment horizontal="center" vertical="center" wrapText="1"/>
      <protection hidden="1"/>
    </xf>
    <xf numFmtId="3" fontId="7" fillId="0" borderId="63" xfId="0" applyNumberFormat="1" applyFont="1" applyBorder="1" applyAlignment="1" applyProtection="1">
      <alignment horizontal="center" vertical="center" wrapText="1"/>
      <protection hidden="1"/>
    </xf>
    <xf numFmtId="10" fontId="7" fillId="0" borderId="63" xfId="0" applyNumberFormat="1" applyFont="1" applyBorder="1" applyAlignment="1" applyProtection="1">
      <alignment horizontal="center" vertical="center" wrapText="1"/>
      <protection hidden="1"/>
    </xf>
    <xf numFmtId="0" fontId="7" fillId="0" borderId="63" xfId="0" applyFont="1" applyBorder="1" applyAlignment="1" applyProtection="1">
      <alignment horizontal="center" vertical="center" wrapText="1"/>
      <protection hidden="1"/>
    </xf>
    <xf numFmtId="0" fontId="0" fillId="0" borderId="63" xfId="0" applyBorder="1" applyAlignment="1">
      <alignment horizontal="center" vertical="center"/>
    </xf>
    <xf numFmtId="0" fontId="0" fillId="0" borderId="149" xfId="0" applyBorder="1" applyAlignment="1">
      <alignment horizontal="center" vertical="center"/>
    </xf>
    <xf numFmtId="3" fontId="7" fillId="0" borderId="0" xfId="0" applyNumberFormat="1" applyFont="1" applyAlignment="1" applyProtection="1">
      <alignment horizontal="center" vertical="center" wrapText="1"/>
      <protection hidden="1"/>
    </xf>
    <xf numFmtId="10" fontId="7" fillId="0" borderId="0" xfId="0" applyNumberFormat="1" applyFont="1" applyAlignment="1" applyProtection="1">
      <alignment horizontal="center" vertical="center" wrapText="1"/>
      <protection hidden="1"/>
    </xf>
    <xf numFmtId="0" fontId="0" fillId="0" borderId="143" xfId="0" applyBorder="1" applyAlignment="1">
      <alignment horizontal="center"/>
    </xf>
    <xf numFmtId="1" fontId="0" fillId="0" borderId="0" xfId="0" applyNumberFormat="1" applyAlignment="1">
      <alignment vertical="center"/>
    </xf>
    <xf numFmtId="0" fontId="0" fillId="0" borderId="93" xfId="0" applyBorder="1"/>
    <xf numFmtId="0" fontId="0" fillId="0" borderId="145" xfId="0" applyBorder="1" applyAlignment="1">
      <alignment horizontal="center" vertical="center"/>
    </xf>
    <xf numFmtId="0" fontId="0" fillId="0" borderId="147" xfId="0" applyBorder="1" applyAlignment="1">
      <alignment horizontal="center" vertical="center"/>
    </xf>
    <xf numFmtId="0" fontId="0" fillId="0" borderId="61" xfId="0" applyBorder="1" applyAlignment="1">
      <alignment horizontal="center"/>
    </xf>
    <xf numFmtId="0" fontId="0" fillId="0" borderId="70" xfId="0" applyBorder="1" applyAlignment="1">
      <alignment horizontal="center" vertical="center"/>
    </xf>
    <xf numFmtId="0" fontId="0" fillId="0" borderId="61" xfId="0" applyBorder="1" applyAlignment="1">
      <alignment wrapText="1"/>
    </xf>
    <xf numFmtId="0" fontId="0" fillId="0" borderId="143" xfId="0" applyBorder="1" applyAlignment="1">
      <alignment horizontal="center" wrapText="1"/>
    </xf>
    <xf numFmtId="0" fontId="0" fillId="0" borderId="93" xfId="0" applyBorder="1" applyAlignment="1">
      <alignment horizontal="center" wrapText="1"/>
    </xf>
    <xf numFmtId="0" fontId="0" fillId="0" borderId="61" xfId="0" applyBorder="1" applyAlignment="1">
      <alignment horizontal="center" wrapText="1"/>
    </xf>
    <xf numFmtId="2" fontId="1" fillId="0" borderId="80" xfId="0" applyNumberFormat="1" applyFont="1" applyBorder="1"/>
    <xf numFmtId="0" fontId="1" fillId="0" borderId="0" xfId="0" applyFont="1"/>
    <xf numFmtId="0" fontId="1" fillId="0" borderId="80" xfId="0" applyFont="1" applyBorder="1"/>
    <xf numFmtId="2" fontId="1" fillId="0" borderId="0" xfId="0" applyNumberFormat="1" applyFont="1"/>
    <xf numFmtId="0" fontId="0" fillId="0" borderId="109" xfId="0" applyBorder="1"/>
    <xf numFmtId="0" fontId="0" fillId="0" borderId="28" xfId="0" applyBorder="1" applyAlignment="1">
      <alignment horizontal="center" vertical="center"/>
    </xf>
    <xf numFmtId="0" fontId="41" fillId="14" borderId="145" xfId="0" applyFont="1" applyFill="1" applyBorder="1" applyAlignment="1">
      <alignment horizontal="center"/>
    </xf>
    <xf numFmtId="0" fontId="41" fillId="14" borderId="98" xfId="0" applyFont="1" applyFill="1" applyBorder="1" applyAlignment="1">
      <alignment horizontal="center"/>
    </xf>
    <xf numFmtId="0" fontId="0" fillId="0" borderId="0" xfId="0" applyAlignment="1">
      <alignment horizontal="center"/>
      <extLst>
        <ext xmlns:xfpb="http://schemas.microsoft.com/office/spreadsheetml/2022/featurepropertybag" uri="{C7286773-470A-42A8-94C5-96B5CB345126}">
          <xfpb:xfComplement i="0"/>
        </ext>
      </extLst>
    </xf>
    <xf numFmtId="0" fontId="0" fillId="0" borderId="152" xfId="0" applyBorder="1" applyAlignment="1">
      <alignment horizontal="center" vertical="center"/>
    </xf>
    <xf numFmtId="0" fontId="0" fillId="0" borderId="153" xfId="0" applyBorder="1" applyAlignment="1">
      <alignment horizontal="center" vertical="center"/>
    </xf>
    <xf numFmtId="0" fontId="0" fillId="0" borderId="154" xfId="0" applyBorder="1" applyAlignment="1">
      <alignment horizontal="center" vertical="center"/>
    </xf>
    <xf numFmtId="0" fontId="0" fillId="0" borderId="155" xfId="0" applyBorder="1" applyAlignment="1">
      <alignment horizontal="center" vertical="center"/>
    </xf>
    <xf numFmtId="0" fontId="0" fillId="0" borderId="156" xfId="0" applyBorder="1" applyAlignment="1">
      <alignment horizontal="center" vertical="center"/>
    </xf>
    <xf numFmtId="0" fontId="0" fillId="0" borderId="157" xfId="0" applyBorder="1" applyAlignment="1">
      <alignment horizontal="center" vertical="center"/>
    </xf>
    <xf numFmtId="0" fontId="0" fillId="0" borderId="158" xfId="0" applyBorder="1" applyAlignment="1">
      <alignment horizontal="center" vertical="center"/>
    </xf>
    <xf numFmtId="0" fontId="0" fillId="0" borderId="69" xfId="0" applyBorder="1" applyAlignment="1">
      <alignment horizontal="center" vertical="center"/>
    </xf>
    <xf numFmtId="0" fontId="0" fillId="0" borderId="159" xfId="0" applyBorder="1" applyAlignment="1">
      <alignment horizontal="center" vertical="center"/>
    </xf>
    <xf numFmtId="0" fontId="0" fillId="0" borderId="160" xfId="0" applyBorder="1" applyAlignment="1">
      <alignment horizontal="center" vertical="center"/>
    </xf>
    <xf numFmtId="0" fontId="0" fillId="0" borderId="161" xfId="0" applyBorder="1" applyAlignment="1">
      <alignment horizontal="center" vertical="center"/>
    </xf>
    <xf numFmtId="0" fontId="0" fillId="0" borderId="162" xfId="0" applyBorder="1" applyAlignment="1">
      <alignment horizontal="center" vertical="center"/>
    </xf>
    <xf numFmtId="0" fontId="0" fillId="0" borderId="109" xfId="0" applyBorder="1" applyAlignment="1">
      <alignment horizontal="center" vertical="center"/>
    </xf>
    <xf numFmtId="0" fontId="27" fillId="0" borderId="78" xfId="0" applyFont="1" applyBorder="1" applyAlignment="1">
      <alignment vertical="center"/>
    </xf>
    <xf numFmtId="0" fontId="27" fillId="0" borderId="103" xfId="0" applyFont="1" applyBorder="1" applyAlignment="1">
      <alignment vertical="center"/>
    </xf>
    <xf numFmtId="0" fontId="0" fillId="0" borderId="18" xfId="0" applyBorder="1" applyAlignment="1">
      <alignment horizontal="center"/>
    </xf>
    <xf numFmtId="0" fontId="0" fillId="0" borderId="144" xfId="0" applyBorder="1" applyAlignment="1">
      <alignment horizontal="center"/>
    </xf>
    <xf numFmtId="0" fontId="0" fillId="0" borderId="26"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12" borderId="53" xfId="0" applyFill="1" applyBorder="1"/>
    <xf numFmtId="0" fontId="0" fillId="0" borderId="163" xfId="0" applyBorder="1" applyAlignment="1">
      <alignment wrapText="1"/>
    </xf>
    <xf numFmtId="0" fontId="0" fillId="0" borderId="164" xfId="0" applyBorder="1" applyAlignment="1">
      <alignment wrapText="1"/>
    </xf>
    <xf numFmtId="2" fontId="1" fillId="0" borderId="14" xfId="0" applyNumberFormat="1" applyFont="1" applyBorder="1"/>
    <xf numFmtId="0" fontId="46" fillId="0" borderId="14" xfId="0" applyFont="1" applyBorder="1"/>
    <xf numFmtId="0" fontId="46" fillId="0" borderId="14" xfId="0" applyFont="1" applyBorder="1" applyAlignment="1">
      <alignment vertical="center" wrapText="1"/>
    </xf>
    <xf numFmtId="0" fontId="0" fillId="0" borderId="18" xfId="0" applyBorder="1"/>
    <xf numFmtId="0" fontId="0" fillId="0" borderId="20" xfId="0" applyBorder="1"/>
    <xf numFmtId="0" fontId="0" fillId="0" borderId="14" xfId="0" applyBorder="1" applyAlignment="1">
      <alignment horizontal="center"/>
    </xf>
    <xf numFmtId="0" fontId="0" fillId="0" borderId="15" xfId="0" applyBorder="1" applyAlignment="1">
      <alignment horizontal="center"/>
    </xf>
    <xf numFmtId="0" fontId="0" fillId="0" borderId="28" xfId="0" applyBorder="1" applyAlignment="1">
      <alignment horizontal="center"/>
    </xf>
    <xf numFmtId="0" fontId="44" fillId="0" borderId="21" xfId="0" applyFont="1" applyBorder="1"/>
    <xf numFmtId="0" fontId="44" fillId="0" borderId="13" xfId="0" applyFont="1" applyBorder="1"/>
    <xf numFmtId="0" fontId="0" fillId="0" borderId="87" xfId="0" applyBorder="1" applyAlignment="1">
      <alignment horizontal="center" vertical="center"/>
    </xf>
    <xf numFmtId="0" fontId="0" fillId="0" borderId="172" xfId="0" applyBorder="1" applyAlignment="1">
      <alignment horizontal="center" vertical="center"/>
    </xf>
    <xf numFmtId="0" fontId="0" fillId="0" borderId="173" xfId="0" applyBorder="1" applyAlignment="1">
      <alignment horizontal="center"/>
    </xf>
    <xf numFmtId="0" fontId="0" fillId="0" borderId="174" xfId="0" applyBorder="1" applyAlignment="1">
      <alignment horizontal="center"/>
    </xf>
    <xf numFmtId="0" fontId="0" fillId="0" borderId="175" xfId="0" applyBorder="1" applyAlignment="1">
      <alignment horizontal="center"/>
    </xf>
    <xf numFmtId="165" fontId="46" fillId="0" borderId="0" xfId="0" applyNumberFormat="1" applyFont="1"/>
    <xf numFmtId="165" fontId="46" fillId="0" borderId="30" xfId="0" applyNumberFormat="1" applyFont="1" applyBorder="1"/>
    <xf numFmtId="0" fontId="44" fillId="0" borderId="41" xfId="0" applyFont="1" applyBorder="1" applyAlignment="1">
      <alignment horizontal="center"/>
    </xf>
    <xf numFmtId="0" fontId="44" fillId="0" borderId="113" xfId="0" applyFont="1" applyBorder="1"/>
    <xf numFmtId="0" fontId="44" fillId="0" borderId="40" xfId="0" applyFont="1" applyBorder="1" applyAlignment="1">
      <alignment horizontal="center"/>
    </xf>
    <xf numFmtId="0" fontId="46" fillId="0" borderId="30" xfId="0" applyFont="1" applyBorder="1" applyAlignment="1">
      <alignment horizontal="center"/>
    </xf>
    <xf numFmtId="0" fontId="46" fillId="0" borderId="30" xfId="0" applyFont="1" applyBorder="1" applyAlignment="1">
      <alignment vertical="center" wrapText="1"/>
    </xf>
    <xf numFmtId="2" fontId="46" fillId="0" borderId="60" xfId="0" applyNumberFormat="1" applyFont="1" applyBorder="1"/>
    <xf numFmtId="0" fontId="0" fillId="0" borderId="162" xfId="0" applyBorder="1" applyAlignment="1">
      <alignment horizontal="center"/>
    </xf>
    <xf numFmtId="0" fontId="0" fillId="0" borderId="16" xfId="0" applyBorder="1" applyAlignment="1">
      <alignment horizontal="center"/>
    </xf>
    <xf numFmtId="1" fontId="0" fillId="0" borderId="58" xfId="0" applyNumberFormat="1" applyBorder="1"/>
    <xf numFmtId="1" fontId="0" fillId="0" borderId="59" xfId="0" applyNumberFormat="1" applyBorder="1"/>
    <xf numFmtId="2" fontId="0" fillId="0" borderId="143" xfId="0" applyNumberFormat="1" applyBorder="1" applyAlignment="1">
      <alignment horizontal="center"/>
    </xf>
    <xf numFmtId="10" fontId="34" fillId="11" borderId="0" xfId="0" applyNumberFormat="1" applyFont="1" applyFill="1" applyAlignment="1">
      <alignment wrapText="1"/>
    </xf>
    <xf numFmtId="0" fontId="0" fillId="0" borderId="58" xfId="0" applyBorder="1"/>
    <xf numFmtId="0" fontId="0" fillId="0" borderId="12" xfId="0" applyBorder="1" applyAlignment="1">
      <alignment wrapText="1"/>
    </xf>
    <xf numFmtId="0" fontId="0" fillId="0" borderId="14" xfId="0" applyBorder="1" applyAlignment="1">
      <alignment wrapText="1"/>
    </xf>
    <xf numFmtId="0" fontId="0" fillId="0" borderId="18" xfId="0" applyBorder="1" applyAlignment="1">
      <alignment wrapText="1"/>
    </xf>
    <xf numFmtId="0" fontId="41" fillId="10" borderId="53" xfId="0" applyFont="1" applyFill="1" applyBorder="1" applyAlignment="1">
      <alignment horizontal="center"/>
    </xf>
    <xf numFmtId="44" fontId="41" fillId="10" borderId="53" xfId="3" applyFont="1" applyFill="1" applyBorder="1" applyAlignment="1">
      <alignment horizontal="center"/>
    </xf>
    <xf numFmtId="165" fontId="0" fillId="0" borderId="0" xfId="0" applyNumberFormat="1"/>
    <xf numFmtId="0" fontId="0" fillId="27" borderId="0" xfId="0" applyFill="1"/>
    <xf numFmtId="2" fontId="0" fillId="12" borderId="0" xfId="0" applyNumberFormat="1" applyFill="1"/>
    <xf numFmtId="0" fontId="0" fillId="0" borderId="28" xfId="0" applyBorder="1"/>
    <xf numFmtId="0" fontId="15" fillId="0" borderId="0" xfId="0" applyFont="1" applyAlignment="1">
      <alignment horizontal="right"/>
    </xf>
    <xf numFmtId="0" fontId="43" fillId="0" borderId="12" xfId="0" applyFont="1" applyBorder="1"/>
    <xf numFmtId="0" fontId="44" fillId="0" borderId="19" xfId="0" applyFont="1" applyBorder="1" applyAlignment="1">
      <alignment horizontal="center"/>
    </xf>
    <xf numFmtId="0" fontId="43" fillId="0" borderId="14" xfId="0" applyFont="1" applyBorder="1"/>
    <xf numFmtId="0" fontId="44" fillId="0" borderId="15" xfId="0" applyFont="1" applyBorder="1" applyAlignment="1">
      <alignment horizontal="center"/>
    </xf>
    <xf numFmtId="0" fontId="44" fillId="0" borderId="14" xfId="0" applyFont="1" applyBorder="1"/>
    <xf numFmtId="0" fontId="44" fillId="0" borderId="18" xfId="0" applyFont="1" applyBorder="1"/>
    <xf numFmtId="0" fontId="44" fillId="0" borderId="13" xfId="0" applyFont="1" applyBorder="1" applyAlignment="1">
      <alignment horizontal="center"/>
    </xf>
    <xf numFmtId="0" fontId="44" fillId="0" borderId="12" xfId="0" applyFont="1" applyBorder="1" applyAlignment="1">
      <alignment horizontal="center"/>
    </xf>
    <xf numFmtId="0" fontId="44" fillId="0" borderId="14" xfId="0" applyFont="1" applyBorder="1" applyAlignment="1">
      <alignment horizontal="center"/>
    </xf>
    <xf numFmtId="1" fontId="0" fillId="0" borderId="30" xfId="0" applyNumberFormat="1" applyBorder="1"/>
    <xf numFmtId="1" fontId="0" fillId="0" borderId="30" xfId="0" applyNumberFormat="1" applyBorder="1" applyAlignment="1">
      <alignment horizontal="center"/>
    </xf>
    <xf numFmtId="0" fontId="0" fillId="28" borderId="0" xfId="0" applyFill="1"/>
    <xf numFmtId="2" fontId="0" fillId="12" borderId="0" xfId="0" applyNumberFormat="1" applyFill="1" applyAlignment="1">
      <alignment horizontal="center"/>
    </xf>
    <xf numFmtId="0" fontId="0" fillId="0" borderId="162" xfId="0" applyBorder="1" applyAlignment="1">
      <alignment wrapText="1"/>
    </xf>
    <xf numFmtId="0" fontId="0" fillId="0" borderId="16" xfId="0" applyBorder="1" applyAlignment="1">
      <alignment wrapText="1"/>
    </xf>
    <xf numFmtId="0" fontId="0" fillId="0" borderId="17" xfId="0" applyBorder="1" applyAlignment="1">
      <alignment wrapText="1"/>
    </xf>
    <xf numFmtId="0" fontId="0" fillId="0" borderId="17" xfId="0" applyBorder="1"/>
    <xf numFmtId="0" fontId="0" fillId="0" borderId="26" xfId="0" applyBorder="1" applyAlignment="1">
      <alignment horizontal="center" vertical="center"/>
    </xf>
    <xf numFmtId="2" fontId="0" fillId="0" borderId="109" xfId="0" applyNumberFormat="1" applyBorder="1"/>
    <xf numFmtId="2" fontId="0" fillId="0" borderId="61" xfId="0" applyNumberFormat="1" applyBorder="1" applyAlignment="1">
      <alignment horizontal="center"/>
    </xf>
    <xf numFmtId="2" fontId="0" fillId="0" borderId="109" xfId="0" applyNumberFormat="1" applyBorder="1" applyAlignment="1">
      <alignment horizontal="center"/>
    </xf>
    <xf numFmtId="0" fontId="0" fillId="0" borderId="109" xfId="0" quotePrefix="1" applyBorder="1" applyAlignment="1">
      <alignment horizontal="center"/>
    </xf>
    <xf numFmtId="2" fontId="0" fillId="0" borderId="155" xfId="0" applyNumberFormat="1" applyBorder="1" applyAlignment="1">
      <alignment horizontal="center" vertical="center"/>
    </xf>
    <xf numFmtId="2" fontId="0" fillId="0" borderId="12" xfId="0" applyNumberFormat="1" applyBorder="1" applyAlignment="1">
      <alignment horizontal="center" vertical="center"/>
    </xf>
    <xf numFmtId="0" fontId="0" fillId="0" borderId="109" xfId="0" applyBorder="1" applyAlignment="1">
      <alignment horizontal="center" wrapText="1"/>
    </xf>
    <xf numFmtId="2" fontId="0" fillId="0" borderId="109" xfId="0" applyNumberFormat="1" applyBorder="1" applyAlignment="1">
      <alignment horizontal="center" wrapText="1"/>
    </xf>
    <xf numFmtId="2" fontId="0" fillId="0" borderId="0" xfId="0" applyNumberFormat="1" applyAlignment="1">
      <alignment vertical="center"/>
    </xf>
    <xf numFmtId="0" fontId="0" fillId="0" borderId="42" xfId="0" applyBorder="1" applyAlignment="1">
      <alignment wrapText="1"/>
    </xf>
    <xf numFmtId="0" fontId="0" fillId="4" borderId="108" xfId="0" applyFill="1" applyBorder="1"/>
    <xf numFmtId="0" fontId="0" fillId="0" borderId="46" xfId="0" applyBorder="1" applyAlignment="1">
      <alignment wrapText="1"/>
    </xf>
    <xf numFmtId="0" fontId="0" fillId="4" borderId="181" xfId="0" applyFill="1" applyBorder="1"/>
    <xf numFmtId="0" fontId="0" fillId="0" borderId="49" xfId="0" applyBorder="1" applyAlignment="1">
      <alignment wrapText="1"/>
    </xf>
    <xf numFmtId="0" fontId="0" fillId="4" borderId="118" xfId="0" applyFill="1" applyBorder="1"/>
    <xf numFmtId="0" fontId="0" fillId="0" borderId="19" xfId="0" applyBorder="1" applyAlignment="1">
      <alignment horizontal="left"/>
    </xf>
    <xf numFmtId="0" fontId="0" fillId="0" borderId="0" xfId="0" applyAlignment="1">
      <alignment horizontal="left"/>
    </xf>
    <xf numFmtId="0" fontId="0" fillId="0" borderId="15" xfId="0" applyBorder="1" applyAlignment="1">
      <alignment horizontal="left"/>
    </xf>
    <xf numFmtId="0" fontId="0" fillId="0" borderId="20" xfId="0" applyBorder="1" applyAlignment="1">
      <alignment horizontal="left"/>
    </xf>
    <xf numFmtId="0" fontId="0" fillId="0" borderId="12" xfId="0" applyBorder="1" applyAlignment="1">
      <alignment horizontal="left"/>
    </xf>
    <xf numFmtId="0" fontId="0" fillId="0" borderId="85" xfId="0" applyBorder="1" applyAlignment="1">
      <alignment horizontal="center" vertical="center"/>
    </xf>
    <xf numFmtId="0" fontId="0" fillId="0" borderId="13" xfId="0" applyBorder="1" applyAlignment="1">
      <alignment horizontal="left"/>
    </xf>
    <xf numFmtId="0" fontId="0" fillId="0" borderId="14" xfId="0" applyBorder="1" applyAlignment="1">
      <alignment horizontal="left"/>
    </xf>
    <xf numFmtId="0" fontId="0" fillId="0" borderId="18" xfId="0" applyBorder="1" applyAlignment="1">
      <alignment horizontal="left"/>
    </xf>
    <xf numFmtId="0" fontId="0" fillId="0" borderId="21" xfId="0" applyBorder="1" applyAlignment="1">
      <alignment horizontal="left"/>
    </xf>
    <xf numFmtId="0" fontId="0" fillId="0" borderId="0" xfId="0" applyAlignment="1">
      <alignment horizontal="left" vertical="center"/>
    </xf>
    <xf numFmtId="0" fontId="0" fillId="0" borderId="18" xfId="0" applyBorder="1" applyAlignment="1">
      <alignment vertical="center"/>
    </xf>
    <xf numFmtId="0" fontId="0" fillId="0" borderId="27" xfId="0" applyBorder="1" applyAlignment="1">
      <alignment horizontal="center" vertical="center"/>
    </xf>
    <xf numFmtId="2" fontId="0" fillId="0" borderId="45" xfId="0" applyNumberFormat="1" applyBorder="1"/>
    <xf numFmtId="2" fontId="0" fillId="0" borderId="14" xfId="0" applyNumberFormat="1" applyBorder="1"/>
    <xf numFmtId="0" fontId="1" fillId="0" borderId="14" xfId="0" applyFont="1" applyBorder="1"/>
    <xf numFmtId="0" fontId="0" fillId="0" borderId="178" xfId="0" applyBorder="1" applyAlignment="1">
      <alignment wrapText="1"/>
    </xf>
    <xf numFmtId="0" fontId="0" fillId="0" borderId="43" xfId="0" applyBorder="1" applyAlignment="1">
      <alignment wrapText="1"/>
    </xf>
    <xf numFmtId="0" fontId="0" fillId="0" borderId="120" xfId="0" applyBorder="1" applyAlignment="1">
      <alignment wrapText="1"/>
    </xf>
    <xf numFmtId="2" fontId="0" fillId="0" borderId="130" xfId="0" applyNumberFormat="1" applyBorder="1"/>
    <xf numFmtId="0" fontId="0" fillId="0" borderId="167" xfId="0" applyBorder="1"/>
    <xf numFmtId="2" fontId="0" fillId="0" borderId="132" xfId="0" applyNumberFormat="1" applyBorder="1"/>
    <xf numFmtId="1" fontId="7" fillId="0" borderId="103" xfId="0" applyNumberFormat="1" applyFont="1" applyBorder="1" applyAlignment="1" applyProtection="1">
      <alignment horizontal="center" vertical="center" wrapText="1"/>
      <protection hidden="1"/>
    </xf>
    <xf numFmtId="0" fontId="59" fillId="0" borderId="0" xfId="0" applyFont="1" applyAlignment="1">
      <alignment horizontal="center" vertical="center"/>
    </xf>
    <xf numFmtId="3" fontId="60" fillId="0" borderId="0" xfId="0" applyNumberFormat="1" applyFont="1" applyAlignment="1" applyProtection="1">
      <alignment horizontal="center" vertical="center" wrapText="1"/>
      <protection hidden="1"/>
    </xf>
    <xf numFmtId="10" fontId="60" fillId="0" borderId="0" xfId="0" applyNumberFormat="1" applyFont="1" applyAlignment="1" applyProtection="1">
      <alignment horizontal="center" vertical="center" wrapText="1"/>
      <protection hidden="1"/>
    </xf>
    <xf numFmtId="0" fontId="60" fillId="0" borderId="0" xfId="0" applyFont="1" applyAlignment="1" applyProtection="1">
      <alignment horizontal="center" vertical="center" wrapText="1"/>
      <protection hidden="1"/>
    </xf>
    <xf numFmtId="0" fontId="61" fillId="0" borderId="0" xfId="0" applyFont="1" applyAlignment="1">
      <alignment horizontal="center" vertical="center"/>
    </xf>
    <xf numFmtId="0" fontId="62" fillId="0" borderId="0" xfId="0" applyFont="1"/>
    <xf numFmtId="3" fontId="33" fillId="0" borderId="0" xfId="0" applyNumberFormat="1" applyFont="1"/>
    <xf numFmtId="2" fontId="0" fillId="0" borderId="0" xfId="1" applyNumberFormat="1" applyFont="1" applyFill="1" applyBorder="1" applyAlignment="1" applyProtection="1">
      <alignment horizontal="center" vertical="center"/>
    </xf>
    <xf numFmtId="1" fontId="44" fillId="0" borderId="0" xfId="0" applyNumberFormat="1" applyFont="1"/>
    <xf numFmtId="1" fontId="44" fillId="0" borderId="53" xfId="0" applyNumberFormat="1" applyFont="1" applyBorder="1"/>
    <xf numFmtId="1" fontId="44" fillId="0" borderId="58" xfId="0" applyNumberFormat="1" applyFont="1" applyBorder="1"/>
    <xf numFmtId="1" fontId="44" fillId="0" borderId="73" xfId="0" applyNumberFormat="1" applyFont="1" applyBorder="1"/>
    <xf numFmtId="2" fontId="44" fillId="0" borderId="55" xfId="0" applyNumberFormat="1" applyFont="1" applyBorder="1"/>
    <xf numFmtId="1" fontId="44" fillId="0" borderId="55" xfId="0" applyNumberFormat="1" applyFont="1" applyBorder="1"/>
    <xf numFmtId="2" fontId="44" fillId="0" borderId="53" xfId="0" applyNumberFormat="1" applyFont="1" applyBorder="1"/>
    <xf numFmtId="2" fontId="44" fillId="0" borderId="56" xfId="0" applyNumberFormat="1" applyFont="1" applyBorder="1"/>
    <xf numFmtId="1" fontId="44" fillId="0" borderId="102" xfId="0" applyNumberFormat="1" applyFont="1" applyBorder="1"/>
    <xf numFmtId="1" fontId="44" fillId="0" borderId="56" xfId="0" applyNumberFormat="1" applyFont="1" applyBorder="1"/>
    <xf numFmtId="2" fontId="44" fillId="0" borderId="102" xfId="0" applyNumberFormat="1" applyFont="1" applyBorder="1"/>
    <xf numFmtId="0" fontId="52" fillId="0" borderId="0" xfId="0" applyFont="1" applyAlignment="1">
      <alignment horizontal="left"/>
    </xf>
    <xf numFmtId="2" fontId="44" fillId="0" borderId="166" xfId="0" applyNumberFormat="1" applyFont="1" applyBorder="1"/>
    <xf numFmtId="165" fontId="44" fillId="0" borderId="58" xfId="0" applyNumberFormat="1" applyFont="1" applyBorder="1"/>
    <xf numFmtId="1" fontId="44" fillId="0" borderId="166" xfId="0" applyNumberFormat="1" applyFont="1" applyBorder="1"/>
    <xf numFmtId="2" fontId="44" fillId="0" borderId="168" xfId="0" applyNumberFormat="1" applyFont="1" applyBorder="1"/>
    <xf numFmtId="1" fontId="44" fillId="0" borderId="169" xfId="0" applyNumberFormat="1" applyFont="1" applyBorder="1"/>
    <xf numFmtId="165" fontId="44" fillId="0" borderId="182" xfId="0" applyNumberFormat="1" applyFont="1" applyBorder="1"/>
    <xf numFmtId="1" fontId="44" fillId="0" borderId="182" xfId="0" applyNumberFormat="1" applyFont="1" applyBorder="1"/>
    <xf numFmtId="1" fontId="44" fillId="0" borderId="168" xfId="0" applyNumberFormat="1" applyFont="1" applyBorder="1"/>
    <xf numFmtId="2" fontId="44" fillId="0" borderId="169" xfId="0" applyNumberFormat="1" applyFont="1" applyBorder="1"/>
    <xf numFmtId="0" fontId="0" fillId="4" borderId="0" xfId="0" applyFill="1" applyAlignment="1">
      <alignment horizontal="center"/>
    </xf>
    <xf numFmtId="0" fontId="42" fillId="0" borderId="0" xfId="3" applyNumberFormat="1" applyFont="1" applyFill="1" applyBorder="1" applyAlignment="1">
      <alignment horizontal="center"/>
    </xf>
    <xf numFmtId="0" fontId="0" fillId="0" borderId="179" xfId="0" applyBorder="1" applyAlignment="1">
      <alignment wrapText="1"/>
    </xf>
    <xf numFmtId="2" fontId="44" fillId="0" borderId="59" xfId="0" applyNumberFormat="1" applyFont="1" applyBorder="1"/>
    <xf numFmtId="2" fontId="44" fillId="0" borderId="183" xfId="0" applyNumberFormat="1" applyFont="1" applyBorder="1"/>
    <xf numFmtId="165" fontId="0" fillId="0" borderId="167" xfId="0" applyNumberFormat="1" applyBorder="1" applyAlignment="1">
      <alignment horizontal="center" vertical="center"/>
    </xf>
    <xf numFmtId="1" fontId="34" fillId="2" borderId="3" xfId="0" applyNumberFormat="1" applyFont="1" applyFill="1" applyBorder="1" applyAlignment="1">
      <alignment horizontal="center" vertical="center"/>
    </xf>
    <xf numFmtId="0" fontId="34" fillId="2" borderId="0" xfId="0" applyFont="1" applyFill="1" applyAlignment="1">
      <alignment horizontal="center" vertical="center"/>
    </xf>
    <xf numFmtId="0" fontId="34" fillId="2" borderId="7" xfId="0" applyFont="1" applyFill="1" applyBorder="1" applyAlignment="1">
      <alignment horizontal="center" vertical="center"/>
    </xf>
    <xf numFmtId="1" fontId="34" fillId="2" borderId="0" xfId="0" applyNumberFormat="1" applyFont="1" applyFill="1" applyAlignment="1">
      <alignment horizontal="center" vertical="center"/>
    </xf>
    <xf numFmtId="0" fontId="34" fillId="19" borderId="0" xfId="0" applyFont="1" applyFill="1"/>
    <xf numFmtId="0" fontId="34" fillId="2" borderId="7" xfId="0" applyFont="1" applyFill="1" applyBorder="1" applyAlignment="1">
      <alignment horizontal="center"/>
    </xf>
    <xf numFmtId="0" fontId="0" fillId="4" borderId="30" xfId="0" applyFill="1" applyBorder="1"/>
    <xf numFmtId="2" fontId="46" fillId="0" borderId="0" xfId="0" applyNumberFormat="1" applyFont="1" applyAlignment="1">
      <alignment horizontal="right"/>
    </xf>
    <xf numFmtId="0" fontId="45" fillId="0" borderId="163" xfId="0" applyFont="1" applyBorder="1"/>
    <xf numFmtId="1" fontId="45" fillId="0" borderId="184" xfId="0" applyNumberFormat="1" applyFont="1" applyBorder="1"/>
    <xf numFmtId="0" fontId="46" fillId="0" borderId="19" xfId="0" applyFont="1" applyBorder="1" applyAlignment="1">
      <alignment wrapText="1"/>
    </xf>
    <xf numFmtId="0" fontId="45" fillId="0" borderId="166" xfId="0" applyFont="1" applyBorder="1"/>
    <xf numFmtId="0" fontId="46" fillId="0" borderId="15" xfId="0" applyFont="1" applyBorder="1" applyAlignment="1">
      <alignment wrapText="1"/>
    </xf>
    <xf numFmtId="0" fontId="45" fillId="0" borderId="168" xfId="0" applyFont="1" applyBorder="1"/>
    <xf numFmtId="1" fontId="45" fillId="0" borderId="119" xfId="0" applyNumberFormat="1" applyFont="1" applyBorder="1"/>
    <xf numFmtId="0" fontId="46" fillId="0" borderId="20" xfId="0" applyFont="1" applyBorder="1" applyAlignment="1">
      <alignment wrapText="1"/>
    </xf>
    <xf numFmtId="0" fontId="46" fillId="4" borderId="64" xfId="0" applyFont="1" applyFill="1" applyBorder="1"/>
    <xf numFmtId="165" fontId="46" fillId="4" borderId="53" xfId="0" applyNumberFormat="1" applyFont="1" applyFill="1" applyBorder="1"/>
    <xf numFmtId="2" fontId="46" fillId="0" borderId="59" xfId="0" applyNumberFormat="1" applyFont="1" applyBorder="1" applyAlignment="1">
      <alignment horizontal="right"/>
    </xf>
    <xf numFmtId="0" fontId="54" fillId="11" borderId="0" xfId="0" applyFont="1" applyFill="1"/>
    <xf numFmtId="0" fontId="44" fillId="0" borderId="0" xfId="0" quotePrefix="1" applyFont="1"/>
    <xf numFmtId="0" fontId="34" fillId="11" borderId="0" xfId="0" applyFont="1" applyFill="1"/>
    <xf numFmtId="1" fontId="34" fillId="2" borderId="5" xfId="0" applyNumberFormat="1" applyFont="1" applyFill="1" applyBorder="1" applyAlignment="1">
      <alignment horizontal="center" vertical="center"/>
    </xf>
    <xf numFmtId="0" fontId="41" fillId="14" borderId="109" xfId="0" applyFont="1" applyFill="1" applyBorder="1" applyAlignment="1">
      <alignment horizontal="center"/>
    </xf>
    <xf numFmtId="1" fontId="52" fillId="0" borderId="0" xfId="0" applyNumberFormat="1" applyFont="1"/>
    <xf numFmtId="1" fontId="41" fillId="14" borderId="109" xfId="0" applyNumberFormat="1" applyFont="1" applyFill="1" applyBorder="1" applyAlignment="1">
      <alignment horizontal="center"/>
    </xf>
    <xf numFmtId="0" fontId="26" fillId="0" borderId="8" xfId="3" applyNumberFormat="1" applyFont="1" applyFill="1" applyBorder="1" applyAlignment="1">
      <alignment horizontal="center"/>
    </xf>
    <xf numFmtId="0" fontId="26" fillId="0" borderId="10" xfId="3" applyNumberFormat="1" applyFont="1" applyFill="1" applyBorder="1" applyAlignment="1">
      <alignment horizontal="center"/>
    </xf>
    <xf numFmtId="1" fontId="26" fillId="12" borderId="8" xfId="3" applyNumberFormat="1" applyFont="1" applyFill="1" applyBorder="1" applyAlignment="1">
      <alignment horizontal="center"/>
    </xf>
    <xf numFmtId="1" fontId="42" fillId="12" borderId="30" xfId="0" applyNumberFormat="1" applyFont="1" applyFill="1" applyBorder="1" applyAlignment="1">
      <alignment horizontal="center"/>
    </xf>
    <xf numFmtId="165" fontId="7" fillId="0" borderId="0" xfId="0" applyNumberFormat="1" applyFont="1" applyAlignment="1" applyProtection="1">
      <alignment horizontal="center" vertical="center" wrapText="1"/>
      <protection hidden="1"/>
    </xf>
    <xf numFmtId="165" fontId="7" fillId="0" borderId="21" xfId="0" applyNumberFormat="1" applyFont="1" applyBorder="1" applyAlignment="1" applyProtection="1">
      <alignment horizontal="center" vertical="center" wrapText="1"/>
      <protection hidden="1"/>
    </xf>
    <xf numFmtId="165" fontId="7" fillId="0" borderId="38" xfId="0" applyNumberFormat="1" applyFont="1" applyBorder="1" applyAlignment="1" applyProtection="1">
      <alignment horizontal="center" vertical="center" wrapText="1"/>
      <protection hidden="1"/>
    </xf>
    <xf numFmtId="0" fontId="0" fillId="0" borderId="58" xfId="0" applyBorder="1" applyAlignment="1">
      <alignment horizontal="center"/>
    </xf>
    <xf numFmtId="0" fontId="0" fillId="0" borderId="36" xfId="0" applyBorder="1"/>
    <xf numFmtId="0" fontId="0" fillId="0" borderId="45" xfId="0" applyBorder="1" applyAlignment="1">
      <alignment wrapText="1"/>
    </xf>
    <xf numFmtId="0" fontId="0" fillId="0" borderId="64" xfId="0" applyBorder="1"/>
    <xf numFmtId="0" fontId="0" fillId="12" borderId="64" xfId="0" applyFill="1" applyBorder="1"/>
    <xf numFmtId="0" fontId="0" fillId="0" borderId="77" xfId="0" applyBorder="1"/>
    <xf numFmtId="0" fontId="0" fillId="0" borderId="79" xfId="0" applyBorder="1"/>
    <xf numFmtId="0" fontId="0" fillId="0" borderId="145" xfId="0" applyBorder="1"/>
    <xf numFmtId="0" fontId="0" fillId="0" borderId="98" xfId="0" applyBorder="1"/>
    <xf numFmtId="0" fontId="0" fillId="12" borderId="58" xfId="0" applyFill="1" applyBorder="1"/>
    <xf numFmtId="0" fontId="0" fillId="0" borderId="65" xfId="0" applyBorder="1"/>
    <xf numFmtId="0" fontId="0" fillId="0" borderId="94" xfId="0" applyBorder="1"/>
    <xf numFmtId="0" fontId="0" fillId="0" borderId="186" xfId="0" applyBorder="1"/>
    <xf numFmtId="0" fontId="0" fillId="12" borderId="187" xfId="0" applyFill="1" applyBorder="1"/>
    <xf numFmtId="0" fontId="0" fillId="0" borderId="188" xfId="0" applyBorder="1"/>
    <xf numFmtId="0" fontId="0" fillId="12" borderId="189" xfId="0" applyFill="1" applyBorder="1"/>
    <xf numFmtId="0" fontId="0" fillId="0" borderId="190" xfId="0" applyBorder="1"/>
    <xf numFmtId="0" fontId="0" fillId="12" borderId="191" xfId="0" applyFill="1" applyBorder="1"/>
    <xf numFmtId="0" fontId="0" fillId="12" borderId="101" xfId="0" applyFill="1" applyBorder="1"/>
    <xf numFmtId="0" fontId="0" fillId="0" borderId="102" xfId="0" applyBorder="1"/>
    <xf numFmtId="0" fontId="0" fillId="12" borderId="104" xfId="0" applyFill="1" applyBorder="1"/>
    <xf numFmtId="0" fontId="0" fillId="0" borderId="192" xfId="0" applyBorder="1"/>
    <xf numFmtId="0" fontId="0" fillId="12" borderId="193" xfId="0" applyFill="1" applyBorder="1"/>
    <xf numFmtId="0" fontId="0" fillId="0" borderId="53" xfId="1" applyNumberFormat="1" applyFont="1" applyBorder="1"/>
    <xf numFmtId="171" fontId="0" fillId="0" borderId="53" xfId="0" applyNumberFormat="1" applyBorder="1"/>
    <xf numFmtId="0" fontId="0" fillId="0" borderId="53" xfId="0" quotePrefix="1" applyBorder="1"/>
    <xf numFmtId="0" fontId="0" fillId="27" borderId="45" xfId="0" applyFill="1" applyBorder="1"/>
    <xf numFmtId="0" fontId="0" fillId="27" borderId="53" xfId="0" applyFill="1" applyBorder="1"/>
    <xf numFmtId="0" fontId="0" fillId="0" borderId="54" xfId="0" applyBorder="1"/>
    <xf numFmtId="0" fontId="0" fillId="0" borderId="99" xfId="0" applyBorder="1"/>
    <xf numFmtId="0" fontId="0" fillId="12" borderId="73" xfId="0" applyFill="1" applyBorder="1"/>
    <xf numFmtId="0" fontId="0" fillId="0" borderId="194" xfId="0" applyBorder="1"/>
    <xf numFmtId="0" fontId="0" fillId="12" borderId="134" xfId="0" applyFill="1" applyBorder="1"/>
    <xf numFmtId="0" fontId="0" fillId="0" borderId="195" xfId="0" applyBorder="1"/>
    <xf numFmtId="0" fontId="0" fillId="0" borderId="196" xfId="0" quotePrefix="1" applyBorder="1"/>
    <xf numFmtId="0" fontId="0" fillId="12" borderId="102" xfId="0" applyFill="1" applyBorder="1"/>
    <xf numFmtId="164" fontId="0" fillId="27" borderId="64" xfId="0" applyNumberFormat="1" applyFill="1" applyBorder="1"/>
    <xf numFmtId="172" fontId="0" fillId="27" borderId="53" xfId="0" applyNumberFormat="1" applyFill="1" applyBorder="1"/>
    <xf numFmtId="172" fontId="0" fillId="12" borderId="58" xfId="0" applyNumberFormat="1" applyFill="1" applyBorder="1"/>
    <xf numFmtId="172" fontId="0" fillId="27" borderId="0" xfId="0" applyNumberFormat="1" applyFill="1"/>
    <xf numFmtId="173" fontId="0" fillId="12" borderId="0" xfId="0" applyNumberFormat="1" applyFill="1"/>
    <xf numFmtId="0" fontId="0" fillId="0" borderId="134" xfId="0" applyBorder="1"/>
    <xf numFmtId="0" fontId="0" fillId="0" borderId="59" xfId="0" applyBorder="1"/>
    <xf numFmtId="172" fontId="0" fillId="12" borderId="53" xfId="0" applyNumberFormat="1" applyFill="1" applyBorder="1"/>
    <xf numFmtId="174" fontId="0" fillId="0" borderId="0" xfId="0" applyNumberFormat="1"/>
    <xf numFmtId="175" fontId="0" fillId="12" borderId="53" xfId="0" applyNumberFormat="1" applyFill="1" applyBorder="1"/>
    <xf numFmtId="175" fontId="0" fillId="0" borderId="0" xfId="0" applyNumberFormat="1"/>
    <xf numFmtId="1" fontId="0" fillId="12" borderId="53" xfId="0" applyNumberFormat="1" applyFill="1" applyBorder="1" applyAlignment="1">
      <alignment horizontal="center"/>
    </xf>
    <xf numFmtId="174" fontId="0" fillId="12" borderId="0" xfId="0" applyNumberFormat="1" applyFill="1"/>
    <xf numFmtId="0" fontId="0" fillId="12" borderId="0" xfId="0" applyFill="1"/>
    <xf numFmtId="175" fontId="0" fillId="12" borderId="0" xfId="0" applyNumberFormat="1" applyFill="1"/>
    <xf numFmtId="176" fontId="0" fillId="12" borderId="0" xfId="0" applyNumberFormat="1" applyFill="1"/>
    <xf numFmtId="177" fontId="0" fillId="12" borderId="0" xfId="0" applyNumberFormat="1" applyFill="1"/>
    <xf numFmtId="178" fontId="0" fillId="12" borderId="0" xfId="0" applyNumberFormat="1" applyFill="1"/>
    <xf numFmtId="174" fontId="0" fillId="0" borderId="30" xfId="0" applyNumberFormat="1" applyBorder="1" applyAlignment="1">
      <alignment horizontal="center"/>
    </xf>
    <xf numFmtId="1" fontId="0" fillId="12" borderId="104" xfId="0" applyNumberFormat="1" applyFill="1" applyBorder="1"/>
    <xf numFmtId="0" fontId="0" fillId="30" borderId="0" xfId="0" applyFill="1"/>
    <xf numFmtId="0" fontId="22" fillId="0" borderId="0" xfId="2"/>
    <xf numFmtId="174" fontId="0" fillId="30" borderId="0" xfId="0" applyNumberFormat="1" applyFill="1"/>
    <xf numFmtId="174" fontId="0" fillId="24" borderId="0" xfId="0" applyNumberFormat="1" applyFill="1"/>
    <xf numFmtId="177" fontId="0" fillId="0" borderId="0" xfId="0" applyNumberFormat="1"/>
    <xf numFmtId="3" fontId="2" fillId="0" borderId="0" xfId="0" applyNumberFormat="1" applyFont="1"/>
    <xf numFmtId="179" fontId="0" fillId="0" borderId="0" xfId="0" applyNumberFormat="1"/>
    <xf numFmtId="180" fontId="0" fillId="0" borderId="36" xfId="0" applyNumberFormat="1" applyBorder="1"/>
    <xf numFmtId="181" fontId="0" fillId="0" borderId="53" xfId="0" applyNumberFormat="1" applyBorder="1"/>
    <xf numFmtId="2" fontId="0" fillId="0" borderId="58" xfId="0" applyNumberFormat="1" applyBorder="1" applyAlignment="1">
      <alignment horizontal="center"/>
    </xf>
    <xf numFmtId="2" fontId="0" fillId="0" borderId="59" xfId="0" applyNumberFormat="1" applyBorder="1" applyAlignment="1">
      <alignment horizontal="center"/>
    </xf>
    <xf numFmtId="0" fontId="0" fillId="0" borderId="0" xfId="0" quotePrefix="1" applyAlignment="1">
      <alignment horizontal="center"/>
    </xf>
    <xf numFmtId="0" fontId="2" fillId="12" borderId="0" xfId="0" applyFont="1" applyFill="1" applyAlignment="1">
      <alignment horizontal="center"/>
    </xf>
    <xf numFmtId="2" fontId="2" fillId="12" borderId="0" xfId="0" applyNumberFormat="1" applyFont="1" applyFill="1" applyAlignment="1">
      <alignment horizontal="center"/>
    </xf>
    <xf numFmtId="2" fontId="2" fillId="12" borderId="0" xfId="0" applyNumberFormat="1" applyFont="1" applyFill="1"/>
    <xf numFmtId="164" fontId="0" fillId="12" borderId="0" xfId="0" applyNumberFormat="1" applyFill="1"/>
    <xf numFmtId="182" fontId="0" fillId="12" borderId="0" xfId="0" applyNumberFormat="1" applyFill="1"/>
    <xf numFmtId="0" fontId="0" fillId="0" borderId="59" xfId="0" applyBorder="1" applyAlignment="1">
      <alignment horizontal="center"/>
    </xf>
    <xf numFmtId="2" fontId="0" fillId="0" borderId="64" xfId="0" applyNumberFormat="1" applyBorder="1" applyAlignment="1">
      <alignment horizontal="center"/>
    </xf>
    <xf numFmtId="0" fontId="0" fillId="0" borderId="64" xfId="0" applyBorder="1" applyAlignment="1">
      <alignment horizontal="center"/>
    </xf>
    <xf numFmtId="0" fontId="0" fillId="0" borderId="65" xfId="0" applyBorder="1" applyAlignment="1">
      <alignment horizontal="center"/>
    </xf>
    <xf numFmtId="2" fontId="0" fillId="0" borderId="65" xfId="0" applyNumberFormat="1" applyBorder="1" applyAlignment="1">
      <alignment horizontal="center"/>
    </xf>
    <xf numFmtId="2" fontId="0" fillId="12" borderId="53" xfId="0" applyNumberFormat="1" applyFill="1" applyBorder="1" applyAlignment="1">
      <alignment horizontal="center"/>
    </xf>
    <xf numFmtId="0" fontId="0" fillId="12" borderId="53" xfId="0" applyFill="1" applyBorder="1" applyAlignment="1">
      <alignment horizontal="center"/>
    </xf>
    <xf numFmtId="2" fontId="0" fillId="12" borderId="53" xfId="0" applyNumberFormat="1" applyFill="1" applyBorder="1"/>
    <xf numFmtId="2" fontId="0" fillId="12" borderId="65" xfId="0" applyNumberFormat="1" applyFill="1" applyBorder="1" applyAlignment="1">
      <alignment horizontal="center"/>
    </xf>
    <xf numFmtId="0" fontId="0" fillId="12" borderId="64" xfId="0" applyFill="1" applyBorder="1" applyAlignment="1">
      <alignment horizontal="center"/>
    </xf>
    <xf numFmtId="2" fontId="0" fillId="12" borderId="64" xfId="0" applyNumberFormat="1" applyFill="1" applyBorder="1" applyAlignment="1">
      <alignment horizontal="center"/>
    </xf>
    <xf numFmtId="2" fontId="0" fillId="12" borderId="58" xfId="0" applyNumberFormat="1" applyFill="1" applyBorder="1" applyAlignment="1">
      <alignment horizontal="center"/>
    </xf>
    <xf numFmtId="0" fontId="0" fillId="0" borderId="53" xfId="0" applyBorder="1" applyAlignment="1">
      <alignment horizontal="center"/>
      <extLst>
        <ext xmlns:xfpb="http://schemas.microsoft.com/office/spreadsheetml/2022/featurepropertybag" uri="{C7286773-470A-42A8-94C5-96B5CB345126}">
          <xfpb:xfComplement i="0"/>
        </ext>
      </extLst>
    </xf>
    <xf numFmtId="0" fontId="0" fillId="0" borderId="65" xfId="0" applyBorder="1" applyAlignment="1">
      <alignment horizontal="center"/>
      <extLst>
        <ext xmlns:xfpb="http://schemas.microsoft.com/office/spreadsheetml/2022/featurepropertybag" uri="{C7286773-470A-42A8-94C5-96B5CB345126}">
          <xfpb:xfComplement i="0"/>
        </ext>
      </extLst>
    </xf>
    <xf numFmtId="164" fontId="0" fillId="12" borderId="53" xfId="0" applyNumberFormat="1" applyFill="1" applyBorder="1" applyAlignment="1">
      <alignment horizontal="center"/>
    </xf>
    <xf numFmtId="164" fontId="0" fillId="0" borderId="53" xfId="0" applyNumberFormat="1" applyBorder="1" applyAlignment="1">
      <alignment horizontal="center"/>
    </xf>
    <xf numFmtId="164" fontId="0" fillId="0" borderId="0" xfId="0" applyNumberFormat="1" applyAlignment="1">
      <alignment horizontal="center"/>
    </xf>
    <xf numFmtId="164" fontId="0" fillId="0" borderId="0" xfId="0" applyNumberFormat="1"/>
    <xf numFmtId="164" fontId="0" fillId="12" borderId="64" xfId="0" applyNumberFormat="1" applyFill="1" applyBorder="1" applyAlignment="1">
      <alignment horizontal="center"/>
    </xf>
    <xf numFmtId="164" fontId="0" fillId="12" borderId="58" xfId="0" applyNumberFormat="1" applyFill="1" applyBorder="1" applyAlignment="1">
      <alignment horizontal="center"/>
    </xf>
    <xf numFmtId="164" fontId="0" fillId="12" borderId="65" xfId="0" applyNumberFormat="1" applyFill="1" applyBorder="1" applyAlignment="1">
      <alignment horizontal="center"/>
    </xf>
    <xf numFmtId="0" fontId="0" fillId="0" borderId="53" xfId="0" applyBorder="1" applyAlignment="1">
      <alignment horizontal="left"/>
    </xf>
    <xf numFmtId="0" fontId="0" fillId="0" borderId="65" xfId="0" applyBorder="1" applyAlignment="1">
      <alignment horizontal="left"/>
    </xf>
    <xf numFmtId="183" fontId="0" fillId="12" borderId="53" xfId="0" applyNumberFormat="1" applyFill="1" applyBorder="1" applyAlignment="1">
      <alignment horizontal="center"/>
    </xf>
    <xf numFmtId="186" fontId="0" fillId="12" borderId="0" xfId="0" applyNumberFormat="1" applyFill="1" applyAlignment="1">
      <alignment horizontal="center"/>
    </xf>
    <xf numFmtId="184" fontId="0" fillId="12" borderId="53" xfId="0" applyNumberFormat="1" applyFill="1" applyBorder="1" applyAlignment="1">
      <alignment horizontal="center"/>
    </xf>
    <xf numFmtId="185" fontId="0" fillId="12" borderId="53" xfId="0" applyNumberFormat="1" applyFill="1" applyBorder="1" applyAlignment="1">
      <alignment horizontal="center"/>
    </xf>
    <xf numFmtId="187" fontId="0" fillId="0" borderId="59" xfId="0" applyNumberFormat="1" applyBorder="1" applyAlignment="1">
      <alignment horizontal="center"/>
    </xf>
    <xf numFmtId="187" fontId="0" fillId="0" borderId="0" xfId="0" applyNumberFormat="1" applyAlignment="1">
      <alignment horizontal="center"/>
    </xf>
    <xf numFmtId="2" fontId="0" fillId="12" borderId="59" xfId="0" applyNumberFormat="1" applyFill="1" applyBorder="1" applyAlignment="1">
      <alignment horizontal="center"/>
    </xf>
    <xf numFmtId="0" fontId="0" fillId="0" borderId="64" xfId="0" applyBorder="1" applyAlignment="1">
      <alignment horizontal="left"/>
    </xf>
    <xf numFmtId="0" fontId="0" fillId="31" borderId="0" xfId="0" applyFill="1" applyAlignment="1">
      <alignment horizontal="center"/>
    </xf>
    <xf numFmtId="0" fontId="0" fillId="0" borderId="94" xfId="0" applyBorder="1" applyAlignment="1">
      <alignment horizontal="center"/>
    </xf>
    <xf numFmtId="2" fontId="44" fillId="0" borderId="0" xfId="0" applyNumberFormat="1" applyFont="1" applyAlignment="1">
      <alignment horizontal="center"/>
    </xf>
    <xf numFmtId="0" fontId="0" fillId="0" borderId="60" xfId="0" applyBorder="1" applyAlignment="1">
      <alignment horizontal="center"/>
    </xf>
    <xf numFmtId="0" fontId="0" fillId="0" borderId="134" xfId="0" applyBorder="1" applyAlignment="1">
      <alignment horizontal="center"/>
    </xf>
    <xf numFmtId="0" fontId="0" fillId="0" borderId="53" xfId="0" quotePrefix="1" applyBorder="1" applyAlignment="1">
      <alignment horizontal="center"/>
    </xf>
    <xf numFmtId="3" fontId="0" fillId="12" borderId="60" xfId="0" applyNumberFormat="1" applyFill="1" applyBorder="1" applyAlignment="1">
      <alignment horizontal="center"/>
    </xf>
    <xf numFmtId="0" fontId="0" fillId="18" borderId="60" xfId="0" applyFill="1" applyBorder="1" applyAlignment="1">
      <alignment horizontal="center"/>
    </xf>
    <xf numFmtId="0" fontId="0" fillId="0" borderId="62" xfId="0" applyBorder="1" applyAlignment="1">
      <alignment horizontal="center"/>
    </xf>
    <xf numFmtId="0" fontId="0" fillId="18" borderId="65" xfId="0" applyFill="1" applyBorder="1" applyAlignment="1">
      <alignment horizontal="center"/>
    </xf>
    <xf numFmtId="0" fontId="0" fillId="12" borderId="58" xfId="0" applyFill="1" applyBorder="1" applyAlignment="1">
      <alignment horizontal="center"/>
    </xf>
    <xf numFmtId="0" fontId="0" fillId="12" borderId="65" xfId="0" applyFill="1" applyBorder="1" applyAlignment="1">
      <alignment horizontal="center"/>
    </xf>
    <xf numFmtId="0" fontId="34" fillId="0" borderId="0" xfId="0" applyFont="1" applyAlignment="1">
      <alignment horizontal="center"/>
    </xf>
    <xf numFmtId="0" fontId="2" fillId="0" borderId="65" xfId="0" applyFont="1" applyBorder="1" applyAlignment="1">
      <alignment horizontal="center"/>
    </xf>
    <xf numFmtId="0" fontId="0" fillId="12" borderId="59" xfId="0" applyFill="1" applyBorder="1"/>
    <xf numFmtId="0" fontId="0" fillId="12" borderId="59" xfId="0" applyFill="1" applyBorder="1" applyAlignment="1">
      <alignment horizontal="center"/>
    </xf>
    <xf numFmtId="3" fontId="0" fillId="12" borderId="53" xfId="0" applyNumberFormat="1" applyFill="1" applyBorder="1"/>
    <xf numFmtId="180" fontId="0" fillId="12" borderId="64" xfId="0" applyNumberFormat="1" applyFill="1" applyBorder="1"/>
    <xf numFmtId="180" fontId="0" fillId="12" borderId="53" xfId="0" applyNumberFormat="1" applyFill="1" applyBorder="1"/>
    <xf numFmtId="180" fontId="0" fillId="12" borderId="58" xfId="0" applyNumberFormat="1" applyFill="1" applyBorder="1"/>
    <xf numFmtId="0" fontId="0" fillId="0" borderId="176" xfId="0" applyBorder="1"/>
    <xf numFmtId="180" fontId="0" fillId="12" borderId="65" xfId="0" applyNumberFormat="1" applyFill="1" applyBorder="1"/>
    <xf numFmtId="0" fontId="0" fillId="0" borderId="133" xfId="0" applyBorder="1"/>
    <xf numFmtId="171" fontId="0" fillId="12" borderId="64" xfId="0" applyNumberFormat="1" applyFill="1" applyBorder="1"/>
    <xf numFmtId="171" fontId="0" fillId="12" borderId="53" xfId="0" applyNumberFormat="1" applyFill="1" applyBorder="1"/>
    <xf numFmtId="180" fontId="0" fillId="12" borderId="176" xfId="0" applyNumberFormat="1" applyFill="1" applyBorder="1"/>
    <xf numFmtId="167" fontId="0" fillId="12" borderId="53" xfId="0" applyNumberFormat="1" applyFill="1" applyBorder="1" applyAlignment="1">
      <alignment horizontal="right"/>
    </xf>
    <xf numFmtId="171" fontId="0" fillId="12" borderId="53" xfId="0" applyNumberFormat="1" applyFill="1" applyBorder="1" applyAlignment="1">
      <alignment horizontal="right"/>
    </xf>
    <xf numFmtId="171" fontId="0" fillId="12" borderId="64" xfId="0" applyNumberFormat="1" applyFill="1" applyBorder="1" applyAlignment="1">
      <alignment horizontal="right"/>
    </xf>
    <xf numFmtId="2" fontId="0" fillId="12" borderId="53" xfId="0" applyNumberFormat="1" applyFill="1" applyBorder="1" applyAlignment="1">
      <alignment horizontal="right"/>
    </xf>
    <xf numFmtId="171" fontId="0" fillId="12" borderId="59" xfId="0" applyNumberFormat="1" applyFill="1" applyBorder="1"/>
    <xf numFmtId="0" fontId="0" fillId="12" borderId="65" xfId="0" applyFill="1" applyBorder="1"/>
    <xf numFmtId="0" fontId="0" fillId="0" borderId="60" xfId="0" applyBorder="1"/>
    <xf numFmtId="0" fontId="45" fillId="0" borderId="0" xfId="0" applyFont="1" applyAlignment="1">
      <alignment horizontal="center"/>
    </xf>
    <xf numFmtId="2" fontId="45" fillId="0" borderId="0" xfId="0" applyNumberFormat="1" applyFont="1" applyAlignment="1">
      <alignment horizontal="center"/>
    </xf>
    <xf numFmtId="0" fontId="0" fillId="0" borderId="80" xfId="0" applyBorder="1" applyAlignment="1">
      <alignment horizontal="center"/>
    </xf>
    <xf numFmtId="0" fontId="0" fillId="0" borderId="81" xfId="0" applyBorder="1" applyAlignment="1">
      <alignment horizontal="center"/>
    </xf>
    <xf numFmtId="0" fontId="0" fillId="0" borderId="98" xfId="0" applyBorder="1" applyAlignment="1">
      <alignment horizontal="center"/>
    </xf>
    <xf numFmtId="0" fontId="0" fillId="32" borderId="0" xfId="0" applyFill="1"/>
    <xf numFmtId="0" fontId="2" fillId="0" borderId="53" xfId="0" applyFont="1" applyBorder="1" applyAlignment="1">
      <alignment horizontal="center"/>
    </xf>
    <xf numFmtId="0" fontId="0" fillId="2" borderId="65" xfId="0" applyFill="1" applyBorder="1" applyAlignment="1">
      <alignment horizontal="center"/>
    </xf>
    <xf numFmtId="0" fontId="0" fillId="2" borderId="53" xfId="0" applyFill="1" applyBorder="1" applyAlignment="1">
      <alignment horizontal="center"/>
    </xf>
    <xf numFmtId="0" fontId="0" fillId="32" borderId="0" xfId="0" applyFill="1" applyAlignment="1">
      <alignment horizontal="center"/>
    </xf>
    <xf numFmtId="187" fontId="0" fillId="0" borderId="0" xfId="0" applyNumberFormat="1"/>
    <xf numFmtId="186" fontId="0" fillId="0" borderId="0" xfId="0" applyNumberFormat="1"/>
    <xf numFmtId="186" fontId="0" fillId="0" borderId="0" xfId="0" applyNumberFormat="1" applyAlignment="1">
      <alignment horizontal="center"/>
    </xf>
    <xf numFmtId="186" fontId="0" fillId="12" borderId="0" xfId="0" applyNumberFormat="1" applyFill="1"/>
    <xf numFmtId="0" fontId="0" fillId="2" borderId="125" xfId="0" applyFill="1" applyBorder="1"/>
    <xf numFmtId="0" fontId="2" fillId="2" borderId="62" xfId="0" applyFont="1" applyFill="1" applyBorder="1" applyAlignment="1">
      <alignment horizontal="center" vertical="center"/>
    </xf>
    <xf numFmtId="0" fontId="0" fillId="2" borderId="62" xfId="0" applyFill="1" applyBorder="1" applyAlignment="1">
      <alignment horizontal="center" vertical="center"/>
    </xf>
    <xf numFmtId="2" fontId="50" fillId="2" borderId="0" xfId="0" applyNumberFormat="1" applyFont="1" applyFill="1" applyAlignment="1">
      <alignment horizontal="center" vertical="center"/>
    </xf>
    <xf numFmtId="164" fontId="0" fillId="2" borderId="62" xfId="1" applyNumberFormat="1" applyFont="1" applyFill="1" applyBorder="1" applyAlignment="1" applyProtection="1">
      <alignment horizontal="center" vertical="center"/>
    </xf>
    <xf numFmtId="2" fontId="0" fillId="2" borderId="62" xfId="0" applyNumberFormat="1" applyFill="1" applyBorder="1" applyAlignment="1">
      <alignment horizontal="center" vertical="center"/>
    </xf>
    <xf numFmtId="0" fontId="0" fillId="2" borderId="62" xfId="0" applyFill="1" applyBorder="1" applyAlignment="1">
      <alignment horizontal="left" vertical="center"/>
    </xf>
    <xf numFmtId="0" fontId="0" fillId="2" borderId="66" xfId="0" applyFill="1" applyBorder="1"/>
    <xf numFmtId="164" fontId="0" fillId="20" borderId="0" xfId="0" applyNumberFormat="1" applyFill="1" applyAlignment="1">
      <alignment horizontal="center"/>
    </xf>
    <xf numFmtId="0" fontId="45" fillId="2" borderId="0" xfId="0" applyFont="1" applyFill="1" applyAlignment="1">
      <alignment horizontal="left" vertical="center"/>
    </xf>
    <xf numFmtId="0" fontId="2" fillId="19" borderId="0" xfId="0" applyFont="1" applyFill="1" applyAlignment="1">
      <alignment horizontal="left"/>
    </xf>
    <xf numFmtId="3" fontId="0" fillId="2" borderId="62" xfId="0" applyNumberFormat="1" applyFill="1" applyBorder="1" applyAlignment="1">
      <alignment horizontal="center" vertical="center"/>
    </xf>
    <xf numFmtId="1" fontId="0" fillId="2" borderId="62" xfId="0" applyNumberFormat="1" applyFill="1" applyBorder="1" applyAlignment="1">
      <alignment horizontal="center"/>
    </xf>
    <xf numFmtId="0" fontId="0" fillId="19" borderId="62" xfId="0" applyFill="1" applyBorder="1"/>
    <xf numFmtId="2" fontId="0" fillId="0" borderId="59" xfId="0" applyNumberFormat="1" applyBorder="1"/>
    <xf numFmtId="164" fontId="0" fillId="0" borderId="60" xfId="0" applyNumberFormat="1" applyBorder="1" applyAlignment="1">
      <alignment horizontal="center"/>
    </xf>
    <xf numFmtId="0" fontId="0" fillId="0" borderId="60" xfId="0" applyBorder="1" applyAlignment="1">
      <alignment horizontal="center"/>
    </xf>
    <xf numFmtId="2" fontId="0" fillId="0" borderId="53" xfId="0" applyNumberFormat="1" applyBorder="1" applyAlignment="1">
      <alignment horizontal="center"/>
    </xf>
    <xf numFmtId="2" fontId="0" fillId="0" borderId="65" xfId="0" applyNumberFormat="1" applyBorder="1" applyAlignment="1">
      <alignment horizontal="center"/>
    </xf>
    <xf numFmtId="0" fontId="0" fillId="0" borderId="133" xfId="0" applyBorder="1" applyAlignment="1">
      <alignment horizontal="center"/>
    </xf>
    <xf numFmtId="0" fontId="0" fillId="0" borderId="0" xfId="0" applyAlignment="1">
      <alignment horizontal="center"/>
    </xf>
    <xf numFmtId="0" fontId="0" fillId="0" borderId="125" xfId="0" applyBorder="1" applyAlignment="1">
      <alignment horizontal="center"/>
    </xf>
    <xf numFmtId="0" fontId="0" fillId="0" borderId="53" xfId="0" applyBorder="1" applyAlignment="1">
      <alignment horizontal="center"/>
    </xf>
    <xf numFmtId="164" fontId="0" fillId="0" borderId="53" xfId="0" applyNumberFormat="1" applyBorder="1" applyAlignment="1">
      <alignment horizontal="center"/>
    </xf>
    <xf numFmtId="0" fontId="0" fillId="0" borderId="64" xfId="0" applyBorder="1" applyAlignment="1">
      <alignment horizontal="center"/>
    </xf>
    <xf numFmtId="2" fontId="0" fillId="0" borderId="66" xfId="0" applyNumberFormat="1" applyBorder="1" applyAlignment="1">
      <alignment horizontal="center"/>
    </xf>
    <xf numFmtId="0" fontId="0" fillId="0" borderId="134" xfId="0" applyBorder="1" applyAlignment="1">
      <alignment horizontal="center"/>
    </xf>
    <xf numFmtId="0" fontId="0" fillId="0" borderId="65" xfId="0" applyBorder="1" applyAlignment="1">
      <alignment horizontal="center"/>
    </xf>
    <xf numFmtId="2" fontId="0" fillId="0" borderId="58" xfId="0" applyNumberFormat="1" applyBorder="1" applyAlignment="1">
      <alignment horizontal="center"/>
    </xf>
    <xf numFmtId="2" fontId="0" fillId="0" borderId="59" xfId="0" applyNumberFormat="1"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2" fontId="0" fillId="12" borderId="53" xfId="0" applyNumberFormat="1" applyFill="1" applyBorder="1" applyAlignment="1">
      <alignment horizontal="center"/>
    </xf>
    <xf numFmtId="0" fontId="0" fillId="12" borderId="53" xfId="0" applyFill="1" applyBorder="1" applyAlignment="1">
      <alignment horizontal="center"/>
    </xf>
    <xf numFmtId="2" fontId="0" fillId="0" borderId="60" xfId="0" applyNumberFormat="1" applyBorder="1" applyAlignment="1">
      <alignment horizontal="center"/>
    </xf>
    <xf numFmtId="2" fontId="0" fillId="0" borderId="64" xfId="0" applyNumberFormat="1" applyBorder="1" applyAlignment="1">
      <alignment horizontal="center"/>
    </xf>
    <xf numFmtId="164" fontId="0" fillId="0" borderId="64" xfId="0" applyNumberFormat="1" applyBorder="1" applyAlignment="1">
      <alignment horizontal="center"/>
    </xf>
    <xf numFmtId="164" fontId="0" fillId="0" borderId="58" xfId="0" applyNumberFormat="1" applyBorder="1" applyAlignment="1">
      <alignment horizontal="center"/>
    </xf>
    <xf numFmtId="0" fontId="0" fillId="33" borderId="0" xfId="0" applyFill="1" applyAlignment="1">
      <alignment horizontal="center"/>
    </xf>
    <xf numFmtId="0" fontId="0" fillId="0" borderId="53" xfId="0" applyBorder="1" applyAlignment="1">
      <alignment horizontal="center" vertical="center"/>
    </xf>
    <xf numFmtId="0" fontId="27" fillId="0" borderId="1" xfId="0" applyFont="1" applyBorder="1" applyAlignment="1">
      <alignment horizontal="left" wrapText="1"/>
    </xf>
    <xf numFmtId="0" fontId="14" fillId="0" borderId="0" xfId="0" applyFont="1" applyAlignment="1">
      <alignment horizontal="right"/>
    </xf>
    <xf numFmtId="0" fontId="26" fillId="0" borderId="1" xfId="0" applyFont="1" applyBorder="1" applyAlignment="1">
      <alignment horizontal="left" wrapText="1"/>
    </xf>
    <xf numFmtId="0" fontId="25" fillId="0" borderId="0" xfId="0" applyFont="1" applyAlignment="1">
      <alignment horizontal="center"/>
    </xf>
    <xf numFmtId="0" fontId="27" fillId="0" borderId="1" xfId="0" applyFont="1" applyBorder="1" applyAlignment="1">
      <alignment horizontal="left"/>
    </xf>
    <xf numFmtId="14" fontId="27" fillId="0" borderId="1" xfId="0" applyNumberFormat="1" applyFont="1" applyBorder="1" applyAlignment="1">
      <alignment horizontal="left"/>
    </xf>
    <xf numFmtId="168" fontId="27" fillId="0" borderId="1" xfId="0" applyNumberFormat="1" applyFont="1" applyBorder="1" applyAlignment="1">
      <alignment horizontal="left"/>
    </xf>
    <xf numFmtId="0" fontId="13" fillId="3" borderId="10" xfId="0" applyFont="1" applyFill="1" applyBorder="1" applyAlignment="1">
      <alignment horizontal="center" vertical="center"/>
    </xf>
    <xf numFmtId="0" fontId="13" fillId="3" borderId="2" xfId="0" applyFont="1" applyFill="1" applyBorder="1" applyAlignment="1">
      <alignment horizontal="center" vertical="center"/>
    </xf>
    <xf numFmtId="0" fontId="13" fillId="3" borderId="11" xfId="0" applyFont="1" applyFill="1" applyBorder="1" applyAlignment="1">
      <alignment horizontal="center" vertical="center"/>
    </xf>
    <xf numFmtId="0" fontId="2" fillId="2" borderId="30" xfId="0" applyFont="1" applyFill="1" applyBorder="1" applyAlignment="1">
      <alignment horizontal="center" vertical="center"/>
    </xf>
    <xf numFmtId="0" fontId="2" fillId="2" borderId="36" xfId="0" applyFont="1" applyFill="1" applyBorder="1" applyAlignment="1">
      <alignment horizontal="center" vertical="center"/>
    </xf>
    <xf numFmtId="0" fontId="2" fillId="2" borderId="6" xfId="0" applyFont="1" applyFill="1" applyBorder="1" applyAlignment="1">
      <alignment horizontal="right" vertical="center"/>
    </xf>
    <xf numFmtId="0" fontId="2" fillId="2" borderId="0" xfId="0" applyFont="1" applyFill="1" applyAlignment="1">
      <alignment horizontal="right" vertical="center"/>
    </xf>
    <xf numFmtId="168" fontId="0" fillId="0" borderId="2" xfId="0" applyNumberFormat="1" applyBorder="1" applyAlignment="1" applyProtection="1">
      <alignment horizontal="left" vertical="center"/>
      <protection locked="0"/>
    </xf>
    <xf numFmtId="0" fontId="22" fillId="0" borderId="1" xfId="2" applyFill="1" applyBorder="1" applyAlignment="1" applyProtection="1">
      <alignment horizontal="left" vertical="center" wrapText="1"/>
      <protection locked="0"/>
    </xf>
    <xf numFmtId="0" fontId="22" fillId="0" borderId="1" xfId="2" applyFill="1" applyBorder="1" applyAlignment="1" applyProtection="1">
      <alignment horizontal="left" vertical="center"/>
      <protection locked="0"/>
    </xf>
    <xf numFmtId="49" fontId="45" fillId="0" borderId="2" xfId="0" applyNumberFormat="1" applyFont="1" applyBorder="1" applyAlignment="1" applyProtection="1">
      <alignment horizontal="left" vertical="center"/>
      <protection locked="0"/>
    </xf>
    <xf numFmtId="49" fontId="44" fillId="0" borderId="2" xfId="0" applyNumberFormat="1" applyFont="1" applyBorder="1" applyAlignment="1" applyProtection="1">
      <alignment horizontal="left" vertical="center"/>
      <protection locked="0"/>
    </xf>
    <xf numFmtId="49" fontId="0" fillId="0" borderId="2" xfId="0" applyNumberFormat="1" applyBorder="1" applyAlignment="1" applyProtection="1">
      <alignment horizontal="left" vertical="center"/>
      <protection locked="0"/>
    </xf>
    <xf numFmtId="0" fontId="2" fillId="2" borderId="3" xfId="0" applyFont="1" applyFill="1" applyBorder="1" applyAlignment="1">
      <alignment horizontal="right" vertical="center"/>
    </xf>
    <xf numFmtId="0" fontId="63" fillId="2" borderId="0" xfId="2" applyNumberFormat="1" applyFont="1" applyFill="1" applyAlignment="1">
      <alignment horizontal="right" vertical="center" wrapText="1"/>
    </xf>
    <xf numFmtId="0" fontId="63" fillId="2" borderId="0" xfId="0" applyFont="1" applyFill="1" applyAlignment="1">
      <alignment horizontal="right" vertical="center"/>
    </xf>
    <xf numFmtId="14" fontId="0" fillId="0" borderId="2" xfId="0" applyNumberFormat="1" applyBorder="1" applyAlignment="1" applyProtection="1">
      <alignment horizontal="left" vertical="center"/>
      <protection locked="0"/>
    </xf>
    <xf numFmtId="0" fontId="43" fillId="2" borderId="6" xfId="2" applyFont="1" applyFill="1" applyBorder="1" applyAlignment="1">
      <alignment horizontal="right" vertical="center"/>
    </xf>
    <xf numFmtId="0" fontId="43" fillId="2" borderId="0" xfId="0" applyFont="1" applyFill="1" applyAlignment="1">
      <alignment horizontal="right" vertical="center"/>
    </xf>
    <xf numFmtId="0" fontId="2" fillId="2" borderId="4" xfId="0" applyFont="1" applyFill="1" applyBorder="1" applyAlignment="1">
      <alignment horizontal="right" vertical="center"/>
    </xf>
    <xf numFmtId="0" fontId="0" fillId="0" borderId="2" xfId="0" applyBorder="1" applyAlignment="1">
      <alignment horizontal="left"/>
    </xf>
    <xf numFmtId="0" fontId="2" fillId="2" borderId="10"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11" xfId="0" applyFont="1" applyFill="1" applyBorder="1" applyAlignment="1">
      <alignment horizontal="center" vertical="center"/>
    </xf>
    <xf numFmtId="0" fontId="44" fillId="2" borderId="4" xfId="0" applyFont="1" applyFill="1" applyBorder="1" applyAlignment="1">
      <alignment horizontal="center" vertical="center" wrapText="1"/>
    </xf>
    <xf numFmtId="0" fontId="0" fillId="2" borderId="3" xfId="0" applyFill="1" applyBorder="1" applyAlignment="1">
      <alignment horizontal="center"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7" xfId="0" applyFill="1" applyBorder="1" applyAlignment="1">
      <alignment horizontal="center" vertical="center" wrapText="1"/>
    </xf>
    <xf numFmtId="0" fontId="0" fillId="2" borderId="8" xfId="0" applyFill="1" applyBorder="1" applyAlignment="1">
      <alignment horizontal="center" vertical="center" wrapText="1"/>
    </xf>
    <xf numFmtId="0" fontId="0" fillId="2" borderId="1" xfId="0" applyFill="1" applyBorder="1" applyAlignment="1">
      <alignment horizontal="center" vertical="center" wrapText="1"/>
    </xf>
    <xf numFmtId="0" fontId="0" fillId="2" borderId="9" xfId="0" applyFill="1" applyBorder="1" applyAlignment="1">
      <alignment horizontal="center" vertical="center" wrapText="1"/>
    </xf>
    <xf numFmtId="0" fontId="2" fillId="2" borderId="4" xfId="0" applyFont="1" applyFill="1" applyBorder="1" applyAlignment="1">
      <alignment horizontal="left" vertical="top" wrapText="1"/>
    </xf>
    <xf numFmtId="0" fontId="2" fillId="2" borderId="3" xfId="0" applyFont="1" applyFill="1" applyBorder="1" applyAlignment="1">
      <alignment horizontal="left" vertical="top" wrapText="1"/>
    </xf>
    <xf numFmtId="0" fontId="2" fillId="2" borderId="5" xfId="0" applyFont="1" applyFill="1" applyBorder="1" applyAlignment="1">
      <alignment horizontal="left" vertical="top" wrapText="1"/>
    </xf>
    <xf numFmtId="0" fontId="2" fillId="2" borderId="6" xfId="0" applyFont="1" applyFill="1" applyBorder="1" applyAlignment="1">
      <alignment horizontal="left" vertical="top" wrapText="1"/>
    </xf>
    <xf numFmtId="0" fontId="2" fillId="2" borderId="0" xfId="0" applyFont="1" applyFill="1" applyAlignment="1">
      <alignment horizontal="left" vertical="top" wrapText="1"/>
    </xf>
    <xf numFmtId="0" fontId="2" fillId="2" borderId="7" xfId="0" applyFont="1" applyFill="1" applyBorder="1" applyAlignment="1">
      <alignment horizontal="left" vertical="top" wrapText="1"/>
    </xf>
    <xf numFmtId="0" fontId="2" fillId="2" borderId="8" xfId="0" applyFont="1" applyFill="1" applyBorder="1" applyAlignment="1">
      <alignment horizontal="left" vertical="top" wrapText="1"/>
    </xf>
    <xf numFmtId="0" fontId="2" fillId="2" borderId="1" xfId="0" applyFont="1" applyFill="1" applyBorder="1" applyAlignment="1">
      <alignment horizontal="left" vertical="top" wrapText="1"/>
    </xf>
    <xf numFmtId="0" fontId="2" fillId="2" borderId="9" xfId="0" applyFont="1" applyFill="1" applyBorder="1" applyAlignment="1">
      <alignment horizontal="left" vertical="top" wrapText="1"/>
    </xf>
    <xf numFmtId="0" fontId="0" fillId="2" borderId="2" xfId="0" applyFill="1" applyBorder="1" applyAlignment="1">
      <alignment horizontal="left" vertical="center"/>
    </xf>
    <xf numFmtId="0" fontId="2" fillId="2" borderId="8" xfId="0" applyFont="1" applyFill="1" applyBorder="1" applyAlignment="1">
      <alignment horizontal="right" vertical="center"/>
    </xf>
    <xf numFmtId="0" fontId="2" fillId="2" borderId="1" xfId="0" applyFont="1" applyFill="1" applyBorder="1" applyAlignment="1">
      <alignment horizontal="right" vertical="center"/>
    </xf>
    <xf numFmtId="0" fontId="47" fillId="0" borderId="0" xfId="0" applyFont="1" applyAlignment="1">
      <alignment horizontal="left" vertical="center" wrapText="1"/>
    </xf>
    <xf numFmtId="0" fontId="47" fillId="0" borderId="1" xfId="0" applyFont="1" applyBorder="1" applyAlignment="1">
      <alignment horizontal="left" vertical="center" wrapText="1"/>
    </xf>
    <xf numFmtId="0" fontId="12" fillId="2" borderId="0" xfId="0" applyFont="1" applyFill="1" applyAlignment="1">
      <alignment horizontal="center" vertical="top" wrapText="1"/>
    </xf>
    <xf numFmtId="0" fontId="12" fillId="2" borderId="125" xfId="0" applyFont="1" applyFill="1" applyBorder="1" applyAlignment="1">
      <alignment horizontal="center" vertical="top" wrapText="1"/>
    </xf>
    <xf numFmtId="0" fontId="12" fillId="2" borderId="62" xfId="0" applyFont="1" applyFill="1" applyBorder="1" applyAlignment="1">
      <alignment horizontal="center" vertical="top" wrapText="1"/>
    </xf>
    <xf numFmtId="0" fontId="12" fillId="2" borderId="66" xfId="0" applyFont="1" applyFill="1" applyBorder="1" applyAlignment="1">
      <alignment horizontal="center" vertical="top" wrapText="1"/>
    </xf>
    <xf numFmtId="169" fontId="49" fillId="2" borderId="58" xfId="0" applyNumberFormat="1" applyFont="1" applyFill="1" applyBorder="1" applyAlignment="1" applyProtection="1">
      <alignment horizontal="center"/>
      <protection hidden="1"/>
    </xf>
    <xf numFmtId="169" fontId="49" fillId="2" borderId="59" xfId="0" applyNumberFormat="1" applyFont="1" applyFill="1" applyBorder="1" applyAlignment="1" applyProtection="1">
      <alignment horizontal="center"/>
      <protection hidden="1"/>
    </xf>
    <xf numFmtId="169" fontId="49" fillId="2" borderId="53" xfId="0" applyNumberFormat="1" applyFont="1" applyFill="1" applyBorder="1" applyAlignment="1" applyProtection="1">
      <alignment horizontal="right"/>
      <protection hidden="1"/>
    </xf>
    <xf numFmtId="0" fontId="2" fillId="2" borderId="7" xfId="0" applyFont="1" applyFill="1" applyBorder="1" applyAlignment="1">
      <alignment horizontal="right" vertical="center"/>
    </xf>
    <xf numFmtId="0" fontId="2" fillId="2" borderId="0" xfId="0" applyFont="1" applyFill="1" applyAlignment="1">
      <alignment horizontal="center" vertical="center"/>
    </xf>
    <xf numFmtId="0" fontId="2" fillId="2" borderId="7" xfId="0" applyFont="1" applyFill="1" applyBorder="1" applyAlignment="1">
      <alignment horizontal="center" vertical="center"/>
    </xf>
    <xf numFmtId="0" fontId="2" fillId="2" borderId="9" xfId="0" applyFont="1" applyFill="1" applyBorder="1" applyAlignment="1">
      <alignment horizontal="right" vertical="center"/>
    </xf>
    <xf numFmtId="1" fontId="0" fillId="4" borderId="8" xfId="0" applyNumberFormat="1" applyFill="1" applyBorder="1" applyAlignment="1">
      <alignment horizontal="center" vertical="center"/>
    </xf>
    <xf numFmtId="0" fontId="0" fillId="4" borderId="1" xfId="0" applyFill="1" applyBorder="1" applyAlignment="1">
      <alignment horizontal="center" vertical="center"/>
    </xf>
    <xf numFmtId="0" fontId="0" fillId="5" borderId="1" xfId="0" applyFill="1" applyBorder="1" applyAlignment="1" applyProtection="1">
      <alignment horizontal="center" vertical="center"/>
      <protection locked="0"/>
    </xf>
    <xf numFmtId="0" fontId="41" fillId="10" borderId="3" xfId="0" applyFont="1" applyFill="1" applyBorder="1" applyAlignment="1">
      <alignment horizontal="center"/>
    </xf>
    <xf numFmtId="0" fontId="14" fillId="4" borderId="10" xfId="0" applyFont="1" applyFill="1" applyBorder="1" applyAlignment="1">
      <alignment horizontal="center" vertical="center"/>
    </xf>
    <xf numFmtId="0" fontId="14" fillId="4" borderId="2" xfId="0" applyFont="1" applyFill="1" applyBorder="1" applyAlignment="1">
      <alignment horizontal="center" vertical="center"/>
    </xf>
    <xf numFmtId="0" fontId="14" fillId="4" borderId="11" xfId="0" applyFont="1" applyFill="1" applyBorder="1" applyAlignment="1">
      <alignment horizontal="center" vertical="center"/>
    </xf>
    <xf numFmtId="0" fontId="12" fillId="2" borderId="0" xfId="0" applyFont="1" applyFill="1" applyAlignment="1">
      <alignment horizontal="left" vertical="top" wrapText="1"/>
    </xf>
    <xf numFmtId="0" fontId="12" fillId="2" borderId="62" xfId="0" applyFont="1" applyFill="1" applyBorder="1" applyAlignment="1">
      <alignment horizontal="left" vertical="top" wrapText="1"/>
    </xf>
    <xf numFmtId="0" fontId="2" fillId="2" borderId="45" xfId="0" applyFont="1" applyFill="1" applyBorder="1" applyAlignment="1">
      <alignment horizontal="center" vertical="center"/>
    </xf>
    <xf numFmtId="0" fontId="2" fillId="2" borderId="200" xfId="0" applyFont="1" applyFill="1" applyBorder="1" applyAlignment="1">
      <alignment horizontal="center" vertical="center"/>
    </xf>
    <xf numFmtId="0" fontId="2" fillId="2" borderId="201" xfId="0" applyFont="1" applyFill="1" applyBorder="1" applyAlignment="1">
      <alignment horizontal="center" vertical="center"/>
    </xf>
    <xf numFmtId="0" fontId="2" fillId="2" borderId="202" xfId="0" applyFont="1" applyFill="1" applyBorder="1" applyAlignment="1">
      <alignment horizontal="center" vertical="center"/>
    </xf>
    <xf numFmtId="0" fontId="2" fillId="2" borderId="133" xfId="0" applyFont="1" applyFill="1" applyBorder="1" applyAlignment="1">
      <alignment horizontal="right" vertical="center"/>
    </xf>
    <xf numFmtId="0" fontId="14" fillId="5" borderId="4" xfId="0" applyFont="1" applyFill="1" applyBorder="1" applyAlignment="1">
      <alignment horizontal="center" vertical="center"/>
    </xf>
    <xf numFmtId="0" fontId="14" fillId="5" borderId="3" xfId="0" applyFont="1" applyFill="1" applyBorder="1" applyAlignment="1">
      <alignment horizontal="center" vertical="center"/>
    </xf>
    <xf numFmtId="0" fontId="14" fillId="5" borderId="5" xfId="0" applyFont="1" applyFill="1" applyBorder="1" applyAlignment="1">
      <alignment horizontal="center" vertical="center"/>
    </xf>
    <xf numFmtId="0" fontId="20" fillId="5" borderId="0" xfId="0" applyFont="1" applyFill="1" applyAlignment="1">
      <alignment horizontal="left" vertical="top"/>
    </xf>
    <xf numFmtId="0" fontId="20" fillId="5" borderId="125" xfId="0" applyFont="1" applyFill="1" applyBorder="1" applyAlignment="1">
      <alignment horizontal="left" vertical="top"/>
    </xf>
    <xf numFmtId="0" fontId="20" fillId="4" borderId="0" xfId="0" applyFont="1" applyFill="1" applyAlignment="1">
      <alignment horizontal="left" vertical="top"/>
    </xf>
    <xf numFmtId="0" fontId="20" fillId="4" borderId="125" xfId="0" applyFont="1" applyFill="1" applyBorder="1" applyAlignment="1">
      <alignment horizontal="left" vertical="top"/>
    </xf>
    <xf numFmtId="0" fontId="2" fillId="2" borderId="58" xfId="0" applyFont="1" applyFill="1" applyBorder="1" applyAlignment="1">
      <alignment horizontal="center" vertical="center"/>
    </xf>
    <xf numFmtId="0" fontId="2" fillId="2" borderId="60" xfId="0" applyFont="1" applyFill="1" applyBorder="1" applyAlignment="1">
      <alignment horizontal="center" vertical="center"/>
    </xf>
    <xf numFmtId="0" fontId="2" fillId="2" borderId="59" xfId="0" applyFont="1" applyFill="1" applyBorder="1" applyAlignment="1">
      <alignment horizontal="center" vertical="center"/>
    </xf>
    <xf numFmtId="0" fontId="2" fillId="2" borderId="134" xfId="0" applyFont="1" applyFill="1" applyBorder="1" applyAlignment="1">
      <alignment horizontal="right" vertical="center"/>
    </xf>
    <xf numFmtId="0" fontId="2" fillId="2" borderId="62" xfId="0" applyFont="1" applyFill="1" applyBorder="1" applyAlignment="1">
      <alignment horizontal="right" vertical="center"/>
    </xf>
    <xf numFmtId="0" fontId="47" fillId="0" borderId="27" xfId="0" applyFont="1" applyBorder="1" applyAlignment="1">
      <alignment horizontal="left" vertical="center" wrapText="1"/>
    </xf>
    <xf numFmtId="0" fontId="47" fillId="0" borderId="28" xfId="0" applyFont="1" applyBorder="1" applyAlignment="1">
      <alignment horizontal="left" vertical="center" wrapText="1"/>
    </xf>
    <xf numFmtId="0" fontId="3" fillId="0" borderId="18" xfId="0" applyFont="1" applyBorder="1" applyAlignment="1">
      <alignment horizontal="center" vertical="center" wrapText="1"/>
    </xf>
    <xf numFmtId="0" fontId="3" fillId="0" borderId="21" xfId="0" applyFont="1" applyBorder="1" applyAlignment="1">
      <alignment horizontal="center" vertical="center" wrapText="1"/>
    </xf>
    <xf numFmtId="0" fontId="3" fillId="0" borderId="14" xfId="0" applyFont="1" applyBorder="1" applyAlignment="1">
      <alignment horizontal="center" vertical="center" wrapText="1"/>
    </xf>
    <xf numFmtId="0" fontId="3" fillId="0" borderId="0" xfId="0" applyFont="1" applyAlignment="1">
      <alignment horizontal="center" vertical="center" wrapText="1"/>
    </xf>
    <xf numFmtId="0" fontId="51" fillId="0" borderId="14" xfId="0" applyFont="1" applyBorder="1" applyAlignment="1">
      <alignment horizontal="center" vertical="center"/>
    </xf>
    <xf numFmtId="0" fontId="51" fillId="0" borderId="0" xfId="0" applyFont="1" applyAlignment="1">
      <alignment horizontal="center" vertical="center"/>
    </xf>
    <xf numFmtId="0" fontId="16" fillId="0" borderId="29" xfId="0" applyFont="1" applyBorder="1" applyAlignment="1">
      <alignment horizontal="center" vertical="top"/>
    </xf>
    <xf numFmtId="0" fontId="16" fillId="0" borderId="2" xfId="0" applyFont="1" applyBorder="1" applyAlignment="1">
      <alignment horizontal="center" vertical="top"/>
    </xf>
    <xf numFmtId="0" fontId="16" fillId="0" borderId="31" xfId="0" applyFont="1" applyBorder="1" applyAlignment="1">
      <alignment horizontal="center" vertical="top"/>
    </xf>
    <xf numFmtId="0" fontId="19" fillId="0" borderId="21" xfId="0" applyFont="1" applyBorder="1" applyAlignment="1">
      <alignment horizontal="left" vertical="center" wrapText="1"/>
    </xf>
    <xf numFmtId="0" fontId="19" fillId="0" borderId="20" xfId="0" applyFont="1" applyBorder="1" applyAlignment="1">
      <alignment horizontal="left" vertical="center" wrapText="1"/>
    </xf>
    <xf numFmtId="0" fontId="3" fillId="0" borderId="22" xfId="0" applyFont="1" applyBorder="1" applyAlignment="1">
      <alignment horizontal="center" vertical="center" wrapText="1"/>
    </xf>
    <xf numFmtId="0" fontId="3" fillId="0" borderId="3" xfId="0" applyFont="1" applyBorder="1" applyAlignment="1">
      <alignment horizontal="center" vertical="center" wrapText="1"/>
    </xf>
    <xf numFmtId="0" fontId="19" fillId="0" borderId="27" xfId="0" applyFont="1" applyBorder="1" applyAlignment="1">
      <alignment horizontal="left" vertical="center" wrapText="1"/>
    </xf>
    <xf numFmtId="0" fontId="19" fillId="0" borderId="28" xfId="0" applyFont="1" applyBorder="1" applyAlignment="1">
      <alignment horizontal="left" vertical="center" wrapText="1"/>
    </xf>
    <xf numFmtId="0" fontId="3" fillId="0" borderId="24" xfId="0" applyFont="1" applyBorder="1" applyAlignment="1">
      <alignment horizontal="center" vertical="center" wrapText="1"/>
    </xf>
    <xf numFmtId="0" fontId="3" fillId="0" borderId="1" xfId="0" applyFont="1" applyBorder="1" applyAlignment="1">
      <alignment horizontal="center" vertical="center" wrapText="1"/>
    </xf>
    <xf numFmtId="0" fontId="8" fillId="0" borderId="27" xfId="0" applyFont="1" applyBorder="1" applyAlignment="1">
      <alignment horizontal="center" vertical="center"/>
    </xf>
    <xf numFmtId="0" fontId="5" fillId="3" borderId="12" xfId="0" applyFont="1" applyFill="1" applyBorder="1" applyAlignment="1">
      <alignment horizontal="center" vertical="top"/>
    </xf>
    <xf numFmtId="0" fontId="5" fillId="3" borderId="13" xfId="0" applyFont="1" applyFill="1" applyBorder="1" applyAlignment="1">
      <alignment horizontal="center" vertical="top"/>
    </xf>
    <xf numFmtId="0" fontId="5" fillId="3" borderId="19" xfId="0" applyFont="1" applyFill="1" applyBorder="1" applyAlignment="1">
      <alignment horizontal="center" vertical="top"/>
    </xf>
    <xf numFmtId="0" fontId="16" fillId="4" borderId="26" xfId="0" applyFont="1" applyFill="1" applyBorder="1" applyAlignment="1">
      <alignment horizontal="center" vertical="top"/>
    </xf>
    <xf numFmtId="0" fontId="16" fillId="4" borderId="27" xfId="0" applyFont="1" applyFill="1" applyBorder="1" applyAlignment="1">
      <alignment horizontal="center" vertical="top"/>
    </xf>
    <xf numFmtId="0" fontId="16" fillId="4" borderId="28" xfId="0" applyFont="1" applyFill="1" applyBorder="1" applyAlignment="1">
      <alignment horizontal="center" vertical="top"/>
    </xf>
    <xf numFmtId="0" fontId="0" fillId="0" borderId="1" xfId="0" applyBorder="1" applyAlignment="1">
      <alignment horizontal="center" vertical="center" wrapText="1"/>
    </xf>
    <xf numFmtId="0" fontId="0" fillId="0" borderId="25" xfId="0" applyBorder="1" applyAlignment="1">
      <alignment horizontal="center" vertical="center" wrapText="1"/>
    </xf>
    <xf numFmtId="0" fontId="8" fillId="0" borderId="2" xfId="0" applyFont="1" applyBorder="1" applyAlignment="1">
      <alignment horizontal="center" vertical="center"/>
    </xf>
    <xf numFmtId="0" fontId="8" fillId="0" borderId="31" xfId="0" applyFont="1" applyBorder="1" applyAlignment="1">
      <alignment horizontal="center" vertical="center"/>
    </xf>
    <xf numFmtId="0" fontId="5" fillId="3" borderId="12" xfId="0" applyFont="1" applyFill="1" applyBorder="1" applyAlignment="1">
      <alignment horizontal="center" vertical="center"/>
    </xf>
    <xf numFmtId="0" fontId="5" fillId="3" borderId="13" xfId="0" applyFont="1" applyFill="1" applyBorder="1" applyAlignment="1">
      <alignment horizontal="center" vertical="center"/>
    </xf>
    <xf numFmtId="0" fontId="5" fillId="3" borderId="19" xfId="0" applyFont="1" applyFill="1" applyBorder="1" applyAlignment="1">
      <alignment horizontal="center" vertical="center"/>
    </xf>
    <xf numFmtId="0" fontId="0" fillId="0" borderId="0" xfId="0" applyAlignment="1">
      <alignment horizontal="center" vertical="center" wrapText="1"/>
    </xf>
    <xf numFmtId="0" fontId="0" fillId="0" borderId="15" xfId="0" applyBorder="1" applyAlignment="1">
      <alignment horizontal="center" vertical="center" wrapText="1"/>
    </xf>
    <xf numFmtId="0" fontId="8" fillId="0" borderId="0" xfId="0" applyFont="1" applyAlignment="1">
      <alignment horizontal="center" vertical="center"/>
    </xf>
    <xf numFmtId="0" fontId="8" fillId="0" borderId="15" xfId="0" applyFont="1" applyBorder="1" applyAlignment="1">
      <alignment horizontal="center" vertical="center"/>
    </xf>
    <xf numFmtId="0" fontId="0" fillId="0" borderId="3" xfId="0" applyBorder="1" applyAlignment="1">
      <alignment horizontal="center" vertical="center" wrapText="1"/>
    </xf>
    <xf numFmtId="0" fontId="0" fillId="0" borderId="23" xfId="0" applyBorder="1" applyAlignment="1">
      <alignment horizontal="center" vertical="center" wrapText="1"/>
    </xf>
    <xf numFmtId="49" fontId="18" fillId="0" borderId="0" xfId="0" applyNumberFormat="1" applyFont="1" applyAlignment="1">
      <alignment horizontal="left" vertical="center" wrapText="1"/>
    </xf>
    <xf numFmtId="49" fontId="18" fillId="0" borderId="15" xfId="0" applyNumberFormat="1" applyFont="1" applyBorder="1" applyAlignment="1">
      <alignment horizontal="left" vertical="center" wrapText="1"/>
    </xf>
    <xf numFmtId="14" fontId="18" fillId="0" borderId="0" xfId="0" applyNumberFormat="1" applyFont="1" applyAlignment="1">
      <alignment horizontal="left" vertical="center" wrapText="1"/>
    </xf>
    <xf numFmtId="0" fontId="18" fillId="0" borderId="0" xfId="0" applyFont="1" applyAlignment="1">
      <alignment horizontal="left" vertical="center" wrapText="1"/>
    </xf>
    <xf numFmtId="0" fontId="18" fillId="0" borderId="15" xfId="0" applyFont="1" applyBorder="1" applyAlignment="1">
      <alignment horizontal="left" vertical="center" wrapText="1"/>
    </xf>
    <xf numFmtId="49" fontId="19" fillId="0" borderId="0" xfId="0" applyNumberFormat="1" applyFont="1" applyAlignment="1">
      <alignment horizontal="left" vertical="center" wrapText="1"/>
    </xf>
    <xf numFmtId="49" fontId="19" fillId="0" borderId="15" xfId="0" applyNumberFormat="1" applyFont="1" applyBorder="1" applyAlignment="1">
      <alignment horizontal="left" vertical="center" wrapText="1"/>
    </xf>
    <xf numFmtId="0" fontId="19" fillId="0" borderId="14" xfId="0" applyFont="1" applyBorder="1" applyAlignment="1">
      <alignment horizontal="right" vertical="center" wrapText="1"/>
    </xf>
    <xf numFmtId="168" fontId="18" fillId="0" borderId="0" xfId="0" applyNumberFormat="1" applyFont="1" applyAlignment="1">
      <alignment horizontal="left" vertical="center" wrapText="1"/>
    </xf>
    <xf numFmtId="168" fontId="18" fillId="0" borderId="15" xfId="0" applyNumberFormat="1" applyFont="1" applyBorder="1" applyAlignment="1">
      <alignment horizontal="left" vertical="center" wrapText="1"/>
    </xf>
    <xf numFmtId="0" fontId="4" fillId="7" borderId="12" xfId="0" applyFont="1" applyFill="1" applyBorder="1" applyAlignment="1">
      <alignment horizontal="center" vertical="center"/>
    </xf>
    <xf numFmtId="0" fontId="4" fillId="7" borderId="13" xfId="0" applyFont="1" applyFill="1" applyBorder="1" applyAlignment="1">
      <alignment horizontal="center" vertical="center"/>
    </xf>
    <xf numFmtId="0" fontId="4" fillId="7" borderId="19" xfId="0" applyFont="1" applyFill="1" applyBorder="1" applyAlignment="1">
      <alignment horizontal="center" vertical="center"/>
    </xf>
    <xf numFmtId="0" fontId="0" fillId="4" borderId="14" xfId="0" applyFill="1" applyBorder="1" applyAlignment="1">
      <alignment horizontal="center"/>
    </xf>
    <xf numFmtId="0" fontId="0" fillId="4" borderId="0" xfId="0" applyFill="1" applyAlignment="1">
      <alignment horizontal="center"/>
    </xf>
    <xf numFmtId="0" fontId="0" fillId="4" borderId="15" xfId="0" applyFill="1" applyBorder="1" applyAlignment="1">
      <alignment horizontal="center"/>
    </xf>
    <xf numFmtId="0" fontId="3" fillId="4" borderId="14" xfId="0" applyFont="1" applyFill="1" applyBorder="1" applyAlignment="1">
      <alignment horizontal="center" vertical="top" wrapText="1"/>
    </xf>
    <xf numFmtId="0" fontId="3" fillId="4" borderId="0" xfId="0" applyFont="1" applyFill="1" applyAlignment="1">
      <alignment horizontal="center" vertical="top" wrapText="1"/>
    </xf>
    <xf numFmtId="0" fontId="3" fillId="4" borderId="15" xfId="0" applyFont="1" applyFill="1" applyBorder="1" applyAlignment="1">
      <alignment horizontal="center" vertical="top" wrapText="1"/>
    </xf>
    <xf numFmtId="0" fontId="3" fillId="0" borderId="12" xfId="0" applyFont="1" applyBorder="1" applyAlignment="1">
      <alignment horizontal="center" vertical="center" wrapText="1"/>
    </xf>
    <xf numFmtId="0" fontId="3" fillId="0" borderId="13" xfId="0" applyFont="1" applyBorder="1" applyAlignment="1">
      <alignment horizontal="center" vertical="center" wrapText="1"/>
    </xf>
    <xf numFmtId="0" fontId="8" fillId="0" borderId="14" xfId="0" applyFont="1" applyBorder="1" applyAlignment="1">
      <alignment horizontal="center" vertical="center"/>
    </xf>
    <xf numFmtId="0" fontId="9" fillId="4" borderId="14" xfId="0" applyFont="1" applyFill="1" applyBorder="1" applyAlignment="1">
      <alignment horizontal="center" vertical="top" wrapText="1"/>
    </xf>
    <xf numFmtId="0" fontId="9" fillId="4" borderId="0" xfId="0" applyFont="1" applyFill="1" applyAlignment="1">
      <alignment horizontal="center" vertical="top" wrapText="1"/>
    </xf>
    <xf numFmtId="0" fontId="9" fillId="4" borderId="15" xfId="0" applyFont="1" applyFill="1" applyBorder="1" applyAlignment="1">
      <alignment horizontal="center" vertical="top" wrapText="1"/>
    </xf>
    <xf numFmtId="0" fontId="9" fillId="4" borderId="18" xfId="0" applyFont="1" applyFill="1" applyBorder="1" applyAlignment="1">
      <alignment horizontal="center" vertical="top" wrapText="1"/>
    </xf>
    <xf numFmtId="0" fontId="9" fillId="4" borderId="21" xfId="0" applyFont="1" applyFill="1" applyBorder="1" applyAlignment="1">
      <alignment horizontal="center" vertical="top" wrapText="1"/>
    </xf>
    <xf numFmtId="0" fontId="9" fillId="4" borderId="20" xfId="0" applyFont="1" applyFill="1" applyBorder="1" applyAlignment="1">
      <alignment horizontal="center" vertical="top" wrapText="1"/>
    </xf>
    <xf numFmtId="0" fontId="3" fillId="0" borderId="13" xfId="0" applyFont="1" applyBorder="1" applyAlignment="1">
      <alignment horizontal="center" vertical="center"/>
    </xf>
    <xf numFmtId="169" fontId="49" fillId="2" borderId="30" xfId="0" applyNumberFormat="1" applyFont="1" applyFill="1" applyBorder="1" applyAlignment="1">
      <alignment horizontal="right"/>
    </xf>
    <xf numFmtId="0" fontId="0" fillId="4" borderId="6" xfId="0" applyFill="1" applyBorder="1" applyAlignment="1">
      <alignment horizontal="center" vertical="center"/>
    </xf>
    <xf numFmtId="0" fontId="0" fillId="4" borderId="0" xfId="0" applyFill="1" applyAlignment="1">
      <alignment horizontal="center" vertical="center"/>
    </xf>
    <xf numFmtId="0" fontId="0" fillId="5" borderId="0" xfId="0" applyFill="1" applyAlignment="1" applyProtection="1">
      <alignment horizontal="center" vertical="center"/>
      <protection locked="0"/>
    </xf>
    <xf numFmtId="0" fontId="41" fillId="10" borderId="30" xfId="0" applyFont="1" applyFill="1" applyBorder="1" applyAlignment="1">
      <alignment horizontal="center"/>
    </xf>
    <xf numFmtId="0" fontId="14" fillId="5" borderId="10" xfId="0" applyFont="1" applyFill="1" applyBorder="1" applyAlignment="1">
      <alignment horizontal="center" vertical="center"/>
    </xf>
    <xf numFmtId="0" fontId="14" fillId="5" borderId="2" xfId="0" applyFont="1" applyFill="1" applyBorder="1" applyAlignment="1">
      <alignment horizontal="center" vertical="center"/>
    </xf>
    <xf numFmtId="0" fontId="14" fillId="5" borderId="11" xfId="0" applyFont="1" applyFill="1" applyBorder="1" applyAlignment="1">
      <alignment horizontal="center" vertical="center"/>
    </xf>
    <xf numFmtId="0" fontId="20" fillId="5" borderId="7" xfId="0" applyFont="1" applyFill="1" applyBorder="1" applyAlignment="1">
      <alignment horizontal="left" vertical="top"/>
    </xf>
    <xf numFmtId="0" fontId="12" fillId="2" borderId="3" xfId="0" applyFont="1" applyFill="1" applyBorder="1" applyAlignment="1">
      <alignment horizontal="center" vertical="top" wrapText="1"/>
    </xf>
    <xf numFmtId="1" fontId="2" fillId="2" borderId="0" xfId="0" applyNumberFormat="1" applyFont="1" applyFill="1" applyAlignment="1">
      <alignment horizontal="center" vertical="center"/>
    </xf>
    <xf numFmtId="1" fontId="2" fillId="2" borderId="7" xfId="0" applyNumberFormat="1" applyFont="1" applyFill="1" applyBorder="1" applyAlignment="1">
      <alignment horizontal="center" vertical="center"/>
    </xf>
    <xf numFmtId="0" fontId="20" fillId="4" borderId="7" xfId="0" applyFont="1" applyFill="1" applyBorder="1" applyAlignment="1">
      <alignment horizontal="left" vertical="top"/>
    </xf>
    <xf numFmtId="169" fontId="18" fillId="2" borderId="30" xfId="0" applyNumberFormat="1" applyFont="1" applyFill="1" applyBorder="1" applyAlignment="1">
      <alignment horizontal="center" vertical="center"/>
    </xf>
    <xf numFmtId="0" fontId="3" fillId="0" borderId="82" xfId="0" applyFont="1" applyBorder="1" applyAlignment="1">
      <alignment horizontal="center" vertical="center" wrapText="1"/>
    </xf>
    <xf numFmtId="0" fontId="3" fillId="0" borderId="80" xfId="0" applyFont="1" applyBorder="1" applyAlignment="1">
      <alignment horizontal="center" vertical="center" wrapText="1"/>
    </xf>
    <xf numFmtId="0" fontId="16" fillId="4" borderId="86" xfId="0" applyFont="1" applyFill="1" applyBorder="1" applyAlignment="1">
      <alignment horizontal="center" vertical="top"/>
    </xf>
    <xf numFmtId="0" fontId="16" fillId="4" borderId="87" xfId="0" applyFont="1" applyFill="1" applyBorder="1" applyAlignment="1">
      <alignment horizontal="center" vertical="top"/>
    </xf>
    <xf numFmtId="0" fontId="3" fillId="0" borderId="77" xfId="0" applyFont="1" applyBorder="1" applyAlignment="1">
      <alignment horizontal="center" vertical="center" wrapText="1"/>
    </xf>
    <xf numFmtId="0" fontId="3" fillId="0" borderId="78" xfId="0" applyFont="1" applyBorder="1" applyAlignment="1">
      <alignment horizontal="center" vertical="center" wrapText="1"/>
    </xf>
    <xf numFmtId="0" fontId="4" fillId="8" borderId="12" xfId="0" applyFont="1" applyFill="1" applyBorder="1" applyAlignment="1">
      <alignment horizontal="center" vertical="center"/>
    </xf>
    <xf numFmtId="0" fontId="4" fillId="8" borderId="13" xfId="0" applyFont="1" applyFill="1" applyBorder="1" applyAlignment="1">
      <alignment horizontal="center" vertical="center"/>
    </xf>
    <xf numFmtId="0" fontId="4" fillId="8" borderId="19" xfId="0" applyFont="1" applyFill="1" applyBorder="1" applyAlignment="1">
      <alignment horizontal="center" vertical="center"/>
    </xf>
    <xf numFmtId="170" fontId="0" fillId="0" borderId="0" xfId="0" applyNumberFormat="1" applyAlignment="1">
      <alignment horizontal="center"/>
    </xf>
    <xf numFmtId="0" fontId="5" fillId="3" borderId="84" xfId="0" applyFont="1" applyFill="1" applyBorder="1" applyAlignment="1">
      <alignment horizontal="center" vertical="top"/>
    </xf>
    <xf numFmtId="0" fontId="5" fillId="3" borderId="85" xfId="0" applyFont="1" applyFill="1" applyBorder="1" applyAlignment="1">
      <alignment horizontal="center" vertical="top"/>
    </xf>
    <xf numFmtId="0" fontId="19" fillId="0" borderId="68" xfId="0" applyFont="1" applyBorder="1" applyAlignment="1">
      <alignment horizontal="left" vertical="center" wrapText="1"/>
    </xf>
    <xf numFmtId="0" fontId="19" fillId="0" borderId="69" xfId="0" applyFont="1" applyBorder="1" applyAlignment="1">
      <alignment horizontal="left" vertical="center" wrapText="1"/>
    </xf>
    <xf numFmtId="2" fontId="0" fillId="0" borderId="146" xfId="0" applyNumberFormat="1" applyBorder="1" applyAlignment="1">
      <alignment horizontal="center"/>
    </xf>
    <xf numFmtId="2" fontId="0" fillId="0" borderId="36" xfId="0" applyNumberFormat="1" applyBorder="1" applyAlignment="1">
      <alignment horizontal="center"/>
    </xf>
    <xf numFmtId="2" fontId="0" fillId="0" borderId="4" xfId="0" applyNumberFormat="1" applyBorder="1" applyAlignment="1">
      <alignment horizontal="center"/>
    </xf>
    <xf numFmtId="0" fontId="46" fillId="0" borderId="53" xfId="0" applyFont="1" applyBorder="1" applyAlignment="1">
      <alignment horizontal="center"/>
    </xf>
    <xf numFmtId="0" fontId="46" fillId="0" borderId="58" xfId="0" applyFont="1" applyBorder="1" applyAlignment="1">
      <alignment horizontal="center"/>
    </xf>
    <xf numFmtId="0" fontId="46" fillId="0" borderId="60" xfId="0" applyFont="1" applyBorder="1" applyAlignment="1">
      <alignment horizontal="center"/>
    </xf>
    <xf numFmtId="0" fontId="46" fillId="0" borderId="59" xfId="0" applyFont="1" applyBorder="1" applyAlignment="1">
      <alignment horizontal="center"/>
    </xf>
    <xf numFmtId="0" fontId="0" fillId="0" borderId="58" xfId="0" applyBorder="1" applyAlignment="1">
      <alignment horizontal="center" vertical="center"/>
    </xf>
    <xf numFmtId="0" fontId="46" fillId="0" borderId="64" xfId="0" applyFont="1" applyBorder="1" applyAlignment="1">
      <alignment horizontal="center" vertical="center" wrapText="1"/>
    </xf>
    <xf numFmtId="0" fontId="46" fillId="0" borderId="94" xfId="0" applyFont="1" applyBorder="1" applyAlignment="1">
      <alignment horizontal="center" vertical="center" wrapText="1"/>
    </xf>
    <xf numFmtId="0" fontId="46" fillId="0" borderId="65" xfId="0" applyFont="1" applyBorder="1" applyAlignment="1">
      <alignment horizontal="center" vertical="center" wrapText="1"/>
    </xf>
    <xf numFmtId="2" fontId="35" fillId="10" borderId="91" xfId="3" applyNumberFormat="1" applyFont="1" applyFill="1" applyBorder="1" applyAlignment="1">
      <alignment horizontal="center"/>
    </xf>
    <xf numFmtId="2" fontId="35" fillId="10" borderId="92" xfId="3" applyNumberFormat="1" applyFont="1" applyFill="1" applyBorder="1" applyAlignment="1">
      <alignment horizontal="center"/>
    </xf>
    <xf numFmtId="0" fontId="0" fillId="12" borderId="58" xfId="0" applyFill="1" applyBorder="1" applyAlignment="1">
      <alignment horizontal="center"/>
    </xf>
    <xf numFmtId="0" fontId="0" fillId="12" borderId="59" xfId="0" applyFill="1" applyBorder="1" applyAlignment="1">
      <alignment horizontal="center"/>
    </xf>
    <xf numFmtId="0" fontId="56" fillId="0" borderId="54" xfId="0" applyFont="1" applyBorder="1" applyAlignment="1">
      <alignment horizontal="center" vertical="center"/>
    </xf>
    <xf numFmtId="0" fontId="56" fillId="0" borderId="99" xfId="0" applyFont="1" applyBorder="1" applyAlignment="1">
      <alignment horizontal="center" vertical="center"/>
    </xf>
    <xf numFmtId="0" fontId="56" fillId="0" borderId="55" xfId="0" applyFont="1" applyBorder="1" applyAlignment="1">
      <alignment horizontal="center" vertical="center"/>
    </xf>
    <xf numFmtId="0" fontId="56" fillId="0" borderId="53" xfId="0" applyFont="1" applyBorder="1" applyAlignment="1">
      <alignment horizontal="center" vertical="center"/>
    </xf>
    <xf numFmtId="0" fontId="0" fillId="0" borderId="30" xfId="0" applyBorder="1" applyAlignment="1">
      <alignment horizontal="center"/>
    </xf>
    <xf numFmtId="0" fontId="33" fillId="0" borderId="1" xfId="0" applyFont="1" applyBorder="1" applyAlignment="1">
      <alignment horizontal="center"/>
    </xf>
    <xf numFmtId="0" fontId="33" fillId="0" borderId="30" xfId="0" applyFont="1" applyBorder="1" applyAlignment="1">
      <alignment horizontal="center"/>
    </xf>
    <xf numFmtId="0" fontId="0" fillId="0" borderId="30" xfId="0" applyBorder="1" applyAlignment="1">
      <alignment horizontal="center" vertical="center"/>
    </xf>
    <xf numFmtId="0" fontId="0" fillId="0" borderId="14" xfId="0" applyBorder="1" applyAlignment="1">
      <alignment horizontal="center" wrapText="1"/>
    </xf>
    <xf numFmtId="0" fontId="0" fillId="0" borderId="15" xfId="0" applyBorder="1" applyAlignment="1">
      <alignment horizontal="center"/>
    </xf>
    <xf numFmtId="0" fontId="0" fillId="0" borderId="18" xfId="0" applyBorder="1" applyAlignment="1">
      <alignment horizontal="center" wrapText="1"/>
    </xf>
    <xf numFmtId="0" fontId="0" fillId="0" borderId="21" xfId="0" applyBorder="1" applyAlignment="1">
      <alignment horizontal="center"/>
    </xf>
    <xf numFmtId="0" fontId="0" fillId="0" borderId="20"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78" xfId="0" applyBorder="1" applyAlignment="1">
      <alignment horizontal="center"/>
    </xf>
    <xf numFmtId="0" fontId="0" fillId="0" borderId="79" xfId="0" applyBorder="1" applyAlignment="1">
      <alignment horizontal="center"/>
    </xf>
    <xf numFmtId="0" fontId="0" fillId="0" borderId="12" xfId="0" applyBorder="1" applyAlignment="1">
      <alignment horizontal="center" wrapText="1"/>
    </xf>
    <xf numFmtId="0" fontId="0" fillId="0" borderId="13" xfId="0" applyBorder="1" applyAlignment="1">
      <alignment horizontal="center"/>
    </xf>
    <xf numFmtId="0" fontId="0" fillId="0" borderId="19" xfId="0" applyBorder="1" applyAlignment="1">
      <alignment horizontal="center"/>
    </xf>
    <xf numFmtId="0" fontId="0" fillId="0" borderId="80" xfId="0" applyBorder="1" applyAlignment="1">
      <alignment horizontal="center"/>
    </xf>
    <xf numFmtId="0" fontId="0" fillId="0" borderId="81" xfId="0" applyBorder="1" applyAlignment="1">
      <alignment horizontal="center"/>
    </xf>
    <xf numFmtId="0" fontId="56" fillId="0" borderId="26" xfId="0" applyFont="1" applyBorder="1" applyAlignment="1">
      <alignment horizontal="center"/>
    </xf>
    <xf numFmtId="0" fontId="56" fillId="0" borderId="27" xfId="0" applyFont="1" applyBorder="1" applyAlignment="1">
      <alignment horizontal="center"/>
    </xf>
    <xf numFmtId="0" fontId="56" fillId="0" borderId="28" xfId="0" applyFont="1" applyBorder="1" applyAlignment="1">
      <alignment horizontal="center"/>
    </xf>
    <xf numFmtId="0" fontId="0" fillId="0" borderId="45" xfId="0" applyBorder="1" applyAlignment="1">
      <alignment horizontal="center"/>
    </xf>
    <xf numFmtId="0" fontId="57" fillId="0" borderId="26" xfId="0" applyFont="1" applyBorder="1" applyAlignment="1">
      <alignment horizontal="center"/>
    </xf>
    <xf numFmtId="0" fontId="57" fillId="0" borderId="27" xfId="0" applyFont="1" applyBorder="1" applyAlignment="1">
      <alignment horizontal="center"/>
    </xf>
    <xf numFmtId="0" fontId="57" fillId="0" borderId="28" xfId="0" applyFont="1" applyBorder="1" applyAlignment="1">
      <alignment horizontal="center"/>
    </xf>
    <xf numFmtId="0" fontId="0" fillId="0" borderId="145" xfId="0" applyBorder="1" applyAlignment="1">
      <alignment horizontal="center"/>
    </xf>
    <xf numFmtId="0" fontId="0" fillId="0" borderId="103" xfId="0" applyBorder="1" applyAlignment="1">
      <alignment horizontal="center"/>
    </xf>
    <xf numFmtId="0" fontId="0" fillId="0" borderId="98" xfId="0" applyBorder="1" applyAlignment="1">
      <alignment horizontal="center"/>
    </xf>
    <xf numFmtId="0" fontId="27" fillId="0" borderId="12" xfId="0" applyFont="1" applyBorder="1" applyAlignment="1">
      <alignment horizontal="center" vertical="center"/>
    </xf>
    <xf numFmtId="0" fontId="27" fillId="0" borderId="13" xfId="0" applyFont="1" applyBorder="1" applyAlignment="1">
      <alignment horizontal="center" vertical="center"/>
    </xf>
    <xf numFmtId="0" fontId="27" fillId="0" borderId="19" xfId="0" applyFont="1" applyBorder="1" applyAlignment="1">
      <alignment horizontal="center" vertical="center"/>
    </xf>
    <xf numFmtId="0" fontId="27" fillId="0" borderId="18" xfId="0" applyFont="1" applyBorder="1" applyAlignment="1">
      <alignment horizontal="center" vertical="center"/>
    </xf>
    <xf numFmtId="0" fontId="27" fillId="0" borderId="21" xfId="0" applyFont="1" applyBorder="1" applyAlignment="1">
      <alignment horizontal="center" vertical="center"/>
    </xf>
    <xf numFmtId="0" fontId="27" fillId="0" borderId="20" xfId="0" applyFont="1" applyBorder="1" applyAlignment="1">
      <alignment horizontal="center" vertical="center"/>
    </xf>
    <xf numFmtId="0" fontId="0" fillId="0" borderId="84" xfId="0" applyBorder="1" applyAlignment="1">
      <alignment horizontal="center"/>
    </xf>
    <xf numFmtId="0" fontId="0" fillId="0" borderId="18" xfId="0" applyBorder="1" applyAlignment="1">
      <alignment horizontal="center"/>
    </xf>
    <xf numFmtId="0" fontId="0" fillId="0" borderId="83" xfId="0" applyBorder="1" applyAlignment="1">
      <alignment horizontal="center"/>
    </xf>
    <xf numFmtId="0" fontId="0" fillId="0" borderId="82" xfId="0" applyBorder="1" applyAlignment="1">
      <alignment horizontal="center"/>
    </xf>
    <xf numFmtId="0" fontId="0" fillId="0" borderId="14" xfId="0" applyBorder="1" applyAlignment="1">
      <alignment horizontal="center"/>
    </xf>
    <xf numFmtId="0" fontId="0" fillId="0" borderId="12" xfId="0" applyBorder="1" applyAlignment="1">
      <alignment horizontal="center"/>
    </xf>
    <xf numFmtId="0" fontId="0" fillId="0" borderId="85" xfId="0" applyBorder="1" applyAlignment="1">
      <alignment horizontal="center"/>
    </xf>
    <xf numFmtId="0" fontId="0" fillId="0" borderId="77" xfId="0" applyBorder="1" applyAlignment="1">
      <alignment horizontal="center"/>
    </xf>
    <xf numFmtId="0" fontId="0" fillId="0" borderId="87" xfId="0" applyBorder="1" applyAlignment="1">
      <alignment horizontal="center"/>
    </xf>
    <xf numFmtId="0" fontId="0" fillId="0" borderId="86" xfId="0" applyBorder="1" applyAlignment="1">
      <alignment horizontal="center"/>
    </xf>
    <xf numFmtId="0" fontId="0" fillId="0" borderId="150" xfId="0" applyBorder="1" applyAlignment="1">
      <alignment horizontal="center"/>
    </xf>
    <xf numFmtId="0" fontId="0" fillId="0" borderId="151" xfId="0" applyBorder="1" applyAlignment="1">
      <alignment horizontal="center"/>
    </xf>
    <xf numFmtId="0" fontId="0" fillId="0" borderId="144" xfId="0" applyBorder="1" applyAlignment="1">
      <alignment horizontal="center" vertical="center"/>
    </xf>
    <xf numFmtId="0" fontId="0" fillId="0" borderId="93" xfId="0" applyBorder="1" applyAlignment="1">
      <alignment horizontal="center" vertical="center"/>
    </xf>
    <xf numFmtId="0" fontId="0" fillId="0" borderId="180" xfId="0" applyBorder="1" applyAlignment="1">
      <alignment horizontal="center"/>
    </xf>
    <xf numFmtId="0" fontId="0" fillId="0" borderId="77" xfId="0" applyBorder="1" applyAlignment="1">
      <alignment horizontal="center" vertical="center"/>
    </xf>
    <xf numFmtId="0" fontId="0" fillId="0" borderId="79" xfId="0" applyBorder="1" applyAlignment="1">
      <alignment horizontal="center" vertical="center"/>
    </xf>
    <xf numFmtId="0" fontId="46" fillId="0" borderId="32" xfId="0" applyFont="1" applyBorder="1" applyAlignment="1">
      <alignment horizontal="center" vertical="center" wrapText="1"/>
    </xf>
    <xf numFmtId="0" fontId="46" fillId="0" borderId="139" xfId="0" applyFont="1" applyBorder="1" applyAlignment="1">
      <alignment horizontal="center" vertical="center" wrapText="1"/>
    </xf>
    <xf numFmtId="0" fontId="46" fillId="0" borderId="140" xfId="0" applyFont="1" applyBorder="1" applyAlignment="1">
      <alignment horizontal="center" vertical="center" wrapText="1"/>
    </xf>
    <xf numFmtId="0" fontId="0" fillId="0" borderId="26" xfId="0" applyBorder="1" applyAlignment="1">
      <alignment horizontal="center" vertical="center"/>
    </xf>
    <xf numFmtId="0" fontId="0" fillId="0" borderId="28" xfId="0" applyBorder="1" applyAlignment="1">
      <alignment horizontal="center" vertical="center"/>
    </xf>
    <xf numFmtId="0" fontId="0" fillId="0" borderId="87" xfId="0" applyBorder="1" applyAlignment="1">
      <alignment horizontal="center" vertical="center"/>
    </xf>
    <xf numFmtId="0" fontId="0" fillId="0" borderId="27" xfId="0" applyBorder="1" applyAlignment="1">
      <alignment horizontal="center" vertical="center"/>
    </xf>
    <xf numFmtId="2" fontId="0" fillId="0" borderId="26" xfId="0" applyNumberFormat="1" applyBorder="1" applyAlignment="1">
      <alignment horizontal="center"/>
    </xf>
    <xf numFmtId="2" fontId="0" fillId="0" borderId="27" xfId="0" applyNumberFormat="1" applyBorder="1" applyAlignment="1">
      <alignment horizontal="center"/>
    </xf>
    <xf numFmtId="2" fontId="0" fillId="0" borderId="28" xfId="0" applyNumberFormat="1" applyBorder="1" applyAlignment="1">
      <alignment horizontal="center"/>
    </xf>
    <xf numFmtId="0" fontId="0" fillId="0" borderId="143" xfId="0" applyBorder="1" applyAlignment="1">
      <alignment horizontal="center"/>
    </xf>
    <xf numFmtId="0" fontId="0" fillId="0" borderId="93" xfId="0" applyBorder="1" applyAlignment="1">
      <alignment horizontal="center"/>
    </xf>
    <xf numFmtId="0" fontId="0" fillId="0" borderId="19" xfId="0" applyBorder="1" applyAlignment="1">
      <alignment horizontal="center" wrapText="1"/>
    </xf>
    <xf numFmtId="0" fontId="0" fillId="0" borderId="78" xfId="0" applyBorder="1" applyAlignment="1">
      <alignment horizontal="center" vertical="center"/>
    </xf>
    <xf numFmtId="0" fontId="0" fillId="0" borderId="121" xfId="0" applyBorder="1" applyAlignment="1">
      <alignment horizontal="center"/>
    </xf>
    <xf numFmtId="0" fontId="0" fillId="0" borderId="113" xfId="0" applyBorder="1" applyAlignment="1">
      <alignment horizontal="center"/>
    </xf>
    <xf numFmtId="0" fontId="0" fillId="0" borderId="15" xfId="0" applyBorder="1" applyAlignment="1">
      <alignment horizontal="center" wrapText="1"/>
    </xf>
    <xf numFmtId="0" fontId="0" fillId="0" borderId="20" xfId="0" applyBorder="1" applyAlignment="1">
      <alignment horizontal="center" wrapText="1"/>
    </xf>
    <xf numFmtId="0" fontId="45" fillId="0" borderId="58" xfId="0" applyFont="1" applyBorder="1" applyAlignment="1">
      <alignment horizontal="center"/>
    </xf>
    <xf numFmtId="2" fontId="0" fillId="0" borderId="102" xfId="0" applyNumberFormat="1" applyBorder="1" applyAlignment="1">
      <alignment horizontal="center" vertical="center"/>
    </xf>
    <xf numFmtId="2" fontId="0" fillId="0" borderId="53" xfId="0" applyNumberFormat="1" applyBorder="1" applyAlignment="1">
      <alignment horizontal="center" vertical="center"/>
    </xf>
    <xf numFmtId="0" fontId="0" fillId="0" borderId="99" xfId="0" applyBorder="1" applyAlignment="1">
      <alignment horizontal="center"/>
    </xf>
    <xf numFmtId="0" fontId="0" fillId="0" borderId="100" xfId="0" applyBorder="1" applyAlignment="1">
      <alignment horizontal="center"/>
    </xf>
    <xf numFmtId="2" fontId="0" fillId="0" borderId="101" xfId="0" applyNumberFormat="1" applyBorder="1" applyAlignment="1">
      <alignment horizontal="center" vertical="center"/>
    </xf>
    <xf numFmtId="2" fontId="0" fillId="0" borderId="104" xfId="0" applyNumberFormat="1" applyBorder="1" applyAlignment="1">
      <alignment horizontal="center" vertical="center"/>
    </xf>
    <xf numFmtId="0" fontId="0" fillId="0" borderId="116" xfId="0" applyBorder="1" applyAlignment="1">
      <alignment horizontal="center"/>
    </xf>
    <xf numFmtId="0" fontId="0" fillId="0" borderId="117" xfId="0" applyBorder="1" applyAlignment="1">
      <alignment horizontal="center"/>
    </xf>
    <xf numFmtId="0" fontId="0" fillId="0" borderId="63" xfId="0" applyBorder="1" applyAlignment="1">
      <alignment horizontal="center"/>
    </xf>
    <xf numFmtId="165" fontId="0" fillId="0" borderId="12" xfId="0" applyNumberFormat="1" applyBorder="1" applyAlignment="1">
      <alignment horizontal="center" vertical="center"/>
    </xf>
    <xf numFmtId="165" fontId="0" fillId="0" borderId="19" xfId="0" applyNumberFormat="1" applyBorder="1" applyAlignment="1">
      <alignment horizontal="center" vertical="center"/>
    </xf>
    <xf numFmtId="0" fontId="0" fillId="0" borderId="111" xfId="0" applyBorder="1" applyAlignment="1">
      <alignment horizontal="center"/>
    </xf>
    <xf numFmtId="0" fontId="0" fillId="0" borderId="122" xfId="0" applyBorder="1" applyAlignment="1">
      <alignment horizontal="center"/>
    </xf>
    <xf numFmtId="0" fontId="0" fillId="0" borderId="112" xfId="0" applyBorder="1" applyAlignment="1">
      <alignment horizontal="center"/>
    </xf>
    <xf numFmtId="0" fontId="0" fillId="0" borderId="110" xfId="0" applyBorder="1" applyAlignment="1">
      <alignment horizontal="center"/>
    </xf>
    <xf numFmtId="0" fontId="0" fillId="0" borderId="123" xfId="0" applyBorder="1" applyAlignment="1">
      <alignment horizontal="center"/>
    </xf>
    <xf numFmtId="165" fontId="0" fillId="0" borderId="114" xfId="0" applyNumberFormat="1" applyBorder="1" applyAlignment="1">
      <alignment horizontal="center" vertical="center"/>
    </xf>
    <xf numFmtId="165" fontId="0" fillId="0" borderId="120" xfId="0" applyNumberFormat="1" applyBorder="1" applyAlignment="1">
      <alignment horizontal="center" vertical="center"/>
    </xf>
    <xf numFmtId="165" fontId="0" fillId="0" borderId="115" xfId="0" applyNumberFormat="1" applyBorder="1" applyAlignment="1">
      <alignment horizontal="center" vertical="center"/>
    </xf>
    <xf numFmtId="2" fontId="0" fillId="0" borderId="131" xfId="0" applyNumberFormat="1" applyBorder="1" applyAlignment="1">
      <alignment horizontal="center" vertical="center"/>
    </xf>
    <xf numFmtId="2" fontId="0" fillId="0" borderId="132" xfId="0" applyNumberFormat="1" applyBorder="1" applyAlignment="1">
      <alignment horizontal="center" vertical="center"/>
    </xf>
    <xf numFmtId="2" fontId="0" fillId="0" borderId="126" xfId="0" applyNumberFormat="1" applyBorder="1" applyAlignment="1">
      <alignment horizontal="center" vertical="center"/>
    </xf>
    <xf numFmtId="2" fontId="0" fillId="0" borderId="107" xfId="0" applyNumberFormat="1" applyBorder="1" applyAlignment="1">
      <alignment horizontal="center" vertical="center"/>
    </xf>
    <xf numFmtId="0" fontId="0" fillId="0" borderId="129" xfId="0" applyBorder="1" applyAlignment="1">
      <alignment horizontal="center"/>
    </xf>
    <xf numFmtId="0" fontId="0" fillId="0" borderId="130" xfId="0" applyBorder="1" applyAlignment="1">
      <alignment horizontal="center"/>
    </xf>
    <xf numFmtId="0" fontId="0" fillId="0" borderId="106" xfId="0" applyBorder="1" applyAlignment="1">
      <alignment horizontal="center"/>
    </xf>
    <xf numFmtId="165" fontId="0" fillId="0" borderId="13" xfId="0" applyNumberFormat="1" applyBorder="1" applyAlignment="1">
      <alignment horizontal="center" vertical="center"/>
    </xf>
    <xf numFmtId="165" fontId="0" fillId="0" borderId="14" xfId="0" applyNumberFormat="1" applyBorder="1" applyAlignment="1">
      <alignment horizontal="center" vertical="center"/>
    </xf>
    <xf numFmtId="165" fontId="0" fillId="0" borderId="0" xfId="0" applyNumberFormat="1" applyAlignment="1">
      <alignment horizontal="center" vertical="center"/>
    </xf>
    <xf numFmtId="165" fontId="0" fillId="0" borderId="15" xfId="0" applyNumberFormat="1" applyBorder="1" applyAlignment="1">
      <alignment horizontal="center" vertical="center"/>
    </xf>
    <xf numFmtId="165" fontId="0" fillId="0" borderId="18" xfId="0" applyNumberFormat="1" applyBorder="1" applyAlignment="1">
      <alignment horizontal="center" vertical="center"/>
    </xf>
    <xf numFmtId="165" fontId="0" fillId="0" borderId="21" xfId="0" applyNumberFormat="1" applyBorder="1" applyAlignment="1">
      <alignment horizontal="center" vertical="center"/>
    </xf>
    <xf numFmtId="165" fontId="0" fillId="0" borderId="20" xfId="0" applyNumberFormat="1" applyBorder="1" applyAlignment="1">
      <alignment horizontal="center" vertical="center"/>
    </xf>
    <xf numFmtId="0" fontId="0" fillId="0" borderId="185" xfId="0" applyBorder="1" applyAlignment="1">
      <alignment horizontal="center"/>
    </xf>
    <xf numFmtId="0" fontId="0" fillId="0" borderId="128" xfId="0" applyBorder="1" applyAlignment="1">
      <alignment horizontal="center"/>
    </xf>
    <xf numFmtId="0" fontId="0" fillId="0" borderId="127" xfId="0" applyBorder="1" applyAlignment="1">
      <alignment horizontal="center"/>
    </xf>
    <xf numFmtId="2" fontId="2" fillId="17" borderId="30" xfId="0" applyNumberFormat="1" applyFont="1" applyFill="1" applyBorder="1" applyAlignment="1">
      <alignment horizontal="center"/>
    </xf>
    <xf numFmtId="0" fontId="0" fillId="0" borderId="164" xfId="0" applyBorder="1" applyAlignment="1">
      <alignment horizontal="center"/>
    </xf>
    <xf numFmtId="0" fontId="0" fillId="0" borderId="165" xfId="0" applyBorder="1" applyAlignment="1">
      <alignment horizontal="center"/>
    </xf>
    <xf numFmtId="0" fontId="46" fillId="0" borderId="176" xfId="0" applyFont="1" applyBorder="1" applyAlignment="1">
      <alignment horizontal="center" vertical="center" wrapText="1"/>
    </xf>
    <xf numFmtId="0" fontId="46" fillId="0" borderId="133" xfId="0" applyFont="1" applyBorder="1" applyAlignment="1">
      <alignment horizontal="center" vertical="center" wrapText="1"/>
    </xf>
    <xf numFmtId="0" fontId="46" fillId="0" borderId="134" xfId="0" applyFont="1" applyBorder="1" applyAlignment="1">
      <alignment horizontal="center" vertical="center" wrapText="1"/>
    </xf>
    <xf numFmtId="2" fontId="0" fillId="0" borderId="58" xfId="0" applyNumberFormat="1" applyBorder="1" applyAlignment="1">
      <alignment horizontal="center" vertical="center"/>
    </xf>
    <xf numFmtId="2" fontId="0" fillId="0" borderId="59" xfId="0" applyNumberFormat="1" applyBorder="1" applyAlignment="1">
      <alignment horizontal="center" vertical="center"/>
    </xf>
    <xf numFmtId="0" fontId="2" fillId="0" borderId="26" xfId="0" applyFont="1" applyBorder="1" applyAlignment="1">
      <alignment horizontal="center"/>
    </xf>
    <xf numFmtId="0" fontId="2" fillId="0" borderId="27" xfId="0" applyFont="1" applyBorder="1" applyAlignment="1">
      <alignment horizontal="center"/>
    </xf>
    <xf numFmtId="0" fontId="2" fillId="0" borderId="28" xfId="0" applyFont="1" applyBorder="1" applyAlignment="1">
      <alignment horizontal="center"/>
    </xf>
    <xf numFmtId="2" fontId="0" fillId="0" borderId="130" xfId="0" applyNumberFormat="1" applyBorder="1" applyAlignment="1">
      <alignment horizontal="center" vertical="center"/>
    </xf>
    <xf numFmtId="2" fontId="0" fillId="0" borderId="169" xfId="0" applyNumberFormat="1" applyBorder="1" applyAlignment="1">
      <alignment horizontal="center" vertical="center"/>
    </xf>
    <xf numFmtId="2" fontId="0" fillId="0" borderId="182" xfId="0" applyNumberFormat="1" applyBorder="1" applyAlignment="1">
      <alignment horizontal="center" vertical="center"/>
    </xf>
    <xf numFmtId="2" fontId="0" fillId="0" borderId="183" xfId="0" applyNumberFormat="1" applyBorder="1" applyAlignment="1">
      <alignment horizontal="center" vertical="center"/>
    </xf>
    <xf numFmtId="0" fontId="41" fillId="10" borderId="0" xfId="0" applyFont="1" applyFill="1" applyAlignment="1">
      <alignment horizontal="center"/>
    </xf>
    <xf numFmtId="0" fontId="0" fillId="4" borderId="8" xfId="0" applyFill="1" applyBorder="1" applyAlignment="1">
      <alignment horizontal="center" vertical="center"/>
    </xf>
    <xf numFmtId="0" fontId="5" fillId="3" borderId="26" xfId="0" applyFont="1" applyFill="1" applyBorder="1" applyAlignment="1">
      <alignment horizontal="center" vertical="top"/>
    </xf>
    <xf numFmtId="0" fontId="5" fillId="3" borderId="27" xfId="0" applyFont="1" applyFill="1" applyBorder="1" applyAlignment="1">
      <alignment horizontal="center" vertical="top"/>
    </xf>
    <xf numFmtId="0" fontId="5" fillId="3" borderId="28" xfId="0" applyFont="1" applyFill="1" applyBorder="1" applyAlignment="1">
      <alignment horizontal="center" vertical="top"/>
    </xf>
    <xf numFmtId="0" fontId="7" fillId="0" borderId="12" xfId="0" applyFont="1" applyBorder="1" applyAlignment="1">
      <alignment horizontal="center" vertical="center" wrapText="1"/>
    </xf>
    <xf numFmtId="0" fontId="7" fillId="0" borderId="13" xfId="0" applyFont="1" applyBorder="1" applyAlignment="1">
      <alignment horizontal="center" vertical="center" wrapText="1"/>
    </xf>
    <xf numFmtId="0" fontId="3" fillId="0" borderId="0" xfId="0" applyFont="1" applyAlignment="1">
      <alignment horizontal="center" vertical="center"/>
    </xf>
    <xf numFmtId="0" fontId="4" fillId="9" borderId="12" xfId="0" applyFont="1" applyFill="1" applyBorder="1" applyAlignment="1">
      <alignment horizontal="center" vertical="center"/>
    </xf>
    <xf numFmtId="0" fontId="4" fillId="9" borderId="13" xfId="0" applyFont="1" applyFill="1" applyBorder="1" applyAlignment="1">
      <alignment horizontal="center" vertical="center"/>
    </xf>
    <xf numFmtId="0" fontId="4" fillId="9" borderId="19" xfId="0" applyFont="1" applyFill="1" applyBorder="1" applyAlignment="1">
      <alignment horizontal="center" vertical="center"/>
    </xf>
    <xf numFmtId="0" fontId="6" fillId="3" borderId="26" xfId="0" applyFont="1" applyFill="1" applyBorder="1" applyAlignment="1" applyProtection="1">
      <alignment horizontal="center" vertical="center"/>
      <protection hidden="1"/>
    </xf>
    <xf numFmtId="0" fontId="6" fillId="3" borderId="27" xfId="0" applyFont="1" applyFill="1" applyBorder="1" applyAlignment="1" applyProtection="1">
      <alignment horizontal="center" vertical="center"/>
      <protection hidden="1"/>
    </xf>
    <xf numFmtId="0" fontId="6" fillId="3" borderId="13" xfId="0" applyFont="1" applyFill="1" applyBorder="1" applyAlignment="1" applyProtection="1">
      <alignment horizontal="center" vertical="center"/>
      <protection hidden="1"/>
    </xf>
    <xf numFmtId="0" fontId="6" fillId="3" borderId="28" xfId="0" applyFont="1" applyFill="1" applyBorder="1" applyAlignment="1" applyProtection="1">
      <alignment horizontal="center" vertical="center"/>
      <protection hidden="1"/>
    </xf>
    <xf numFmtId="0" fontId="7" fillId="0" borderId="22" xfId="0" applyFont="1" applyBorder="1" applyAlignment="1" applyProtection="1">
      <alignment horizontal="center" vertical="center"/>
      <protection hidden="1"/>
    </xf>
    <xf numFmtId="0" fontId="7" fillId="0" borderId="14" xfId="0" applyFont="1" applyBorder="1" applyAlignment="1" applyProtection="1">
      <alignment horizontal="center" vertical="center"/>
      <protection hidden="1"/>
    </xf>
    <xf numFmtId="0" fontId="7" fillId="0" borderId="24" xfId="0" applyFont="1" applyBorder="1" applyAlignment="1" applyProtection="1">
      <alignment horizontal="center" vertical="center"/>
      <protection hidden="1"/>
    </xf>
    <xf numFmtId="164" fontId="7" fillId="6" borderId="13" xfId="0" applyNumberFormat="1" applyFont="1" applyFill="1" applyBorder="1" applyAlignment="1" applyProtection="1">
      <alignment horizontal="left" vertical="top"/>
      <protection hidden="1"/>
    </xf>
    <xf numFmtId="0" fontId="8" fillId="0" borderId="34" xfId="0" applyFont="1" applyBorder="1" applyAlignment="1" applyProtection="1">
      <alignment horizontal="center" vertical="center" wrapText="1"/>
      <protection hidden="1"/>
    </xf>
    <xf numFmtId="0" fontId="8" fillId="0" borderId="33" xfId="0" applyFont="1" applyBorder="1" applyAlignment="1" applyProtection="1">
      <alignment horizontal="center" vertical="center" wrapText="1"/>
      <protection hidden="1"/>
    </xf>
    <xf numFmtId="165" fontId="7" fillId="0" borderId="22" xfId="0" applyNumberFormat="1" applyFont="1" applyBorder="1" applyAlignment="1" applyProtection="1">
      <alignment horizontal="center" vertical="center"/>
      <protection hidden="1"/>
    </xf>
    <xf numFmtId="165" fontId="7" fillId="0" borderId="14" xfId="0" applyNumberFormat="1" applyFont="1" applyBorder="1" applyAlignment="1" applyProtection="1">
      <alignment horizontal="center" vertical="center"/>
      <protection hidden="1"/>
    </xf>
    <xf numFmtId="165" fontId="7" fillId="0" borderId="24" xfId="0" applyNumberFormat="1" applyFont="1" applyBorder="1" applyAlignment="1" applyProtection="1">
      <alignment horizontal="center" vertical="center"/>
      <protection hidden="1"/>
    </xf>
    <xf numFmtId="0" fontId="8" fillId="0" borderId="37" xfId="0" applyFont="1" applyBorder="1" applyAlignment="1" applyProtection="1">
      <alignment horizontal="center" vertical="center" wrapText="1"/>
      <protection hidden="1"/>
    </xf>
    <xf numFmtId="0" fontId="8" fillId="0" borderId="35" xfId="0" applyFont="1" applyBorder="1" applyAlignment="1" applyProtection="1">
      <alignment horizontal="center" vertical="center" wrapText="1"/>
      <protection hidden="1"/>
    </xf>
    <xf numFmtId="164" fontId="7" fillId="0" borderId="22" xfId="0" applyNumberFormat="1" applyFont="1" applyBorder="1" applyAlignment="1" applyProtection="1">
      <alignment horizontal="center" vertical="center"/>
      <protection hidden="1"/>
    </xf>
    <xf numFmtId="164" fontId="7" fillId="0" borderId="14" xfId="0" applyNumberFormat="1" applyFont="1" applyBorder="1" applyAlignment="1" applyProtection="1">
      <alignment horizontal="center" vertical="center"/>
      <protection hidden="1"/>
    </xf>
    <xf numFmtId="164" fontId="7" fillId="0" borderId="24" xfId="0" applyNumberFormat="1" applyFont="1" applyBorder="1" applyAlignment="1" applyProtection="1">
      <alignment horizontal="center" vertical="center"/>
      <protection hidden="1"/>
    </xf>
    <xf numFmtId="164" fontId="7" fillId="0" borderId="18" xfId="0" applyNumberFormat="1" applyFont="1" applyBorder="1" applyAlignment="1" applyProtection="1">
      <alignment horizontal="center" vertical="center"/>
      <protection hidden="1"/>
    </xf>
    <xf numFmtId="0" fontId="8" fillId="0" borderId="34" xfId="0" applyFont="1" applyBorder="1" applyAlignment="1" applyProtection="1">
      <alignment horizontal="left" vertical="center" wrapText="1"/>
      <protection hidden="1"/>
    </xf>
    <xf numFmtId="0" fontId="8" fillId="0" borderId="35" xfId="0" applyFont="1" applyBorder="1" applyAlignment="1" applyProtection="1">
      <alignment horizontal="left" vertical="center" wrapText="1"/>
      <protection hidden="1"/>
    </xf>
    <xf numFmtId="0" fontId="3" fillId="0" borderId="22" xfId="0" applyFont="1" applyBorder="1" applyAlignment="1">
      <alignment horizontal="center" vertical="center"/>
    </xf>
    <xf numFmtId="0" fontId="3" fillId="0" borderId="18" xfId="0" applyFont="1" applyBorder="1" applyAlignment="1">
      <alignment horizontal="center" vertical="center"/>
    </xf>
    <xf numFmtId="0" fontId="32" fillId="6" borderId="0" xfId="0" applyFont="1" applyFill="1" applyAlignment="1">
      <alignment horizontal="center" vertical="center" wrapText="1"/>
    </xf>
    <xf numFmtId="0" fontId="0" fillId="0" borderId="197" xfId="0" applyBorder="1" applyAlignment="1">
      <alignment horizontal="center"/>
    </xf>
    <xf numFmtId="0" fontId="0" fillId="0" borderId="198" xfId="0" applyBorder="1" applyAlignment="1">
      <alignment horizontal="center"/>
    </xf>
    <xf numFmtId="0" fontId="0" fillId="0" borderId="199" xfId="0" applyBorder="1" applyAlignment="1">
      <alignment horizontal="center"/>
    </xf>
    <xf numFmtId="0" fontId="0" fillId="0" borderId="144" xfId="0" applyBorder="1" applyAlignment="1">
      <alignment horizontal="center"/>
    </xf>
    <xf numFmtId="0" fontId="0" fillId="0" borderId="143" xfId="0" applyBorder="1" applyAlignment="1">
      <alignment horizontal="center" wrapText="1"/>
    </xf>
    <xf numFmtId="0" fontId="0" fillId="0" borderId="144" xfId="0" applyBorder="1" applyAlignment="1">
      <alignment horizontal="center" wrapText="1"/>
    </xf>
    <xf numFmtId="0" fontId="0" fillId="0" borderId="93" xfId="0" applyBorder="1" applyAlignment="1">
      <alignment horizontal="center" wrapText="1"/>
    </xf>
    <xf numFmtId="0" fontId="0" fillId="0" borderId="53" xfId="0" applyBorder="1" applyAlignment="1">
      <alignment horizontal="center" vertical="center" wrapText="1"/>
    </xf>
    <xf numFmtId="0" fontId="0" fillId="0" borderId="94" xfId="0" applyBorder="1" applyAlignment="1">
      <alignment horizontal="center"/>
    </xf>
    <xf numFmtId="0" fontId="43" fillId="0" borderId="26" xfId="0" applyFont="1" applyBorder="1" applyAlignment="1">
      <alignment horizontal="center"/>
    </xf>
    <xf numFmtId="0" fontId="43" fillId="0" borderId="28" xfId="0" applyFont="1" applyBorder="1" applyAlignment="1">
      <alignment horizontal="center"/>
    </xf>
    <xf numFmtId="0" fontId="44" fillId="0" borderId="26" xfId="0" applyFont="1" applyBorder="1" applyAlignment="1">
      <alignment horizontal="center"/>
    </xf>
    <xf numFmtId="0" fontId="44" fillId="0" borderId="28" xfId="0" applyFont="1" applyBorder="1" applyAlignment="1">
      <alignment horizontal="center"/>
    </xf>
    <xf numFmtId="0" fontId="44" fillId="0" borderId="136" xfId="0" applyFont="1" applyBorder="1" applyAlignment="1">
      <alignment horizontal="center"/>
    </xf>
    <xf numFmtId="0" fontId="44" fillId="0" borderId="141" xfId="0" applyFont="1" applyBorder="1" applyAlignment="1">
      <alignment horizontal="center"/>
    </xf>
    <xf numFmtId="0" fontId="44" fillId="0" borderId="138" xfId="0" applyFont="1" applyBorder="1" applyAlignment="1">
      <alignment horizontal="center"/>
    </xf>
    <xf numFmtId="0" fontId="44" fillId="0" borderId="142" xfId="0" applyFont="1" applyBorder="1" applyAlignment="1">
      <alignment horizontal="center"/>
    </xf>
    <xf numFmtId="2" fontId="44" fillId="25" borderId="0" xfId="0" applyNumberFormat="1" applyFont="1" applyFill="1" applyAlignment="1">
      <alignment horizontal="center"/>
    </xf>
    <xf numFmtId="0" fontId="44" fillId="25" borderId="125" xfId="0" applyFont="1" applyFill="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26" borderId="0" xfId="0" applyFont="1" applyFill="1" applyAlignment="1">
      <alignment horizontal="center"/>
    </xf>
    <xf numFmtId="0" fontId="44" fillId="26" borderId="125" xfId="0" applyFont="1" applyFill="1" applyBorder="1" applyAlignment="1">
      <alignment horizontal="center"/>
    </xf>
    <xf numFmtId="0" fontId="44" fillId="29" borderId="0" xfId="0" applyFont="1" applyFill="1" applyAlignment="1">
      <alignment horizontal="center"/>
    </xf>
    <xf numFmtId="0" fontId="44" fillId="0" borderId="13" xfId="0" applyFont="1" applyBorder="1" applyAlignment="1">
      <alignment horizontal="left"/>
    </xf>
    <xf numFmtId="0" fontId="54" fillId="0" borderId="13" xfId="0" applyFont="1" applyBorder="1" applyAlignment="1">
      <alignment horizontal="left"/>
    </xf>
    <xf numFmtId="0" fontId="54" fillId="0" borderId="0" xfId="0" applyFont="1" applyAlignment="1">
      <alignment horizontal="left"/>
    </xf>
    <xf numFmtId="0" fontId="2" fillId="0" borderId="0" xfId="0" applyFont="1" applyAlignment="1">
      <alignment horizontal="center"/>
    </xf>
    <xf numFmtId="0" fontId="0" fillId="0" borderId="41" xfId="0" applyBorder="1" applyAlignment="1">
      <alignment horizontal="center"/>
    </xf>
    <xf numFmtId="0" fontId="58" fillId="28" borderId="13" xfId="0" applyFont="1" applyFill="1" applyBorder="1" applyAlignment="1">
      <alignment horizontal="center"/>
    </xf>
    <xf numFmtId="0" fontId="58" fillId="28" borderId="0" xfId="0" applyFont="1" applyFill="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2" fontId="0" fillId="0" borderId="170" xfId="0" applyNumberFormat="1" applyBorder="1" applyAlignment="1">
      <alignment horizontal="center" vertical="center"/>
    </xf>
    <xf numFmtId="2" fontId="0" fillId="0" borderId="167" xfId="0" applyNumberFormat="1" applyBorder="1" applyAlignment="1">
      <alignment horizontal="center" vertical="center"/>
    </xf>
    <xf numFmtId="0" fontId="46" fillId="0" borderId="26" xfId="0" applyFont="1" applyBorder="1" applyAlignment="1">
      <alignment horizontal="center"/>
    </xf>
    <xf numFmtId="0" fontId="46" fillId="0" borderId="27" xfId="0" applyFont="1" applyBorder="1" applyAlignment="1">
      <alignment horizontal="center"/>
    </xf>
    <xf numFmtId="0" fontId="46" fillId="0" borderId="28" xfId="0" applyFont="1" applyBorder="1" applyAlignment="1">
      <alignment horizontal="center"/>
    </xf>
    <xf numFmtId="0" fontId="0" fillId="0" borderId="21" xfId="0" applyBorder="1" applyAlignment="1">
      <alignment horizontal="center" wrapText="1"/>
    </xf>
    <xf numFmtId="0" fontId="0" fillId="0" borderId="0" xfId="0" applyAlignment="1">
      <alignment horizontal="center" wrapText="1"/>
    </xf>
    <xf numFmtId="0" fontId="0" fillId="0" borderId="13" xfId="0" applyBorder="1" applyAlignment="1">
      <alignment horizontal="center" wrapText="1"/>
    </xf>
    <xf numFmtId="2" fontId="0" fillId="0" borderId="143" xfId="0" applyNumberFormat="1" applyBorder="1" applyAlignment="1">
      <alignment horizontal="center"/>
    </xf>
    <xf numFmtId="2" fontId="0" fillId="0" borderId="144" xfId="0" applyNumberFormat="1" applyBorder="1" applyAlignment="1">
      <alignment horizontal="center"/>
    </xf>
    <xf numFmtId="2" fontId="0" fillId="0" borderId="93" xfId="0" applyNumberFormat="1" applyBorder="1" applyAlignment="1">
      <alignment horizontal="center"/>
    </xf>
    <xf numFmtId="0" fontId="46" fillId="0" borderId="166" xfId="0" applyFont="1" applyBorder="1" applyAlignment="1">
      <alignment horizontal="center" vertical="center" wrapText="1"/>
    </xf>
    <xf numFmtId="0" fontId="0" fillId="0" borderId="171" xfId="0" applyBorder="1" applyAlignment="1">
      <alignment horizontal="center"/>
    </xf>
    <xf numFmtId="2" fontId="44" fillId="25" borderId="13" xfId="0" applyNumberFormat="1" applyFont="1" applyFill="1" applyBorder="1" applyAlignment="1">
      <alignment horizontal="center"/>
    </xf>
    <xf numFmtId="0" fontId="44" fillId="25" borderId="177" xfId="0" applyFont="1" applyFill="1" applyBorder="1" applyAlignment="1">
      <alignment horizontal="center"/>
    </xf>
    <xf numFmtId="0" fontId="44" fillId="0" borderId="178" xfId="0" applyFont="1" applyBorder="1" applyAlignment="1">
      <alignment horizontal="center"/>
    </xf>
    <xf numFmtId="0" fontId="44" fillId="0" borderId="179" xfId="0" applyFont="1" applyBorder="1" applyAlignment="1">
      <alignment horizontal="center"/>
    </xf>
    <xf numFmtId="0" fontId="44" fillId="0" borderId="176" xfId="0" applyFont="1" applyBorder="1" applyAlignment="1">
      <alignment horizontal="center"/>
    </xf>
    <xf numFmtId="0" fontId="44" fillId="0" borderId="146" xfId="0" applyFont="1" applyBorder="1" applyAlignment="1">
      <alignment horizontal="center"/>
    </xf>
    <xf numFmtId="0" fontId="0" fillId="28" borderId="0" xfId="0" applyFill="1" applyAlignment="1">
      <alignment horizontal="center"/>
    </xf>
    <xf numFmtId="0" fontId="0" fillId="28" borderId="7" xfId="0" applyFill="1" applyBorder="1" applyAlignment="1">
      <alignment horizontal="center"/>
    </xf>
    <xf numFmtId="0" fontId="44" fillId="0" borderId="0" xfId="0" applyFont="1" applyAlignment="1"/>
    <xf numFmtId="0" fontId="44" fillId="0" borderId="21" xfId="0" applyFont="1" applyBorder="1" applyAlignment="1"/>
    <xf numFmtId="0" fontId="44" fillId="0" borderId="13" xfId="0" applyFont="1" applyBorder="1" applyAlignment="1"/>
    <xf numFmtId="0" fontId="0" fillId="0" borderId="0" xfId="0" applyAlignment="1"/>
    <xf numFmtId="0" fontId="34" fillId="0" borderId="0" xfId="0" applyFont="1" applyAlignment="1"/>
  </cellXfs>
  <cellStyles count="5">
    <cellStyle name="Currency" xfId="3" builtinId="4"/>
    <cellStyle name="Hyperlink" xfId="2" builtinId="8"/>
    <cellStyle name="Normal" xfId="0" builtinId="0"/>
    <cellStyle name="Percent" xfId="1" builtinId="5"/>
    <cellStyle name="Percent 2" xfId="4" xr:uid="{75375D34-80DD-48B3-A2F8-9B609CD84A62}"/>
  </cellStyles>
  <dxfs count="7">
    <dxf>
      <font>
        <color rgb="FF9C0006"/>
      </font>
      <fill>
        <patternFill patternType="solid">
          <bgColor theme="1"/>
        </patternFill>
      </fill>
    </dxf>
    <dxf>
      <font>
        <color rgb="FF9C0006"/>
      </font>
      <fill>
        <patternFill patternType="solid">
          <bgColor theme="1"/>
        </patternFill>
      </fill>
    </dxf>
    <dxf>
      <font>
        <color rgb="FF9C0006"/>
      </font>
      <fill>
        <patternFill patternType="solid">
          <bgColor theme="1"/>
        </patternFill>
      </fill>
    </dxf>
    <dxf>
      <font>
        <color rgb="FF9C0006"/>
      </font>
      <fill>
        <patternFill patternType="solid">
          <bgColor theme="1"/>
        </patternFill>
      </fill>
    </dxf>
    <dxf>
      <font>
        <color rgb="FF9C0006"/>
      </font>
      <fill>
        <patternFill patternType="solid">
          <bgColor theme="1"/>
        </patternFill>
      </fill>
    </dxf>
    <dxf>
      <font>
        <color rgb="FF9C0006"/>
      </font>
      <fill>
        <patternFill patternType="solid">
          <bgColor theme="1"/>
        </patternFill>
      </fill>
    </dxf>
    <dxf>
      <font>
        <color rgb="FF9C0006"/>
      </font>
      <fill>
        <patternFill patternType="solid">
          <bgColor theme="1"/>
        </patternFill>
      </fill>
    </dxf>
  </dxfs>
  <tableStyles count="0" defaultTableStyle="TableStyleMedium2" defaultPivotStyle="PivotStyleLight16"/>
  <colors>
    <mruColors>
      <color rgb="FF92D050"/>
      <color rgb="FFFFC000"/>
      <color rgb="FFFFFFFF"/>
      <color rgb="FFFFF2CC"/>
      <color rgb="FFF2F2F2"/>
      <color rgb="FFC6E0B4"/>
      <color rgb="FFE2EFDA"/>
      <color rgb="FF009C4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a:t>
            </a:r>
            <a:r>
              <a:rPr lang="en-US" baseline="0"/>
              <a:t> vs Quantity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dLbls>
            <c:dLbl>
              <c:idx val="0"/>
              <c:tx>
                <c:rich>
                  <a:bodyPr/>
                  <a:lstStyle/>
                  <a:p>
                    <a:r>
                      <a:rPr lang="en-US"/>
                      <a:t>30</a:t>
                    </a:r>
                    <a:r>
                      <a:rPr lang="en-US" baseline="0"/>
                      <a:t> ft</a:t>
                    </a:r>
                    <a:endParaRPr lang="en-US"/>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EA5-4587-BCC2-B29CF59CBB5A}"/>
                </c:ext>
              </c:extLst>
            </c:dLbl>
            <c:dLbl>
              <c:idx val="2"/>
              <c:tx>
                <c:rich>
                  <a:bodyPr/>
                  <a:lstStyle/>
                  <a:p>
                    <a:r>
                      <a:rPr lang="en-US"/>
                      <a:t>15</a:t>
                    </a:r>
                    <a:r>
                      <a:rPr lang="en-US" baseline="0"/>
                      <a:t> ft</a:t>
                    </a:r>
                    <a:endParaRPr lang="en-US"/>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4EA5-4587-BCC2-B29CF59CBB5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MechCarbonPrice!$P$10:$P$12</c:f>
              <c:numCache>
                <c:formatCode>General</c:formatCode>
                <c:ptCount val="3"/>
              </c:numCache>
            </c:numRef>
          </c:xVal>
          <c:yVal>
            <c:numRef>
              <c:f>MechCarbonPrice!$Q$10:$Q$12</c:f>
              <c:numCache>
                <c:formatCode>General</c:formatCode>
                <c:ptCount val="3"/>
              </c:numCache>
            </c:numRef>
          </c:yVal>
          <c:smooth val="0"/>
          <c:extLst>
            <c:ext xmlns:c16="http://schemas.microsoft.com/office/drawing/2014/chart" uri="{C3380CC4-5D6E-409C-BE32-E72D297353CC}">
              <c16:uniqueId val="{00000003-4EA5-4587-BCC2-B29CF59CBB5A}"/>
            </c:ext>
          </c:extLst>
        </c:ser>
        <c:ser>
          <c:idx val="1"/>
          <c:order val="1"/>
          <c:tx>
            <c:v>Together</c:v>
          </c:tx>
          <c:spPr>
            <a:ln w="25400" cap="rnd">
              <a:noFill/>
              <a:round/>
            </a:ln>
            <a:effectLst/>
          </c:spPr>
          <c:marker>
            <c:symbol val="circle"/>
            <c:size val="5"/>
            <c:spPr>
              <a:solidFill>
                <a:schemeClr val="accent2"/>
              </a:solidFill>
              <a:ln w="9525">
                <a:solidFill>
                  <a:schemeClr val="accent2"/>
                </a:solidFill>
              </a:ln>
              <a:effectLst/>
            </c:spPr>
          </c:marker>
          <c:dLbls>
            <c:dLbl>
              <c:idx val="0"/>
              <c:tx>
                <c:rich>
                  <a:bodyPr/>
                  <a:lstStyle/>
                  <a:p>
                    <a:r>
                      <a:rPr lang="en-US"/>
                      <a:t>Together</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233D-4AAC-BD0B-41CA67632AD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MechCarbonPrice!$U$10</c:f>
              <c:numCache>
                <c:formatCode>General</c:formatCode>
                <c:ptCount val="1"/>
              </c:numCache>
            </c:numRef>
          </c:xVal>
          <c:yVal>
            <c:numRef>
              <c:f>MechCarbonPrice!$V$10</c:f>
              <c:numCache>
                <c:formatCode>General</c:formatCode>
                <c:ptCount val="1"/>
              </c:numCache>
            </c:numRef>
          </c:yVal>
          <c:smooth val="0"/>
          <c:extLst>
            <c:ext xmlns:c16="http://schemas.microsoft.com/office/drawing/2014/chart" uri="{C3380CC4-5D6E-409C-BE32-E72D297353CC}">
              <c16:uniqueId val="{00000001-233D-4AAC-BD0B-41CA67632AD5}"/>
            </c:ext>
          </c:extLst>
        </c:ser>
        <c:dLbls>
          <c:dLblPos val="t"/>
          <c:showLegendKey val="0"/>
          <c:showVal val="1"/>
          <c:showCatName val="0"/>
          <c:showSerName val="0"/>
          <c:showPercent val="0"/>
          <c:showBubbleSize val="0"/>
        </c:dLbls>
        <c:axId val="1073914976"/>
        <c:axId val="1073915936"/>
      </c:scatterChart>
      <c:valAx>
        <c:axId val="10739149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Amount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915936"/>
        <c:crosses val="autoZero"/>
        <c:crossBetween val="midCat"/>
      </c:valAx>
      <c:valAx>
        <c:axId val="10739159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3914976"/>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Layers vs Allowable</a:t>
            </a:r>
            <a:r>
              <a:rPr lang="en-US" baseline="0"/>
              <a:t> </a:t>
            </a:r>
            <a:r>
              <a:rPr lang="en-US"/>
              <a:t>Strain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'Cyclic Loading'!$BK$9:$BL$9</c:f>
              <c:strCache>
                <c:ptCount val="2"/>
                <c:pt idx="0">
                  <c:v>TimeWarp</c:v>
                </c:pt>
              </c:strCache>
            </c:strRef>
          </c:tx>
          <c:spPr>
            <a:ln w="25400" cap="rnd">
              <a:noFill/>
              <a:round/>
            </a:ln>
            <a:effectLst/>
          </c:spPr>
          <c:marker>
            <c:symbol val="circle"/>
            <c:size val="5"/>
            <c:spPr>
              <a:solidFill>
                <a:schemeClr val="accent1"/>
              </a:solidFill>
              <a:ln w="9525">
                <a:solidFill>
                  <a:schemeClr val="accent1"/>
                </a:solidFill>
              </a:ln>
              <a:effectLst/>
            </c:spPr>
          </c:marker>
          <c:xVal>
            <c:numRef>
              <c:f>'Cyclic Loading'!$BK$11:$BK$13</c:f>
              <c:numCache>
                <c:formatCode>General</c:formatCode>
                <c:ptCount val="3"/>
                <c:pt idx="0">
                  <c:v>11</c:v>
                </c:pt>
                <c:pt idx="1">
                  <c:v>11</c:v>
                </c:pt>
                <c:pt idx="2">
                  <c:v>33</c:v>
                </c:pt>
              </c:numCache>
            </c:numRef>
          </c:xVal>
          <c:yVal>
            <c:numRef>
              <c:f>'Cyclic Loading'!$BL$11:$BL$13</c:f>
              <c:numCache>
                <c:formatCode>_(* #,##0.0000000_);_(* \(#,##0.0000000\);_(* "-"??_);_(@_)</c:formatCode>
                <c:ptCount val="3"/>
                <c:pt idx="0">
                  <c:v>2.5043081580882059E-3</c:v>
                </c:pt>
                <c:pt idx="1">
                  <c:v>4.0433041611624837E-3</c:v>
                </c:pt>
                <c:pt idx="2">
                  <c:v>1.278506857705995E-3</c:v>
                </c:pt>
              </c:numCache>
            </c:numRef>
          </c:yVal>
          <c:smooth val="0"/>
          <c:extLst>
            <c:ext xmlns:c16="http://schemas.microsoft.com/office/drawing/2014/chart" uri="{C3380CC4-5D6E-409C-BE32-E72D297353CC}">
              <c16:uniqueId val="{00000000-F591-40DC-87EF-FA2259BCF153}"/>
            </c:ext>
          </c:extLst>
        </c:ser>
        <c:ser>
          <c:idx val="1"/>
          <c:order val="1"/>
          <c:tx>
            <c:strRef>
              <c:f>'Cyclic Loading'!$BN$9:$BO$9</c:f>
              <c:strCache>
                <c:ptCount val="2"/>
                <c:pt idx="0">
                  <c:v>OmegaWrap</c:v>
                </c:pt>
              </c:strCache>
            </c:strRef>
          </c:tx>
          <c:spPr>
            <a:ln w="25400" cap="rnd">
              <a:noFill/>
              <a:round/>
            </a:ln>
            <a:effectLst/>
          </c:spPr>
          <c:marker>
            <c:symbol val="circle"/>
            <c:size val="5"/>
            <c:spPr>
              <a:solidFill>
                <a:schemeClr val="accent2"/>
              </a:solidFill>
              <a:ln w="9525">
                <a:solidFill>
                  <a:schemeClr val="accent2"/>
                </a:solidFill>
              </a:ln>
              <a:effectLst/>
            </c:spPr>
          </c:marker>
          <c:xVal>
            <c:numRef>
              <c:f>'Cyclic Loading'!$BN$11:$BN$15</c:f>
              <c:numCache>
                <c:formatCode>General</c:formatCode>
                <c:ptCount val="5"/>
                <c:pt idx="0">
                  <c:v>11</c:v>
                </c:pt>
                <c:pt idx="1">
                  <c:v>18</c:v>
                </c:pt>
                <c:pt idx="2" formatCode="0">
                  <c:v>18</c:v>
                </c:pt>
                <c:pt idx="3" formatCode="0">
                  <c:v>11</c:v>
                </c:pt>
                <c:pt idx="4">
                  <c:v>26</c:v>
                </c:pt>
              </c:numCache>
            </c:numRef>
          </c:xVal>
          <c:yVal>
            <c:numRef>
              <c:f>'Cyclic Loading'!$BO$11:$BO$15</c:f>
              <c:numCache>
                <c:formatCode>_(* #,##0.0000000_);_(* \(#,##0.0000000\);_(* "-"??_);_(@_)</c:formatCode>
                <c:ptCount val="5"/>
                <c:pt idx="0">
                  <c:v>2.5697452229299367E-3</c:v>
                </c:pt>
                <c:pt idx="1">
                  <c:v>1.4525372009448448E-3</c:v>
                </c:pt>
                <c:pt idx="2">
                  <c:v>1.5379805566593616E-3</c:v>
                </c:pt>
                <c:pt idx="3">
                  <c:v>1.4837371890819209E-3</c:v>
                </c:pt>
                <c:pt idx="4">
                  <c:v>1.0243209208991456E-3</c:v>
                </c:pt>
              </c:numCache>
            </c:numRef>
          </c:yVal>
          <c:smooth val="0"/>
          <c:extLst>
            <c:ext xmlns:c16="http://schemas.microsoft.com/office/drawing/2014/chart" uri="{C3380CC4-5D6E-409C-BE32-E72D297353CC}">
              <c16:uniqueId val="{00000001-F591-40DC-87EF-FA2259BCF153}"/>
            </c:ext>
          </c:extLst>
        </c:ser>
        <c:dLbls>
          <c:showLegendKey val="0"/>
          <c:showVal val="0"/>
          <c:showCatName val="0"/>
          <c:showSerName val="0"/>
          <c:showPercent val="0"/>
          <c:showBubbleSize val="0"/>
        </c:dLbls>
        <c:axId val="1339294960"/>
        <c:axId val="482731600"/>
      </c:scatterChart>
      <c:valAx>
        <c:axId val="1339294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Layers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31600"/>
        <c:crosses val="autoZero"/>
        <c:crossBetween val="midCat"/>
      </c:valAx>
      <c:valAx>
        <c:axId val="482731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Allowable</a:t>
                </a:r>
                <a:r>
                  <a:rPr lang="en-US" baseline="0"/>
                  <a:t> 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00_);_(* \(#,##0.0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949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Allowable</a:t>
            </a:r>
            <a:r>
              <a:rPr lang="en-US" baseline="0"/>
              <a:t> </a:t>
            </a:r>
            <a:r>
              <a:rPr lang="en-US"/>
              <a:t>Strain vs Layers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'Cyclic Loading'!$BK$9:$BL$9</c:f>
              <c:strCache>
                <c:ptCount val="2"/>
                <c:pt idx="0">
                  <c:v>TimeWarp</c:v>
                </c:pt>
              </c:strCache>
            </c:strRef>
          </c:tx>
          <c:spPr>
            <a:ln w="25400" cap="rnd">
              <a:noFill/>
              <a:round/>
            </a:ln>
            <a:effectLst/>
          </c:spPr>
          <c:marker>
            <c:symbol val="circle"/>
            <c:size val="5"/>
            <c:spPr>
              <a:solidFill>
                <a:schemeClr val="accent1"/>
              </a:solidFill>
              <a:ln w="9525">
                <a:solidFill>
                  <a:schemeClr val="accent1"/>
                </a:solidFill>
              </a:ln>
              <a:effectLst/>
            </c:spPr>
          </c:marker>
          <c:xVal>
            <c:numRef>
              <c:f>'Cyclic Loading'!$BL$11:$BL$13</c:f>
              <c:numCache>
                <c:formatCode>_(* #,##0.0000000_);_(* \(#,##0.0000000\);_(* "-"??_);_(@_)</c:formatCode>
                <c:ptCount val="3"/>
                <c:pt idx="0">
                  <c:v>2.5043081580882059E-3</c:v>
                </c:pt>
                <c:pt idx="1">
                  <c:v>4.0433041611624837E-3</c:v>
                </c:pt>
                <c:pt idx="2">
                  <c:v>1.278506857705995E-3</c:v>
                </c:pt>
              </c:numCache>
            </c:numRef>
          </c:xVal>
          <c:yVal>
            <c:numRef>
              <c:f>'Cyclic Loading'!$BK$11:$BK$13</c:f>
              <c:numCache>
                <c:formatCode>General</c:formatCode>
                <c:ptCount val="3"/>
                <c:pt idx="0">
                  <c:v>11</c:v>
                </c:pt>
                <c:pt idx="1">
                  <c:v>11</c:v>
                </c:pt>
                <c:pt idx="2">
                  <c:v>33</c:v>
                </c:pt>
              </c:numCache>
            </c:numRef>
          </c:yVal>
          <c:smooth val="0"/>
          <c:extLst>
            <c:ext xmlns:c16="http://schemas.microsoft.com/office/drawing/2014/chart" uri="{C3380CC4-5D6E-409C-BE32-E72D297353CC}">
              <c16:uniqueId val="{00000000-5578-4335-83CE-816323079D54}"/>
            </c:ext>
          </c:extLst>
        </c:ser>
        <c:ser>
          <c:idx val="1"/>
          <c:order val="1"/>
          <c:tx>
            <c:strRef>
              <c:f>'Cyclic Loading'!$BN$9:$BO$9</c:f>
              <c:strCache>
                <c:ptCount val="2"/>
                <c:pt idx="0">
                  <c:v>OmegaWrap</c:v>
                </c:pt>
              </c:strCache>
            </c:strRef>
          </c:tx>
          <c:spPr>
            <a:ln w="25400" cap="rnd">
              <a:noFill/>
              <a:round/>
            </a:ln>
            <a:effectLst/>
          </c:spPr>
          <c:marker>
            <c:symbol val="circle"/>
            <c:size val="5"/>
            <c:spPr>
              <a:solidFill>
                <a:schemeClr val="accent2"/>
              </a:solidFill>
              <a:ln w="9525">
                <a:solidFill>
                  <a:schemeClr val="accent2"/>
                </a:solidFill>
              </a:ln>
              <a:effectLst/>
            </c:spPr>
          </c:marker>
          <c:xVal>
            <c:numRef>
              <c:f>'Cyclic Loading'!$BO$11:$BO$15</c:f>
              <c:numCache>
                <c:formatCode>_(* #,##0.0000000_);_(* \(#,##0.0000000\);_(* "-"??_);_(@_)</c:formatCode>
                <c:ptCount val="5"/>
                <c:pt idx="0">
                  <c:v>2.5697452229299367E-3</c:v>
                </c:pt>
                <c:pt idx="1">
                  <c:v>1.4525372009448448E-3</c:v>
                </c:pt>
                <c:pt idx="2">
                  <c:v>1.5379805566593616E-3</c:v>
                </c:pt>
                <c:pt idx="3">
                  <c:v>1.4837371890819209E-3</c:v>
                </c:pt>
                <c:pt idx="4">
                  <c:v>1.0243209208991456E-3</c:v>
                </c:pt>
              </c:numCache>
            </c:numRef>
          </c:xVal>
          <c:yVal>
            <c:numRef>
              <c:f>'Cyclic Loading'!$BN$11:$BN$15</c:f>
              <c:numCache>
                <c:formatCode>General</c:formatCode>
                <c:ptCount val="5"/>
                <c:pt idx="0">
                  <c:v>11</c:v>
                </c:pt>
                <c:pt idx="1">
                  <c:v>18</c:v>
                </c:pt>
                <c:pt idx="2" formatCode="0">
                  <c:v>18</c:v>
                </c:pt>
                <c:pt idx="3" formatCode="0">
                  <c:v>11</c:v>
                </c:pt>
                <c:pt idx="4">
                  <c:v>26</c:v>
                </c:pt>
              </c:numCache>
            </c:numRef>
          </c:yVal>
          <c:smooth val="0"/>
          <c:extLst>
            <c:ext xmlns:c16="http://schemas.microsoft.com/office/drawing/2014/chart" uri="{C3380CC4-5D6E-409C-BE32-E72D297353CC}">
              <c16:uniqueId val="{00000001-5578-4335-83CE-816323079D54}"/>
            </c:ext>
          </c:extLst>
        </c:ser>
        <c:dLbls>
          <c:showLegendKey val="0"/>
          <c:showVal val="0"/>
          <c:showCatName val="0"/>
          <c:showSerName val="0"/>
          <c:showPercent val="0"/>
          <c:showBubbleSize val="0"/>
        </c:dLbls>
        <c:axId val="1339294960"/>
        <c:axId val="482731600"/>
      </c:scatterChart>
      <c:valAx>
        <c:axId val="1339294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Allowable Strain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00000_);_(* \(#,##0.000000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731600"/>
        <c:crosses val="autoZero"/>
        <c:crossBetween val="midCat"/>
      </c:valAx>
      <c:valAx>
        <c:axId val="4827316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Layers</a:t>
                </a:r>
                <a:endParaRPr lang="en-US" baseline="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92949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simple" dx="22" sel="0" val="0" widthMin="115"/>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5.emf"/></Relationships>
</file>

<file path=xl/drawings/_rels/drawing11.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chart" Target="../charts/chart3.xml"/><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chart" Target="../charts/chart2.xml"/><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2</xdr:col>
      <xdr:colOff>54429</xdr:colOff>
      <xdr:row>3</xdr:row>
      <xdr:rowOff>95250</xdr:rowOff>
    </xdr:from>
    <xdr:to>
      <xdr:col>9</xdr:col>
      <xdr:colOff>666750</xdr:colOff>
      <xdr:row>7</xdr:row>
      <xdr:rowOff>87265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 y="666750"/>
          <a:ext cx="5021036" cy="75211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15</xdr:row>
          <xdr:rowOff>133350</xdr:rowOff>
        </xdr:from>
        <xdr:to>
          <xdr:col>4</xdr:col>
          <xdr:colOff>38100</xdr:colOff>
          <xdr:row>17</xdr:row>
          <xdr:rowOff>85725</xdr:rowOff>
        </xdr:to>
        <xdr:sp macro="" textlink="">
          <xdr:nvSpPr>
            <xdr:cNvPr id="15363" name="OpenSheets"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15</xdr:row>
          <xdr:rowOff>133350</xdr:rowOff>
        </xdr:from>
        <xdr:to>
          <xdr:col>6</xdr:col>
          <xdr:colOff>352425</xdr:colOff>
          <xdr:row>17</xdr:row>
          <xdr:rowOff>85725</xdr:rowOff>
        </xdr:to>
        <xdr:sp macro="" textlink="">
          <xdr:nvSpPr>
            <xdr:cNvPr id="15391" name="ExportAll" hidden="1">
              <a:extLst>
                <a:ext uri="{63B3BB69-23CF-44E3-9099-C40C66FF867C}">
                  <a14:compatExt spid="_x0000_s15391"/>
                </a:ext>
                <a:ext uri="{FF2B5EF4-FFF2-40B4-BE49-F238E27FC236}">
                  <a16:creationId xmlns:a16="http://schemas.microsoft.com/office/drawing/2014/main" id="{00000000-0008-0000-0100-00001F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495300</xdr:colOff>
          <xdr:row>18</xdr:row>
          <xdr:rowOff>85725</xdr:rowOff>
        </xdr:from>
        <xdr:to>
          <xdr:col>6</xdr:col>
          <xdr:colOff>352425</xdr:colOff>
          <xdr:row>20</xdr:row>
          <xdr:rowOff>38100</xdr:rowOff>
        </xdr:to>
        <xdr:sp macro="" textlink="">
          <xdr:nvSpPr>
            <xdr:cNvPr id="15395" name="SendEmail" hidden="1">
              <a:extLst>
                <a:ext uri="{63B3BB69-23CF-44E3-9099-C40C66FF867C}">
                  <a14:compatExt spid="_x0000_s15395"/>
                </a:ext>
                <a:ext uri="{FF2B5EF4-FFF2-40B4-BE49-F238E27FC236}">
                  <a16:creationId xmlns:a16="http://schemas.microsoft.com/office/drawing/2014/main" id="{00000000-0008-0000-0100-00002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3</xdr:col>
      <xdr:colOff>301998</xdr:colOff>
      <xdr:row>16</xdr:row>
      <xdr:rowOff>19050</xdr:rowOff>
    </xdr:from>
    <xdr:ext cx="143244" cy="172227"/>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3030DC5D-C6BE-4AC0-8A26-69925FEC3693}"/>
                </a:ext>
              </a:extLst>
            </xdr:cNvPr>
            <xdr:cNvSpPr txBox="1"/>
          </xdr:nvSpPr>
          <xdr:spPr>
            <a:xfrm>
              <a:off x="2873748" y="3609975"/>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40" name="TextBox 39">
              <a:extLst>
                <a:ext uri="{FF2B5EF4-FFF2-40B4-BE49-F238E27FC236}">
                  <a16:creationId xmlns:a16="http://schemas.microsoft.com/office/drawing/2014/main" id="{3030DC5D-C6BE-4AC0-8A26-69925FEC3693}"/>
                </a:ext>
              </a:extLst>
            </xdr:cNvPr>
            <xdr:cNvSpPr txBox="1"/>
          </xdr:nvSpPr>
          <xdr:spPr>
            <a:xfrm>
              <a:off x="2873748" y="3609975"/>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𝑡_𝑠</a:t>
              </a:r>
              <a:endParaRPr lang="en-US" sz="1100"/>
            </a:p>
          </xdr:txBody>
        </xdr:sp>
      </mc:Fallback>
    </mc:AlternateContent>
    <xdr:clientData/>
  </xdr:oneCellAnchor>
  <xdr:oneCellAnchor>
    <xdr:from>
      <xdr:col>3</xdr:col>
      <xdr:colOff>292473</xdr:colOff>
      <xdr:row>19</xdr:row>
      <xdr:rowOff>9525</xdr:rowOff>
    </xdr:from>
    <xdr:ext cx="183768" cy="172227"/>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6B2943D0-86E1-44A9-A741-B2EB431CB86F}"/>
                </a:ext>
              </a:extLst>
            </xdr:cNvPr>
            <xdr:cNvSpPr txBox="1"/>
          </xdr:nvSpPr>
          <xdr:spPr>
            <a:xfrm>
              <a:off x="2864223" y="4248150"/>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41" name="TextBox 40">
              <a:extLst>
                <a:ext uri="{FF2B5EF4-FFF2-40B4-BE49-F238E27FC236}">
                  <a16:creationId xmlns:a16="http://schemas.microsoft.com/office/drawing/2014/main" id="{6B2943D0-86E1-44A9-A741-B2EB431CB86F}"/>
                </a:ext>
              </a:extLst>
            </xdr:cNvPr>
            <xdr:cNvSpPr txBox="1"/>
          </xdr:nvSpPr>
          <xdr:spPr>
            <a:xfrm>
              <a:off x="2864223" y="4248150"/>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3</xdr:col>
      <xdr:colOff>301998</xdr:colOff>
      <xdr:row>20</xdr:row>
      <xdr:rowOff>9525</xdr:rowOff>
    </xdr:from>
    <xdr:ext cx="113557" cy="172227"/>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C8495CBA-C00D-4B2C-9F10-537B19DC648D}"/>
                </a:ext>
              </a:extLst>
            </xdr:cNvPr>
            <xdr:cNvSpPr txBox="1"/>
          </xdr:nvSpPr>
          <xdr:spPr>
            <a:xfrm>
              <a:off x="2873748" y="44958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42" name="TextBox 41">
              <a:extLst>
                <a:ext uri="{FF2B5EF4-FFF2-40B4-BE49-F238E27FC236}">
                  <a16:creationId xmlns:a16="http://schemas.microsoft.com/office/drawing/2014/main" id="{C8495CBA-C00D-4B2C-9F10-537B19DC648D}"/>
                </a:ext>
              </a:extLst>
            </xdr:cNvPr>
            <xdr:cNvSpPr txBox="1"/>
          </xdr:nvSpPr>
          <xdr:spPr>
            <a:xfrm>
              <a:off x="2873748" y="44958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3</xdr:col>
      <xdr:colOff>254373</xdr:colOff>
      <xdr:row>8</xdr:row>
      <xdr:rowOff>57150</xdr:rowOff>
    </xdr:from>
    <xdr:ext cx="290401" cy="172227"/>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CC4F3C89-D3A9-45F0-B067-D6C674FC8832}"/>
                </a:ext>
              </a:extLst>
            </xdr:cNvPr>
            <xdr:cNvSpPr txBox="1"/>
          </xdr:nvSpPr>
          <xdr:spPr>
            <a:xfrm>
              <a:off x="2826123" y="186690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43" name="TextBox 42">
              <a:extLst>
                <a:ext uri="{FF2B5EF4-FFF2-40B4-BE49-F238E27FC236}">
                  <a16:creationId xmlns:a16="http://schemas.microsoft.com/office/drawing/2014/main" id="{CC4F3C89-D3A9-45F0-B067-D6C674FC8832}"/>
                </a:ext>
              </a:extLst>
            </xdr:cNvPr>
            <xdr:cNvSpPr txBox="1"/>
          </xdr:nvSpPr>
          <xdr:spPr>
            <a:xfrm>
              <a:off x="2826123" y="186690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3</xdr:col>
      <xdr:colOff>340098</xdr:colOff>
      <xdr:row>7</xdr:row>
      <xdr:rowOff>38100</xdr:rowOff>
    </xdr:from>
    <xdr:ext cx="99899" cy="172227"/>
    <mc:AlternateContent xmlns:mc="http://schemas.openxmlformats.org/markup-compatibility/2006" xmlns:a14="http://schemas.microsoft.com/office/drawing/2010/main">
      <mc:Choice Requires="a14">
        <xdr:sp macro="" textlink="">
          <xdr:nvSpPr>
            <xdr:cNvPr id="44" name="TextBox 43">
              <a:extLst>
                <a:ext uri="{FF2B5EF4-FFF2-40B4-BE49-F238E27FC236}">
                  <a16:creationId xmlns:a16="http://schemas.microsoft.com/office/drawing/2014/main" id="{37FA2DFB-554E-4F57-8D24-55EB8B1B000D}"/>
                </a:ext>
              </a:extLst>
            </xdr:cNvPr>
            <xdr:cNvSpPr txBox="1"/>
          </xdr:nvSpPr>
          <xdr:spPr>
            <a:xfrm>
              <a:off x="2911848" y="1628775"/>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𝑠</m:t>
                    </m:r>
                  </m:oMath>
                </m:oMathPara>
              </a14:m>
              <a:endParaRPr lang="en-US" sz="1100"/>
            </a:p>
          </xdr:txBody>
        </xdr:sp>
      </mc:Choice>
      <mc:Fallback xmlns="">
        <xdr:sp macro="" textlink="">
          <xdr:nvSpPr>
            <xdr:cNvPr id="44" name="TextBox 43">
              <a:extLst>
                <a:ext uri="{FF2B5EF4-FFF2-40B4-BE49-F238E27FC236}">
                  <a16:creationId xmlns:a16="http://schemas.microsoft.com/office/drawing/2014/main" id="{37FA2DFB-554E-4F57-8D24-55EB8B1B000D}"/>
                </a:ext>
              </a:extLst>
            </xdr:cNvPr>
            <xdr:cNvSpPr txBox="1"/>
          </xdr:nvSpPr>
          <xdr:spPr>
            <a:xfrm>
              <a:off x="2911848" y="1628775"/>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𝑠</a:t>
              </a:r>
              <a:endParaRPr lang="en-US" sz="1100"/>
            </a:p>
          </xdr:txBody>
        </xdr:sp>
      </mc:Fallback>
    </mc:AlternateContent>
    <xdr:clientData/>
  </xdr:oneCellAnchor>
  <xdr:oneCellAnchor>
    <xdr:from>
      <xdr:col>3</xdr:col>
      <xdr:colOff>340098</xdr:colOff>
      <xdr:row>4</xdr:row>
      <xdr:rowOff>38100</xdr:rowOff>
    </xdr:from>
    <xdr:ext cx="90986" cy="172227"/>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6B6670E5-929E-4445-9035-904C91A27608}"/>
                </a:ext>
              </a:extLst>
            </xdr:cNvPr>
            <xdr:cNvSpPr txBox="1"/>
          </xdr:nvSpPr>
          <xdr:spPr>
            <a:xfrm>
              <a:off x="2911848" y="97155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45" name="TextBox 44">
              <a:extLst>
                <a:ext uri="{FF2B5EF4-FFF2-40B4-BE49-F238E27FC236}">
                  <a16:creationId xmlns:a16="http://schemas.microsoft.com/office/drawing/2014/main" id="{6B6670E5-929E-4445-9035-904C91A27608}"/>
                </a:ext>
              </a:extLst>
            </xdr:cNvPr>
            <xdr:cNvSpPr txBox="1"/>
          </xdr:nvSpPr>
          <xdr:spPr>
            <a:xfrm>
              <a:off x="2911848" y="97155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3</xdr:col>
      <xdr:colOff>311523</xdr:colOff>
      <xdr:row>3</xdr:row>
      <xdr:rowOff>47625</xdr:rowOff>
    </xdr:from>
    <xdr:ext cx="133626" cy="172227"/>
    <mc:AlternateContent xmlns:mc="http://schemas.openxmlformats.org/markup-compatibility/2006" xmlns:a14="http://schemas.microsoft.com/office/drawing/2010/main">
      <mc:Choice Requires="a14">
        <xdr:sp macro="" textlink="">
          <xdr:nvSpPr>
            <xdr:cNvPr id="46" name="TextBox 45">
              <a:extLst>
                <a:ext uri="{FF2B5EF4-FFF2-40B4-BE49-F238E27FC236}">
                  <a16:creationId xmlns:a16="http://schemas.microsoft.com/office/drawing/2014/main" id="{6ECE50C3-1EDA-4876-B534-B13566FE5B7F}"/>
                </a:ext>
              </a:extLst>
            </xdr:cNvPr>
            <xdr:cNvSpPr txBox="1"/>
          </xdr:nvSpPr>
          <xdr:spPr>
            <a:xfrm>
              <a:off x="2883273" y="76200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46" name="TextBox 45">
              <a:extLst>
                <a:ext uri="{FF2B5EF4-FFF2-40B4-BE49-F238E27FC236}">
                  <a16:creationId xmlns:a16="http://schemas.microsoft.com/office/drawing/2014/main" id="{6ECE50C3-1EDA-4876-B534-B13566FE5B7F}"/>
                </a:ext>
              </a:extLst>
            </xdr:cNvPr>
            <xdr:cNvSpPr txBox="1"/>
          </xdr:nvSpPr>
          <xdr:spPr>
            <a:xfrm>
              <a:off x="2883273" y="76200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3</xdr:col>
      <xdr:colOff>133350</xdr:colOff>
      <xdr:row>15</xdr:row>
      <xdr:rowOff>9525</xdr:rowOff>
    </xdr:from>
    <xdr:ext cx="476605" cy="183127"/>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B4740457-740E-425D-80A7-9ED797429A1A}"/>
                </a:ext>
              </a:extLst>
            </xdr:cNvPr>
            <xdr:cNvSpPr txBox="1"/>
          </xdr:nvSpPr>
          <xdr:spPr>
            <a:xfrm>
              <a:off x="2705100" y="3352800"/>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𝑤</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47" name="TextBox 46">
              <a:extLst>
                <a:ext uri="{FF2B5EF4-FFF2-40B4-BE49-F238E27FC236}">
                  <a16:creationId xmlns:a16="http://schemas.microsoft.com/office/drawing/2014/main" id="{B4740457-740E-425D-80A7-9ED797429A1A}"/>
                </a:ext>
              </a:extLst>
            </xdr:cNvPr>
            <xdr:cNvSpPr txBox="1"/>
          </xdr:nvSpPr>
          <xdr:spPr>
            <a:xfrm>
              <a:off x="2705100" y="3352800"/>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𝑤_𝑑𝑒𝑓𝑒𝑐𝑡</a:t>
              </a:r>
              <a:endParaRPr lang="en-US" sz="1100"/>
            </a:p>
          </xdr:txBody>
        </xdr:sp>
      </mc:Fallback>
    </mc:AlternateContent>
    <xdr:clientData/>
  </xdr:oneCellAnchor>
  <xdr:oneCellAnchor>
    <xdr:from>
      <xdr:col>3</xdr:col>
      <xdr:colOff>144555</xdr:colOff>
      <xdr:row>12</xdr:row>
      <xdr:rowOff>20731</xdr:rowOff>
    </xdr:from>
    <xdr:ext cx="455317" cy="183127"/>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1C7B0E5F-CDDE-439B-902D-9CDBF1FC5EAA}"/>
                </a:ext>
              </a:extLst>
            </xdr:cNvPr>
            <xdr:cNvSpPr txBox="1"/>
          </xdr:nvSpPr>
          <xdr:spPr>
            <a:xfrm>
              <a:off x="2716305" y="2621056"/>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48" name="TextBox 47">
              <a:extLst>
                <a:ext uri="{FF2B5EF4-FFF2-40B4-BE49-F238E27FC236}">
                  <a16:creationId xmlns:a16="http://schemas.microsoft.com/office/drawing/2014/main" id="{1C7B0E5F-CDDE-439B-902D-9CDBF1FC5EAA}"/>
                </a:ext>
              </a:extLst>
            </xdr:cNvPr>
            <xdr:cNvSpPr txBox="1"/>
          </xdr:nvSpPr>
          <xdr:spPr>
            <a:xfrm>
              <a:off x="2716305" y="2621056"/>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144556</xdr:colOff>
      <xdr:row>14</xdr:row>
      <xdr:rowOff>9525</xdr:rowOff>
    </xdr:from>
    <xdr:ext cx="452111" cy="183127"/>
    <mc:AlternateContent xmlns:mc="http://schemas.openxmlformats.org/markup-compatibility/2006" xmlns:a14="http://schemas.microsoft.com/office/drawing/2010/main">
      <mc:Choice Requires="a14">
        <xdr:sp macro="" textlink="">
          <xdr:nvSpPr>
            <xdr:cNvPr id="49" name="TextBox 48">
              <a:extLst>
                <a:ext uri="{FF2B5EF4-FFF2-40B4-BE49-F238E27FC236}">
                  <a16:creationId xmlns:a16="http://schemas.microsoft.com/office/drawing/2014/main" id="{70AC8761-EDAF-476D-BA37-85FEA308DAF8}"/>
                </a:ext>
              </a:extLst>
            </xdr:cNvPr>
            <xdr:cNvSpPr txBox="1"/>
          </xdr:nvSpPr>
          <xdr:spPr>
            <a:xfrm>
              <a:off x="2716306" y="3105150"/>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49" name="TextBox 48">
              <a:extLst>
                <a:ext uri="{FF2B5EF4-FFF2-40B4-BE49-F238E27FC236}">
                  <a16:creationId xmlns:a16="http://schemas.microsoft.com/office/drawing/2014/main" id="{70AC8761-EDAF-476D-BA37-85FEA308DAF8}"/>
                </a:ext>
              </a:extLst>
            </xdr:cNvPr>
            <xdr:cNvSpPr txBox="1"/>
          </xdr:nvSpPr>
          <xdr:spPr>
            <a:xfrm>
              <a:off x="2716306" y="3105150"/>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3</xdr:col>
      <xdr:colOff>144556</xdr:colOff>
      <xdr:row>13</xdr:row>
      <xdr:rowOff>20731</xdr:rowOff>
    </xdr:from>
    <xdr:ext cx="455317" cy="183127"/>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64E46472-B50A-4626-A78E-C625A53D9404}"/>
                </a:ext>
              </a:extLst>
            </xdr:cNvPr>
            <xdr:cNvSpPr txBox="1"/>
          </xdr:nvSpPr>
          <xdr:spPr>
            <a:xfrm>
              <a:off x="2716306" y="2868706"/>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50" name="TextBox 49">
              <a:extLst>
                <a:ext uri="{FF2B5EF4-FFF2-40B4-BE49-F238E27FC236}">
                  <a16:creationId xmlns:a16="http://schemas.microsoft.com/office/drawing/2014/main" id="{64E46472-B50A-4626-A78E-C625A53D9404}"/>
                </a:ext>
              </a:extLst>
            </xdr:cNvPr>
            <xdr:cNvSpPr txBox="1"/>
          </xdr:nvSpPr>
          <xdr:spPr>
            <a:xfrm>
              <a:off x="2716306" y="2868706"/>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352425</xdr:colOff>
      <xdr:row>10</xdr:row>
      <xdr:rowOff>19050</xdr:rowOff>
    </xdr:from>
    <xdr:ext cx="122790" cy="172227"/>
    <mc:AlternateContent xmlns:mc="http://schemas.openxmlformats.org/markup-compatibility/2006" xmlns:a14="http://schemas.microsoft.com/office/drawing/2010/main">
      <mc:Choice Requires="a14">
        <xdr:sp macro="" textlink="">
          <xdr:nvSpPr>
            <xdr:cNvPr id="51" name="TextBox 50">
              <a:extLst>
                <a:ext uri="{FF2B5EF4-FFF2-40B4-BE49-F238E27FC236}">
                  <a16:creationId xmlns:a16="http://schemas.microsoft.com/office/drawing/2014/main" id="{7B93F71F-AB15-40DE-832B-72E0FE86E79E}"/>
                </a:ext>
              </a:extLst>
            </xdr:cNvPr>
            <xdr:cNvSpPr txBox="1"/>
          </xdr:nvSpPr>
          <xdr:spPr>
            <a:xfrm>
              <a:off x="2924175" y="226695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51" name="TextBox 50">
              <a:extLst>
                <a:ext uri="{FF2B5EF4-FFF2-40B4-BE49-F238E27FC236}">
                  <a16:creationId xmlns:a16="http://schemas.microsoft.com/office/drawing/2014/main" id="{7B93F71F-AB15-40DE-832B-72E0FE86E79E}"/>
                </a:ext>
              </a:extLst>
            </xdr:cNvPr>
            <xdr:cNvSpPr txBox="1"/>
          </xdr:nvSpPr>
          <xdr:spPr>
            <a:xfrm>
              <a:off x="2924175" y="226695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3</xdr:col>
      <xdr:colOff>323850</xdr:colOff>
      <xdr:row>5</xdr:row>
      <xdr:rowOff>38100</xdr:rowOff>
    </xdr:from>
    <xdr:ext cx="118879" cy="172227"/>
    <mc:AlternateContent xmlns:mc="http://schemas.openxmlformats.org/markup-compatibility/2006" xmlns:a14="http://schemas.microsoft.com/office/drawing/2010/main">
      <mc:Choice Requires="a14">
        <xdr:sp macro="" textlink="">
          <xdr:nvSpPr>
            <xdr:cNvPr id="52" name="TextBox 51">
              <a:extLst>
                <a:ext uri="{FF2B5EF4-FFF2-40B4-BE49-F238E27FC236}">
                  <a16:creationId xmlns:a16="http://schemas.microsoft.com/office/drawing/2014/main" id="{24DC857D-8BB1-4FFB-A3B3-DCFD48CCB1A9}"/>
                </a:ext>
              </a:extLst>
            </xdr:cNvPr>
            <xdr:cNvSpPr txBox="1"/>
          </xdr:nvSpPr>
          <xdr:spPr>
            <a:xfrm>
              <a:off x="2895600" y="1190625"/>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52" name="TextBox 51">
              <a:extLst>
                <a:ext uri="{FF2B5EF4-FFF2-40B4-BE49-F238E27FC236}">
                  <a16:creationId xmlns:a16="http://schemas.microsoft.com/office/drawing/2014/main" id="{24DC857D-8BB1-4FFB-A3B3-DCFD48CCB1A9}"/>
                </a:ext>
              </a:extLst>
            </xdr:cNvPr>
            <xdr:cNvSpPr txBox="1"/>
          </xdr:nvSpPr>
          <xdr:spPr>
            <a:xfrm>
              <a:off x="2895600" y="1190625"/>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11</xdr:col>
      <xdr:colOff>533400</xdr:colOff>
      <xdr:row>76</xdr:row>
      <xdr:rowOff>0</xdr:rowOff>
    </xdr:from>
    <xdr:ext cx="65" cy="172227"/>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8458200" y="832008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0</xdr:colOff>
      <xdr:row>49</xdr:row>
      <xdr:rowOff>191139</xdr:rowOff>
    </xdr:from>
    <xdr:ext cx="2045368" cy="380361"/>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2816087" y="15795574"/>
              <a:ext cx="2045368"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𝑚𝑖𝑛</m:t>
                        </m:r>
                        <m:r>
                          <a:rPr lang="en-US" sz="1100" b="0" i="1">
                            <a:latin typeface="Cambria Math" panose="02040503050406030204" pitchFamily="18" charset="0"/>
                          </a:rPr>
                          <m:t>,</m:t>
                        </m:r>
                        <m:r>
                          <a:rPr lang="en-US" sz="1100" b="0" i="1">
                            <a:latin typeface="Cambria Math" panose="02040503050406030204" pitchFamily="18" charset="0"/>
                          </a:rPr>
                          <m:t>𝑝𝑒𝑟𝑓</m:t>
                        </m:r>
                      </m:sub>
                    </m:sSub>
                    <m:r>
                      <a:rPr lang="en-US" sz="1100" b="0" i="1">
                        <a:latin typeface="Cambria Math" panose="02040503050406030204" pitchFamily="18" charset="0"/>
                      </a:rPr>
                      <m:t>=</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𝑃𝐷</m:t>
                            </m:r>
                          </m:num>
                          <m:den>
                            <m:r>
                              <a:rPr lang="en-US" sz="1100" b="0" i="1">
                                <a:latin typeface="Cambria Math" panose="02040503050406030204" pitchFamily="18" charset="0"/>
                                <a:ea typeface="Cambria Math" panose="02040503050406030204" pitchFamily="18" charset="0"/>
                              </a:rPr>
                              <m:t>2</m:t>
                            </m:r>
                          </m:den>
                        </m:f>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𝑆</m:t>
                        </m:r>
                      </m:e>
                    </m:d>
                    <m:r>
                      <a:rPr lang="en-US" sz="1100" b="0" i="1">
                        <a:latin typeface="Cambria Math" panose="02040503050406030204" pitchFamily="18" charset="0"/>
                        <a:ea typeface="Cambria Math" panose="02040503050406030204" pitchFamily="18" charset="0"/>
                      </a:rPr>
                      <m:t>∙</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1</m:t>
                            </m:r>
                          </m:num>
                          <m:den>
                            <m:r>
                              <a:rPr lang="en-US" sz="1100" b="0" i="1">
                                <a:latin typeface="Cambria Math" panose="02040503050406030204" pitchFamily="18" charset="0"/>
                                <a:ea typeface="Cambria Math" panose="02040503050406030204" pitchFamily="18" charset="0"/>
                              </a:rPr>
                              <m:t>𝑓</m:t>
                            </m:r>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den>
                        </m:f>
                      </m:e>
                    </m:d>
                  </m:oMath>
                </m:oMathPara>
              </a14:m>
              <a:endParaRPr lang="en-US" sz="1100"/>
            </a:p>
          </xdr:txBody>
        </xdr:sp>
      </mc:Choice>
      <mc:Fallback xmlns="">
        <xdr:sp macro="" textlink="">
          <xdr:nvSpPr>
            <xdr:cNvPr id="38" name="TextBox 37">
              <a:extLst>
                <a:ext uri="{FF2B5EF4-FFF2-40B4-BE49-F238E27FC236}">
                  <a16:creationId xmlns:a16="http://schemas.microsoft.com/office/drawing/2014/main" id="{00000000-0008-0000-0300-000026000000}"/>
                </a:ext>
              </a:extLst>
            </xdr:cNvPr>
            <xdr:cNvSpPr txBox="1"/>
          </xdr:nvSpPr>
          <xdr:spPr>
            <a:xfrm>
              <a:off x="2816087" y="15795574"/>
              <a:ext cx="2045368"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𝑡_(𝑚𝑖𝑛,𝑝𝑒𝑟𝑓)=</a:t>
              </a:r>
              <a:r>
                <a:rPr lang="en-US" sz="1100" b="0" i="0">
                  <a:latin typeface="Cambria Math" panose="02040503050406030204" pitchFamily="18" charset="0"/>
                  <a:ea typeface="Cambria Math" panose="02040503050406030204" pitchFamily="18" charset="0"/>
                </a:rPr>
                <a:t>(𝑃𝐷/2−𝑡_𝑠 𝑆)∙(1/(𝑓∙𝑠_𝑙𝑡 ))</a:t>
              </a:r>
              <a:endParaRPr lang="en-US" sz="1100"/>
            </a:p>
          </xdr:txBody>
        </xdr:sp>
      </mc:Fallback>
    </mc:AlternateContent>
    <xdr:clientData/>
  </xdr:oneCellAnchor>
  <xdr:oneCellAnchor>
    <xdr:from>
      <xdr:col>4</xdr:col>
      <xdr:colOff>0</xdr:colOff>
      <xdr:row>51</xdr:row>
      <xdr:rowOff>235973</xdr:rowOff>
    </xdr:from>
    <xdr:ext cx="1948482" cy="183127"/>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300-000027000000}"/>
                </a:ext>
              </a:extLst>
            </xdr:cNvPr>
            <xdr:cNvSpPr txBox="1"/>
          </xdr:nvSpPr>
          <xdr:spPr>
            <a:xfrm>
              <a:off x="1859280" y="11528813"/>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r>
                      <a:rPr lang="en-US" sz="1100" b="0" i="1">
                        <a:latin typeface="Cambria Math" panose="02040503050406030204" pitchFamily="18" charset="0"/>
                      </a:rPr>
                      <m:t>=2</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2</m:t>
                        </m:r>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oMath>
                </m:oMathPara>
              </a14:m>
              <a:endParaRPr lang="en-US" sz="1100"/>
            </a:p>
          </xdr:txBody>
        </xdr:sp>
      </mc:Choice>
      <mc:Fallback xmlns="">
        <xdr:sp macro="" textlink="">
          <xdr:nvSpPr>
            <xdr:cNvPr id="39" name="TextBox 38">
              <a:extLst>
                <a:ext uri="{FF2B5EF4-FFF2-40B4-BE49-F238E27FC236}">
                  <a16:creationId xmlns:a16="http://schemas.microsoft.com/office/drawing/2014/main" id="{29E0D275-0F42-4489-965F-72EC985951C2}"/>
                </a:ext>
              </a:extLst>
            </xdr:cNvPr>
            <xdr:cNvSpPr txBox="1"/>
          </xdr:nvSpPr>
          <xdr:spPr>
            <a:xfrm>
              <a:off x="1859280" y="11528813"/>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𝐿=2𝐿_𝑜𝑣𝑒𝑟+𝐿_𝑑𝑒𝑓𝑒𝑐𝑡+〖2𝐿〗_𝑡𝑎𝑝𝑒𝑟</a:t>
              </a:r>
              <a:endParaRPr lang="en-US" sz="1100"/>
            </a:p>
          </xdr:txBody>
        </xdr:sp>
      </mc:Fallback>
    </mc:AlternateContent>
    <xdr:clientData/>
  </xdr:oneCellAnchor>
  <xdr:oneCellAnchor>
    <xdr:from>
      <xdr:col>4</xdr:col>
      <xdr:colOff>219075</xdr:colOff>
      <xdr:row>26</xdr:row>
      <xdr:rowOff>66675</xdr:rowOff>
    </xdr:from>
    <xdr:ext cx="173509" cy="172227"/>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2047875" y="4953000"/>
              <a:ext cx="1735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𝑐</m:t>
                        </m:r>
                      </m:sub>
                    </m:sSub>
                  </m:oMath>
                </m:oMathPara>
              </a14:m>
              <a:endParaRPr lang="en-US" sz="1100"/>
            </a:p>
          </xdr:txBody>
        </xdr:sp>
      </mc:Choice>
      <mc:Fallback xmlns="">
        <xdr:sp macro="" textlink="">
          <xdr:nvSpPr>
            <xdr:cNvPr id="40" name="TextBox 39">
              <a:extLst>
                <a:ext uri="{FF2B5EF4-FFF2-40B4-BE49-F238E27FC236}">
                  <a16:creationId xmlns:a16="http://schemas.microsoft.com/office/drawing/2014/main" id="{A6B30DC1-8A72-40B5-9C36-693962C687C0}"/>
                </a:ext>
              </a:extLst>
            </xdr:cNvPr>
            <xdr:cNvSpPr txBox="1"/>
          </xdr:nvSpPr>
          <xdr:spPr>
            <a:xfrm>
              <a:off x="2047875" y="4953000"/>
              <a:ext cx="1735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𝐸_𝑐</a:t>
              </a:r>
              <a:endParaRPr lang="en-US" sz="1100"/>
            </a:p>
          </xdr:txBody>
        </xdr:sp>
      </mc:Fallback>
    </mc:AlternateContent>
    <xdr:clientData/>
  </xdr:oneCellAnchor>
  <xdr:oneCellAnchor>
    <xdr:from>
      <xdr:col>4</xdr:col>
      <xdr:colOff>219075</xdr:colOff>
      <xdr:row>27</xdr:row>
      <xdr:rowOff>66675</xdr:rowOff>
    </xdr:from>
    <xdr:ext cx="154658" cy="172227"/>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0300-000029000000}"/>
                </a:ext>
              </a:extLst>
            </xdr:cNvPr>
            <xdr:cNvSpPr txBox="1"/>
          </xdr:nvSpPr>
          <xdr:spPr>
            <a:xfrm>
              <a:off x="2047875" y="529590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𝜀</m:t>
                        </m:r>
                      </m:e>
                      <m:sub>
                        <m:r>
                          <a:rPr lang="en-US" sz="1100" b="0" i="1">
                            <a:latin typeface="Cambria Math" panose="02040503050406030204" pitchFamily="18" charset="0"/>
                            <a:ea typeface="Cambria Math" panose="02040503050406030204" pitchFamily="18" charset="0"/>
                          </a:rPr>
                          <m:t>𝑐</m:t>
                        </m:r>
                      </m:sub>
                    </m:sSub>
                  </m:oMath>
                </m:oMathPara>
              </a14:m>
              <a:endParaRPr lang="en-US" sz="1100"/>
            </a:p>
          </xdr:txBody>
        </xdr:sp>
      </mc:Choice>
      <mc:Fallback xmlns="">
        <xdr:sp macro="" textlink="">
          <xdr:nvSpPr>
            <xdr:cNvPr id="41" name="TextBox 40">
              <a:extLst>
                <a:ext uri="{FF2B5EF4-FFF2-40B4-BE49-F238E27FC236}">
                  <a16:creationId xmlns:a16="http://schemas.microsoft.com/office/drawing/2014/main" id="{8E6E148F-632E-4D7A-815F-DC12373E4EFA}"/>
                </a:ext>
              </a:extLst>
            </xdr:cNvPr>
            <xdr:cNvSpPr txBox="1"/>
          </xdr:nvSpPr>
          <xdr:spPr>
            <a:xfrm>
              <a:off x="2047875" y="529590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𝜀_</a:t>
              </a:r>
              <a:r>
                <a:rPr lang="en-US" sz="1100" b="0" i="0">
                  <a:latin typeface="Cambria Math" panose="02040503050406030204" pitchFamily="18" charset="0"/>
                  <a:ea typeface="Cambria Math" panose="02040503050406030204" pitchFamily="18" charset="0"/>
                </a:rPr>
                <a:t>𝑐</a:t>
              </a:r>
              <a:endParaRPr lang="en-US" sz="1100"/>
            </a:p>
          </xdr:txBody>
        </xdr:sp>
      </mc:Fallback>
    </mc:AlternateContent>
    <xdr:clientData/>
  </xdr:oneCellAnchor>
  <xdr:oneCellAnchor>
    <xdr:from>
      <xdr:col>4</xdr:col>
      <xdr:colOff>228600</xdr:colOff>
      <xdr:row>17</xdr:row>
      <xdr:rowOff>85725</xdr:rowOff>
    </xdr:from>
    <xdr:ext cx="170175" cy="172227"/>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0300-00002A000000}"/>
                </a:ext>
              </a:extLst>
            </xdr:cNvPr>
            <xdr:cNvSpPr txBox="1"/>
          </xdr:nvSpPr>
          <xdr:spPr>
            <a:xfrm>
              <a:off x="2057400" y="360045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42" name="TextBox 41">
              <a:extLst>
                <a:ext uri="{FF2B5EF4-FFF2-40B4-BE49-F238E27FC236}">
                  <a16:creationId xmlns:a16="http://schemas.microsoft.com/office/drawing/2014/main" id="{95BB468A-9F6D-40CA-B6A4-893EBBE68AD4}"/>
                </a:ext>
              </a:extLst>
            </xdr:cNvPr>
            <xdr:cNvSpPr txBox="1"/>
          </xdr:nvSpPr>
          <xdr:spPr>
            <a:xfrm>
              <a:off x="2057400" y="360045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𝐸_𝑠</a:t>
              </a:r>
              <a:endParaRPr lang="en-US" sz="1100"/>
            </a:p>
          </xdr:txBody>
        </xdr:sp>
      </mc:Fallback>
    </mc:AlternateContent>
    <xdr:clientData/>
  </xdr:oneCellAnchor>
  <xdr:oneCellAnchor>
    <xdr:from>
      <xdr:col>4</xdr:col>
      <xdr:colOff>228600</xdr:colOff>
      <xdr:row>16</xdr:row>
      <xdr:rowOff>85725</xdr:rowOff>
    </xdr:from>
    <xdr:ext cx="149528" cy="172227"/>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00000000-0008-0000-0300-00002B000000}"/>
                </a:ext>
              </a:extLst>
            </xdr:cNvPr>
            <xdr:cNvSpPr txBox="1"/>
          </xdr:nvSpPr>
          <xdr:spPr>
            <a:xfrm>
              <a:off x="2057400" y="3943350"/>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43" name="TextBox 42">
              <a:extLst>
                <a:ext uri="{FF2B5EF4-FFF2-40B4-BE49-F238E27FC236}">
                  <a16:creationId xmlns:a16="http://schemas.microsoft.com/office/drawing/2014/main" id="{E4C1D7D3-C6A0-4965-A178-7C6E1C89F8E8}"/>
                </a:ext>
              </a:extLst>
            </xdr:cNvPr>
            <xdr:cNvSpPr txBox="1"/>
          </xdr:nvSpPr>
          <xdr:spPr>
            <a:xfrm>
              <a:off x="2057400" y="3943350"/>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a:t>
              </a:r>
              <a:endParaRPr lang="en-US" sz="1100"/>
            </a:p>
          </xdr:txBody>
        </xdr:sp>
      </mc:Fallback>
    </mc:AlternateContent>
    <xdr:clientData/>
  </xdr:oneCellAnchor>
  <xdr:oneCellAnchor>
    <xdr:from>
      <xdr:col>4</xdr:col>
      <xdr:colOff>228600</xdr:colOff>
      <xdr:row>23</xdr:row>
      <xdr:rowOff>85725</xdr:rowOff>
    </xdr:from>
    <xdr:ext cx="143244" cy="172227"/>
    <mc:AlternateContent xmlns:mc="http://schemas.openxmlformats.org/markup-compatibility/2006" xmlns:a14="http://schemas.microsoft.com/office/drawing/2010/main">
      <mc:Choice Requires="a14">
        <xdr:sp macro="" textlink="">
          <xdr:nvSpPr>
            <xdr:cNvPr id="44" name="TextBox 43">
              <a:extLst>
                <a:ext uri="{FF2B5EF4-FFF2-40B4-BE49-F238E27FC236}">
                  <a16:creationId xmlns:a16="http://schemas.microsoft.com/office/drawing/2014/main" id="{00000000-0008-0000-0300-00002C000000}"/>
                </a:ext>
              </a:extLst>
            </xdr:cNvPr>
            <xdr:cNvSpPr txBox="1"/>
          </xdr:nvSpPr>
          <xdr:spPr>
            <a:xfrm>
              <a:off x="2057400" y="5314950"/>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44" name="TextBox 43">
              <a:extLst>
                <a:ext uri="{FF2B5EF4-FFF2-40B4-BE49-F238E27FC236}">
                  <a16:creationId xmlns:a16="http://schemas.microsoft.com/office/drawing/2014/main" id="{2329D1E4-C275-4ACC-91AB-CD2D8D315F0C}"/>
                </a:ext>
              </a:extLst>
            </xdr:cNvPr>
            <xdr:cNvSpPr txBox="1"/>
          </xdr:nvSpPr>
          <xdr:spPr>
            <a:xfrm>
              <a:off x="2057400" y="5314950"/>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𝑡_𝑠</a:t>
              </a:r>
              <a:endParaRPr lang="en-US" sz="1100"/>
            </a:p>
          </xdr:txBody>
        </xdr:sp>
      </mc:Fallback>
    </mc:AlternateContent>
    <xdr:clientData/>
  </xdr:oneCellAnchor>
  <xdr:oneCellAnchor>
    <xdr:from>
      <xdr:col>4</xdr:col>
      <xdr:colOff>228600</xdr:colOff>
      <xdr:row>28</xdr:row>
      <xdr:rowOff>76200</xdr:rowOff>
    </xdr:from>
    <xdr:ext cx="183768" cy="172227"/>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0300-00002D000000}"/>
                </a:ext>
              </a:extLst>
            </xdr:cNvPr>
            <xdr:cNvSpPr txBox="1"/>
          </xdr:nvSpPr>
          <xdr:spPr>
            <a:xfrm>
              <a:off x="2057400" y="667702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45" name="TextBox 44">
              <a:extLst>
                <a:ext uri="{FF2B5EF4-FFF2-40B4-BE49-F238E27FC236}">
                  <a16:creationId xmlns:a16="http://schemas.microsoft.com/office/drawing/2014/main" id="{FB58D925-2BDC-4F0A-8D12-8604F85A3747}"/>
                </a:ext>
              </a:extLst>
            </xdr:cNvPr>
            <xdr:cNvSpPr txBox="1"/>
          </xdr:nvSpPr>
          <xdr:spPr>
            <a:xfrm>
              <a:off x="2057400" y="667702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4</xdr:col>
      <xdr:colOff>238125</xdr:colOff>
      <xdr:row>33</xdr:row>
      <xdr:rowOff>66675</xdr:rowOff>
    </xdr:from>
    <xdr:ext cx="113557" cy="172227"/>
    <mc:AlternateContent xmlns:mc="http://schemas.openxmlformats.org/markup-compatibility/2006" xmlns:a14="http://schemas.microsoft.com/office/drawing/2010/main">
      <mc:Choice Requires="a14">
        <xdr:sp macro="" textlink="">
          <xdr:nvSpPr>
            <xdr:cNvPr id="46" name="TextBox 45">
              <a:extLst>
                <a:ext uri="{FF2B5EF4-FFF2-40B4-BE49-F238E27FC236}">
                  <a16:creationId xmlns:a16="http://schemas.microsoft.com/office/drawing/2014/main" id="{00000000-0008-0000-0300-00002E000000}"/>
                </a:ext>
              </a:extLst>
            </xdr:cNvPr>
            <xdr:cNvSpPr txBox="1"/>
          </xdr:nvSpPr>
          <xdr:spPr>
            <a:xfrm>
              <a:off x="2066925" y="70104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46" name="TextBox 45">
              <a:extLst>
                <a:ext uri="{FF2B5EF4-FFF2-40B4-BE49-F238E27FC236}">
                  <a16:creationId xmlns:a16="http://schemas.microsoft.com/office/drawing/2014/main" id="{62A90247-8ACE-45D6-8FAB-1C86DD14D83E}"/>
                </a:ext>
              </a:extLst>
            </xdr:cNvPr>
            <xdr:cNvSpPr txBox="1"/>
          </xdr:nvSpPr>
          <xdr:spPr>
            <a:xfrm>
              <a:off x="2066925" y="70104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4</xdr:col>
      <xdr:colOff>257175</xdr:colOff>
      <xdr:row>9</xdr:row>
      <xdr:rowOff>85725</xdr:rowOff>
    </xdr:from>
    <xdr:ext cx="133626" cy="172227"/>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2085975" y="188595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47" name="TextBox 46">
              <a:extLst>
                <a:ext uri="{FF2B5EF4-FFF2-40B4-BE49-F238E27FC236}">
                  <a16:creationId xmlns:a16="http://schemas.microsoft.com/office/drawing/2014/main" id="{2566E577-15C0-4764-91D2-AF200EEBA9BE}"/>
                </a:ext>
              </a:extLst>
            </xdr:cNvPr>
            <xdr:cNvSpPr txBox="1"/>
          </xdr:nvSpPr>
          <xdr:spPr>
            <a:xfrm>
              <a:off x="2085975" y="188595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4</xdr:col>
      <xdr:colOff>247650</xdr:colOff>
      <xdr:row>10</xdr:row>
      <xdr:rowOff>76200</xdr:rowOff>
    </xdr:from>
    <xdr:ext cx="90986" cy="172227"/>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2076450" y="2219325"/>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48" name="TextBox 47">
              <a:extLst>
                <a:ext uri="{FF2B5EF4-FFF2-40B4-BE49-F238E27FC236}">
                  <a16:creationId xmlns:a16="http://schemas.microsoft.com/office/drawing/2014/main" id="{292EABF4-7F4D-4F9F-B8CB-E6834375CC26}"/>
                </a:ext>
              </a:extLst>
            </xdr:cNvPr>
            <xdr:cNvSpPr txBox="1"/>
          </xdr:nvSpPr>
          <xdr:spPr>
            <a:xfrm>
              <a:off x="2076450" y="2219325"/>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4</xdr:col>
      <xdr:colOff>211287</xdr:colOff>
      <xdr:row>15</xdr:row>
      <xdr:rowOff>66675</xdr:rowOff>
    </xdr:from>
    <xdr:ext cx="122790" cy="172227"/>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3027374" y="4058892"/>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3027374" y="4058892"/>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4</xdr:col>
      <xdr:colOff>161925</xdr:colOff>
      <xdr:row>13</xdr:row>
      <xdr:rowOff>85725</xdr:rowOff>
    </xdr:from>
    <xdr:ext cx="290401" cy="172227"/>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2000250" y="32575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18" name="TextBox 17">
              <a:extLst>
                <a:ext uri="{FF2B5EF4-FFF2-40B4-BE49-F238E27FC236}">
                  <a16:creationId xmlns:a16="http://schemas.microsoft.com/office/drawing/2014/main" id="{102BE1C4-19BB-48F6-AABB-A6600EBEEC06}"/>
                </a:ext>
              </a:extLst>
            </xdr:cNvPr>
            <xdr:cNvSpPr txBox="1"/>
          </xdr:nvSpPr>
          <xdr:spPr>
            <a:xfrm>
              <a:off x="2000250" y="32575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4</xdr:col>
      <xdr:colOff>144780</xdr:colOff>
      <xdr:row>29</xdr:row>
      <xdr:rowOff>45720</xdr:rowOff>
    </xdr:from>
    <xdr:ext cx="370743" cy="182935"/>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2004060" y="7299960"/>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21" name="TextBox 20">
              <a:extLst>
                <a:ext uri="{FF2B5EF4-FFF2-40B4-BE49-F238E27FC236}">
                  <a16:creationId xmlns:a16="http://schemas.microsoft.com/office/drawing/2014/main" id="{C51E143A-E86D-4292-BC2B-EBF8615A03A8}"/>
                </a:ext>
              </a:extLst>
            </xdr:cNvPr>
            <xdr:cNvSpPr txBox="1"/>
          </xdr:nvSpPr>
          <xdr:spPr>
            <a:xfrm>
              <a:off x="2004060" y="7299960"/>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𝑡_𝑙𝑎𝑦𝑒𝑟</a:t>
              </a:r>
              <a:endParaRPr lang="en-US" sz="1100"/>
            </a:p>
          </xdr:txBody>
        </xdr:sp>
      </mc:Fallback>
    </mc:AlternateContent>
    <xdr:clientData/>
  </xdr:oneCellAnchor>
  <xdr:oneCellAnchor>
    <xdr:from>
      <xdr:col>4</xdr:col>
      <xdr:colOff>28575</xdr:colOff>
      <xdr:row>51</xdr:row>
      <xdr:rowOff>468630</xdr:rowOff>
    </xdr:from>
    <xdr:ext cx="662682" cy="182614"/>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0300-00001A000000}"/>
                </a:ext>
              </a:extLst>
            </xdr:cNvPr>
            <xdr:cNvSpPr txBox="1"/>
          </xdr:nvSpPr>
          <xdr:spPr>
            <a:xfrm>
              <a:off x="2667000" y="17432655"/>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r>
                      <a:rPr lang="en-US" sz="1100" b="0" i="1">
                        <a:latin typeface="Cambria Math" panose="02040503050406030204" pitchFamily="18" charset="0"/>
                      </a:rPr>
                      <m:t>=0</m:t>
                    </m:r>
                  </m:oMath>
                </m:oMathPara>
              </a14:m>
              <a:endParaRPr lang="en-US" sz="1100"/>
            </a:p>
          </xdr:txBody>
        </xdr:sp>
      </mc:Choice>
      <mc:Fallback xmlns="">
        <xdr:sp macro="" textlink="">
          <xdr:nvSpPr>
            <xdr:cNvPr id="26" name="TextBox 25">
              <a:extLst>
                <a:ext uri="{FF2B5EF4-FFF2-40B4-BE49-F238E27FC236}">
                  <a16:creationId xmlns:a16="http://schemas.microsoft.com/office/drawing/2014/main" id="{00000000-0008-0000-0100-00001A000000}"/>
                </a:ext>
              </a:extLst>
            </xdr:cNvPr>
            <xdr:cNvSpPr txBox="1"/>
          </xdr:nvSpPr>
          <xdr:spPr>
            <a:xfrm>
              <a:off x="2667000" y="17432655"/>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𝐿_𝑡𝑎𝑝𝑒𝑟=0</a:t>
              </a:r>
              <a:endParaRPr lang="en-US" sz="1100"/>
            </a:p>
          </xdr:txBody>
        </xdr:sp>
      </mc:Fallback>
    </mc:AlternateContent>
    <xdr:clientData/>
  </xdr:oneCellAnchor>
  <xdr:oneCellAnchor>
    <xdr:from>
      <xdr:col>4</xdr:col>
      <xdr:colOff>0</xdr:colOff>
      <xdr:row>50</xdr:row>
      <xdr:rowOff>320040</xdr:rowOff>
    </xdr:from>
    <xdr:ext cx="1122936" cy="204993"/>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859280" y="11612880"/>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=2.5</m:t>
                    </m:r>
                    <m:rad>
                      <m:radPr>
                        <m:degHide m:val="on"/>
                        <m:ctrlPr>
                          <a:rPr lang="en-US" sz="1100" b="0" i="1">
                            <a:latin typeface="Cambria Math" panose="02040503050406030204" pitchFamily="18" charset="0"/>
                          </a:rPr>
                        </m:ctrlPr>
                      </m:radPr>
                      <m:deg/>
                      <m:e>
                        <m:r>
                          <a:rPr lang="en-US" sz="1100" b="0" i="1">
                            <a:latin typeface="Cambria Math" panose="02040503050406030204" pitchFamily="18" charset="0"/>
                          </a:rPr>
                          <m:t>𝐷𝑡</m:t>
                        </m:r>
                        <m:r>
                          <a:rPr lang="en-US" sz="1100" b="0" i="1">
                            <a:latin typeface="Cambria Math" panose="02040503050406030204" pitchFamily="18" charset="0"/>
                          </a:rPr>
                          <m:t>/2</m:t>
                        </m:r>
                      </m:e>
                    </m:rad>
                  </m:oMath>
                </m:oMathPara>
              </a14:m>
              <a:endParaRPr lang="en-US" sz="1100"/>
            </a:p>
          </xdr:txBody>
        </xdr:sp>
      </mc:Choice>
      <mc:Fallback xmlns="">
        <xdr:sp macro="" textlink="">
          <xdr:nvSpPr>
            <xdr:cNvPr id="27" name="TextBox 26">
              <a:extLst>
                <a:ext uri="{FF2B5EF4-FFF2-40B4-BE49-F238E27FC236}">
                  <a16:creationId xmlns:a16="http://schemas.microsoft.com/office/drawing/2014/main" id="{59E3D9CB-2B6E-4B9A-AE2F-CF579B8E29FA}"/>
                </a:ext>
              </a:extLst>
            </xdr:cNvPr>
            <xdr:cNvSpPr txBox="1"/>
          </xdr:nvSpPr>
          <xdr:spPr>
            <a:xfrm>
              <a:off x="1859280" y="11612880"/>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𝐿_𝑜𝑣𝑒𝑟=2.5√(𝐷𝑡/2)</a:t>
              </a:r>
              <a:endParaRPr lang="en-US" sz="1100"/>
            </a:p>
          </xdr:txBody>
        </xdr:sp>
      </mc:Fallback>
    </mc:AlternateContent>
    <xdr:clientData/>
  </xdr:oneCellAnchor>
  <xdr:oneCellAnchor>
    <xdr:from>
      <xdr:col>5</xdr:col>
      <xdr:colOff>106680</xdr:colOff>
      <xdr:row>14</xdr:row>
      <xdr:rowOff>335280</xdr:rowOff>
    </xdr:from>
    <xdr:ext cx="1239378" cy="316882"/>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3354705" y="3688080"/>
              <a:ext cx="123937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r>
                      <a:rPr lang="en-US" sz="1100" b="0" i="1">
                        <a:latin typeface="Cambria Math" panose="02040503050406030204" pitchFamily="18" charset="0"/>
                      </a:rPr>
                      <m:t>=</m:t>
                    </m:r>
                    <m:d>
                      <m:dPr>
                        <m:ctrlPr>
                          <a:rPr lang="en-US" sz="1100" b="0" i="1">
                            <a:latin typeface="Cambria Math" panose="02040503050406030204" pitchFamily="18" charset="0"/>
                          </a:rPr>
                        </m:ctrlPr>
                      </m:dPr>
                      <m:e>
                        <m:r>
                          <a:rPr lang="en-US" sz="1100" b="0" i="1">
                            <a:latin typeface="Cambria Math" panose="02040503050406030204" pitchFamily="18" charset="0"/>
                          </a:rPr>
                          <m:t>%</m:t>
                        </m:r>
                        <m:r>
                          <a:rPr lang="en-US" sz="1100" b="0" i="1">
                            <a:latin typeface="Cambria Math" panose="02040503050406030204" pitchFamily="18" charset="0"/>
                          </a:rPr>
                          <m:t>𝑆𝑀𝑌𝑆</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m:t>
                        </m:r>
                        <m:r>
                          <a:rPr lang="en-US" sz="1100" b="0" i="1">
                            <a:latin typeface="Cambria Math" panose="02040503050406030204" pitchFamily="18" charset="0"/>
                          </a:rPr>
                          <m:t>𝑆𝑡</m:t>
                        </m:r>
                      </m:num>
                      <m:den>
                        <m:r>
                          <a:rPr lang="en-US" sz="1100" b="0" i="1">
                            <a:latin typeface="Cambria Math" panose="02040503050406030204" pitchFamily="18" charset="0"/>
                          </a:rPr>
                          <m:t>𝐷</m:t>
                        </m:r>
                      </m:den>
                    </m:f>
                  </m:oMath>
                </m:oMathPara>
              </a14:m>
              <a:endParaRPr lang="en-US" sz="1100"/>
            </a:p>
          </xdr:txBody>
        </xdr:sp>
      </mc:Choice>
      <mc:Fallback xmlns="">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3354705" y="3688080"/>
              <a:ext cx="123937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𝑃=(%𝑆𝑀𝑌𝑆)∗2𝑆𝑡/𝐷</a:t>
              </a:r>
              <a:endParaRPr lang="en-US" sz="1100"/>
            </a:p>
          </xdr:txBody>
        </xdr:sp>
      </mc:Fallback>
    </mc:AlternateContent>
    <xdr:clientData/>
  </xdr:oneCellAnchor>
  <xdr:oneCellAnchor>
    <xdr:from>
      <xdr:col>4</xdr:col>
      <xdr:colOff>2577</xdr:colOff>
      <xdr:row>69</xdr:row>
      <xdr:rowOff>220980</xdr:rowOff>
    </xdr:from>
    <xdr:ext cx="942117" cy="355225"/>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300-00001E000000}"/>
                </a:ext>
                <a:ext uri="{147F2762-F138-4A5C-976F-8EAC2B608ADB}">
                  <a16:predDERef xmlns:a16="http://schemas.microsoft.com/office/drawing/2014/main" pred="{00000000-0008-0000-0300-00001D000000}"/>
                </a:ext>
              </a:extLst>
            </xdr:cNvPr>
            <xdr:cNvSpPr txBox="1"/>
          </xdr:nvSpPr>
          <xdr:spPr>
            <a:xfrm>
              <a:off x="2624753" y="26487568"/>
              <a:ext cx="94211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𝑎𝑟𝑒𝑎</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b="0" i="1">
                                <a:solidFill>
                                  <a:schemeClr val="tx1"/>
                                </a:solidFill>
                                <a:effectLst/>
                                <a:latin typeface="Cambria Math" panose="02040503050406030204" pitchFamily="18" charset="0"/>
                                <a:ea typeface="+mn-ea"/>
                                <a:cs typeface="+mn-cs"/>
                              </a:rPr>
                              <m:t>𝑟𝑒𝑠𝑖𝑛</m:t>
                            </m:r>
                          </m:sub>
                        </m:sSub>
                        <m:r>
                          <m:rPr>
                            <m:nor/>
                          </m:rPr>
                          <a:rPr lang="en-US" i="0">
                            <a:effectLst/>
                          </a:rPr>
                          <m:t> </m:t>
                        </m:r>
                      </m:den>
                    </m:f>
                  </m:oMath>
                </m:oMathPara>
              </a14:m>
              <a:endParaRPr lang="en-US" sz="1100"/>
            </a:p>
          </xdr:txBody>
        </xdr:sp>
      </mc:Choice>
      <mc:Fallback xmlns="">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2624753" y="26487568"/>
              <a:ext cx="94211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𝛿_𝑎𝑟𝑒𝑎/(</a:t>
              </a:r>
              <a:r>
                <a:rPr lang="en-US" sz="1100" i="0">
                  <a:solidFill>
                    <a:schemeClr val="tx1"/>
                  </a:solidFill>
                  <a:effectLst/>
                  <a:latin typeface="Cambria Math" panose="02040503050406030204" pitchFamily="18" charset="0"/>
                  <a:ea typeface="+mn-ea"/>
                  <a:cs typeface="+mn-cs"/>
                </a:rPr>
                <a:t>𝜌_</a:t>
              </a:r>
              <a:r>
                <a:rPr lang="en-US" sz="1100" b="0" i="0">
                  <a:solidFill>
                    <a:schemeClr val="tx1"/>
                  </a:solidFill>
                  <a:effectLst/>
                  <a:latin typeface="Cambria Math" panose="02040503050406030204" pitchFamily="18" charset="0"/>
                  <a:ea typeface="+mn-ea"/>
                  <a:cs typeface="+mn-cs"/>
                </a:rPr>
                <a:t>𝑟𝑒𝑠𝑖𝑛 "</a:t>
              </a:r>
              <a:r>
                <a:rPr lang="en-US" i="0">
                  <a:effectLst/>
                </a:rPr>
                <a:t> </a:t>
              </a:r>
              <a:r>
                <a:rPr lang="en-US" i="0">
                  <a:effectLst/>
                  <a:latin typeface="Cambria Math" panose="02040503050406030204" pitchFamily="18" charset="0"/>
                </a:rPr>
                <a:t>" </a:t>
              </a:r>
              <a:r>
                <a:rPr lang="en-US" sz="1100" b="0" i="0">
                  <a:effectLst/>
                  <a:latin typeface="Cambria Math" panose="02040503050406030204" pitchFamily="18" charset="0"/>
                </a:rPr>
                <a:t>)</a:t>
              </a:r>
              <a:endParaRPr lang="en-US" sz="1100"/>
            </a:p>
          </xdr:txBody>
        </xdr:sp>
      </mc:Fallback>
    </mc:AlternateContent>
    <xdr:clientData/>
  </xdr:oneCellAnchor>
  <xdr:oneCellAnchor>
    <xdr:from>
      <xdr:col>4</xdr:col>
      <xdr:colOff>228600</xdr:colOff>
      <xdr:row>24</xdr:row>
      <xdr:rowOff>85725</xdr:rowOff>
    </xdr:from>
    <xdr:ext cx="143244" cy="172227"/>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2066925" y="5657850"/>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31" name="TextBox 30">
              <a:extLst>
                <a:ext uri="{FF2B5EF4-FFF2-40B4-BE49-F238E27FC236}">
                  <a16:creationId xmlns:a16="http://schemas.microsoft.com/office/drawing/2014/main" id="{01297C55-B4BD-48C2-9E68-F7B5E4A6A2F5}"/>
                </a:ext>
              </a:extLst>
            </xdr:cNvPr>
            <xdr:cNvSpPr txBox="1"/>
          </xdr:nvSpPr>
          <xdr:spPr>
            <a:xfrm>
              <a:off x="2066925" y="5657850"/>
              <a:ext cx="14324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𝑡_𝑠</a:t>
              </a:r>
              <a:endParaRPr lang="en-US" sz="1100"/>
            </a:p>
          </xdr:txBody>
        </xdr:sp>
      </mc:Fallback>
    </mc:AlternateContent>
    <xdr:clientData/>
  </xdr:oneCellAnchor>
  <xdr:oneCellAnchor>
    <xdr:from>
      <xdr:col>4</xdr:col>
      <xdr:colOff>17145</xdr:colOff>
      <xdr:row>68</xdr:row>
      <xdr:rowOff>198120</xdr:rowOff>
    </xdr:from>
    <xdr:ext cx="1197764" cy="344582"/>
    <mc:AlternateContent xmlns:mc="http://schemas.openxmlformats.org/markup-compatibility/2006" xmlns:a14="http://schemas.microsoft.com/office/drawing/2010/main">
      <mc:Choice Requires="a14">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2639321" y="28750708"/>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den>
                    </m:f>
                  </m:oMath>
                </m:oMathPara>
              </a14:m>
              <a:endParaRPr lang="en-US" sz="1100"/>
            </a:p>
          </xdr:txBody>
        </xdr:sp>
      </mc:Choice>
      <mc:Fallback xmlns="">
        <xdr:sp macro="" textlink="">
          <xdr:nvSpPr>
            <xdr:cNvPr id="52" name="TextBox 51">
              <a:extLst>
                <a:ext uri="{FF2B5EF4-FFF2-40B4-BE49-F238E27FC236}">
                  <a16:creationId xmlns:a16="http://schemas.microsoft.com/office/drawing/2014/main" id="{00000000-0008-0000-0300-000034000000}"/>
                </a:ext>
              </a:extLst>
            </xdr:cNvPr>
            <xdr:cNvSpPr txBox="1"/>
          </xdr:nvSpPr>
          <xdr:spPr>
            <a:xfrm>
              <a:off x="2639321" y="28750708"/>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𝑅_𝑡𝑜𝑡𝑎𝑙/𝑊_𝐿 </a:t>
              </a:r>
              <a:endParaRPr lang="en-US" sz="1100"/>
            </a:p>
          </xdr:txBody>
        </xdr:sp>
      </mc:Fallback>
    </mc:AlternateContent>
    <xdr:clientData/>
  </xdr:oneCellAnchor>
  <xdr:oneCellAnchor>
    <xdr:from>
      <xdr:col>4</xdr:col>
      <xdr:colOff>38100</xdr:colOff>
      <xdr:row>42</xdr:row>
      <xdr:rowOff>85725</xdr:rowOff>
    </xdr:from>
    <xdr:ext cx="350930" cy="172227"/>
    <mc:AlternateContent xmlns:mc="http://schemas.openxmlformats.org/markup-compatibility/2006" xmlns:a14="http://schemas.microsoft.com/office/drawing/2010/main">
      <mc:Choice Requires="a14">
        <xdr:sp macro="" textlink="">
          <xdr:nvSpPr>
            <xdr:cNvPr id="54" name="TextBox 53">
              <a:extLst>
                <a:ext uri="{FF2B5EF4-FFF2-40B4-BE49-F238E27FC236}">
                  <a16:creationId xmlns:a16="http://schemas.microsoft.com/office/drawing/2014/main" id="{00000000-0008-0000-0300-000036000000}"/>
                </a:ext>
              </a:extLst>
            </xdr:cNvPr>
            <xdr:cNvSpPr txBox="1"/>
          </xdr:nvSpPr>
          <xdr:spPr>
            <a:xfrm>
              <a:off x="2676525" y="12268200"/>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mn-ea"/>
                            <a:cs typeface="+mn-cs"/>
                          </a:rPr>
                          <m:t>𝑎𝑟𝑒𝑎</m:t>
                        </m:r>
                      </m:sub>
                    </m:sSub>
                  </m:oMath>
                </m:oMathPara>
              </a14:m>
              <a:endParaRPr lang="en-US" sz="1100"/>
            </a:p>
          </xdr:txBody>
        </xdr:sp>
      </mc:Choice>
      <mc:Fallback xmlns="">
        <xdr:sp macro="" textlink="">
          <xdr:nvSpPr>
            <xdr:cNvPr id="54" name="TextBox 53">
              <a:extLst>
                <a:ext uri="{FF2B5EF4-FFF2-40B4-BE49-F238E27FC236}">
                  <a16:creationId xmlns:a16="http://schemas.microsoft.com/office/drawing/2014/main" id="{00000000-0008-0000-0200-000036000000}"/>
                </a:ext>
              </a:extLst>
            </xdr:cNvPr>
            <xdr:cNvSpPr txBox="1"/>
          </xdr:nvSpPr>
          <xdr:spPr>
            <a:xfrm>
              <a:off x="2676525" y="12268200"/>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_𝑎𝑟𝑒𝑎</a:t>
              </a:r>
              <a:endParaRPr lang="en-US" sz="1100"/>
            </a:p>
          </xdr:txBody>
        </xdr:sp>
      </mc:Fallback>
    </mc:AlternateContent>
    <xdr:clientData/>
  </xdr:oneCellAnchor>
  <xdr:oneCellAnchor>
    <xdr:from>
      <xdr:col>4</xdr:col>
      <xdr:colOff>38100</xdr:colOff>
      <xdr:row>43</xdr:row>
      <xdr:rowOff>76200</xdr:rowOff>
    </xdr:from>
    <xdr:ext cx="665247" cy="183320"/>
    <mc:AlternateContent xmlns:mc="http://schemas.openxmlformats.org/markup-compatibility/2006" xmlns:a14="http://schemas.microsoft.com/office/drawing/2010/main">
      <mc:Choice Requires="a14">
        <xdr:sp macro="" textlink="">
          <xdr:nvSpPr>
            <xdr:cNvPr id="55" name="TextBox 54">
              <a:extLst>
                <a:ext uri="{FF2B5EF4-FFF2-40B4-BE49-F238E27FC236}">
                  <a16:creationId xmlns:a16="http://schemas.microsoft.com/office/drawing/2014/main" id="{00000000-0008-0000-0300-000037000000}"/>
                </a:ext>
              </a:extLst>
            </xdr:cNvPr>
            <xdr:cNvSpPr txBox="1"/>
          </xdr:nvSpPr>
          <xdr:spPr>
            <a:xfrm>
              <a:off x="2676525" y="9944100"/>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oMath>
                </m:oMathPara>
              </a14:m>
              <a:endParaRPr lang="en-US" sz="1100"/>
            </a:p>
          </xdr:txBody>
        </xdr:sp>
      </mc:Choice>
      <mc:Fallback xmlns="">
        <xdr:sp macro="" textlink="">
          <xdr:nvSpPr>
            <xdr:cNvPr id="55" name="TextBox 54">
              <a:extLst>
                <a:ext uri="{FF2B5EF4-FFF2-40B4-BE49-F238E27FC236}">
                  <a16:creationId xmlns:a16="http://schemas.microsoft.com/office/drawing/2014/main" id="{7E4E6919-7D71-4E6D-9A59-781ADD50A459}"/>
                </a:ext>
              </a:extLst>
            </xdr:cNvPr>
            <xdr:cNvSpPr txBox="1"/>
          </xdr:nvSpPr>
          <xdr:spPr>
            <a:xfrm>
              <a:off x="2676525" y="9944100"/>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endParaRPr lang="en-US" sz="1100"/>
            </a:p>
          </xdr:txBody>
        </xdr:sp>
      </mc:Fallback>
    </mc:AlternateContent>
    <xdr:clientData/>
  </xdr:oneCellAnchor>
  <xdr:oneCellAnchor>
    <xdr:from>
      <xdr:col>4</xdr:col>
      <xdr:colOff>38100</xdr:colOff>
      <xdr:row>44</xdr:row>
      <xdr:rowOff>66675</xdr:rowOff>
    </xdr:from>
    <xdr:ext cx="380617" cy="172227"/>
    <mc:AlternateContent xmlns:mc="http://schemas.openxmlformats.org/markup-compatibility/2006" xmlns:a14="http://schemas.microsoft.com/office/drawing/2010/main">
      <mc:Choice Requires="a14">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2676525" y="11220450"/>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56" name="TextBox 55">
              <a:extLst>
                <a:ext uri="{FF2B5EF4-FFF2-40B4-BE49-F238E27FC236}">
                  <a16:creationId xmlns:a16="http://schemas.microsoft.com/office/drawing/2014/main" id="{00000000-0008-0000-0100-000038000000}"/>
                </a:ext>
              </a:extLst>
            </xdr:cNvPr>
            <xdr:cNvSpPr txBox="1"/>
          </xdr:nvSpPr>
          <xdr:spPr>
            <a:xfrm>
              <a:off x="2676525" y="11220450"/>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endParaRPr lang="en-US" sz="1100"/>
            </a:p>
          </xdr:txBody>
        </xdr:sp>
      </mc:Fallback>
    </mc:AlternateContent>
    <xdr:clientData/>
  </xdr:oneCellAnchor>
  <xdr:oneCellAnchor>
    <xdr:from>
      <xdr:col>4</xdr:col>
      <xdr:colOff>57150</xdr:colOff>
      <xdr:row>41</xdr:row>
      <xdr:rowOff>95250</xdr:rowOff>
    </xdr:from>
    <xdr:ext cx="109774" cy="172227"/>
    <mc:AlternateContent xmlns:mc="http://schemas.openxmlformats.org/markup-compatibility/2006" xmlns:a14="http://schemas.microsoft.com/office/drawing/2010/main">
      <mc:Choice Requires="a14">
        <xdr:sp macro="" textlink="">
          <xdr:nvSpPr>
            <xdr:cNvPr id="57" name="TextBox 56">
              <a:extLst>
                <a:ext uri="{FF2B5EF4-FFF2-40B4-BE49-F238E27FC236}">
                  <a16:creationId xmlns:a16="http://schemas.microsoft.com/office/drawing/2014/main" id="{00000000-0008-0000-0300-000039000000}"/>
                </a:ext>
              </a:extLst>
            </xdr:cNvPr>
            <xdr:cNvSpPr txBox="1"/>
          </xdr:nvSpPr>
          <xdr:spPr>
            <a:xfrm>
              <a:off x="2695575" y="927735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oMath>
                </m:oMathPara>
              </a14:m>
              <a:endParaRPr lang="en-US" sz="1100"/>
            </a:p>
          </xdr:txBody>
        </xdr:sp>
      </mc:Choice>
      <mc:Fallback xmlns="">
        <xdr:sp macro="" textlink="">
          <xdr:nvSpPr>
            <xdr:cNvPr id="57" name="TextBox 56">
              <a:extLst>
                <a:ext uri="{FF2B5EF4-FFF2-40B4-BE49-F238E27FC236}">
                  <a16:creationId xmlns:a16="http://schemas.microsoft.com/office/drawing/2014/main" id="{A43C2C86-6DA4-499C-9F10-13C753AA4C58}"/>
                </a:ext>
              </a:extLst>
            </xdr:cNvPr>
            <xdr:cNvSpPr txBox="1"/>
          </xdr:nvSpPr>
          <xdr:spPr>
            <a:xfrm>
              <a:off x="2695575" y="927735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a:t>
              </a:r>
              <a:endParaRPr lang="en-US" sz="1100"/>
            </a:p>
          </xdr:txBody>
        </xdr:sp>
      </mc:Fallback>
    </mc:AlternateContent>
    <xdr:clientData/>
  </xdr:oneCellAnchor>
  <xdr:oneCellAnchor>
    <xdr:from>
      <xdr:col>4</xdr:col>
      <xdr:colOff>57150</xdr:colOff>
      <xdr:row>40</xdr:row>
      <xdr:rowOff>66675</xdr:rowOff>
    </xdr:from>
    <xdr:ext cx="341119" cy="184731"/>
    <mc:AlternateContent xmlns:mc="http://schemas.openxmlformats.org/markup-compatibility/2006" xmlns:a14="http://schemas.microsoft.com/office/drawing/2010/main">
      <mc:Choice Requires="a14">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679326" y="12045763"/>
              <a:ext cx="341119" cy="1847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Cambria Math" panose="02040503050406030204" pitchFamily="18" charset="0"/>
                            <a:cs typeface="+mn-cs"/>
                          </a:rPr>
                          <m:t>𝑓𝑡</m:t>
                        </m:r>
                      </m:sub>
                    </m:sSub>
                  </m:oMath>
                </m:oMathPara>
              </a14:m>
              <a:endParaRPr lang="en-US" sz="1100"/>
            </a:p>
          </xdr:txBody>
        </xdr:sp>
      </mc:Choice>
      <mc:Fallback xmlns="">
        <xdr:sp macro="" textlink="">
          <xdr:nvSpPr>
            <xdr:cNvPr id="58" name="TextBox 57">
              <a:extLst>
                <a:ext uri="{FF2B5EF4-FFF2-40B4-BE49-F238E27FC236}">
                  <a16:creationId xmlns:a16="http://schemas.microsoft.com/office/drawing/2014/main" id="{00000000-0008-0000-0300-00003A000000}"/>
                </a:ext>
              </a:extLst>
            </xdr:cNvPr>
            <xdr:cNvSpPr txBox="1"/>
          </xdr:nvSpPr>
          <xdr:spPr>
            <a:xfrm>
              <a:off x="2679326" y="12045763"/>
              <a:ext cx="341119" cy="1847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𝑇/𝑓𝑡</a:t>
              </a:r>
              <a:r>
                <a:rPr lang="en-US" sz="1100" b="0" i="0">
                  <a:solidFill>
                    <a:schemeClr val="tx1"/>
                  </a:solidFill>
                  <a:effectLst/>
                  <a:latin typeface="Cambria Math" panose="02040503050406030204" pitchFamily="18" charset="0"/>
                  <a:ea typeface="+mn-ea"/>
                  <a:cs typeface="+mn-cs"/>
                </a:rPr>
                <a:t>)</a:t>
              </a:r>
              <a:endParaRPr lang="en-US" sz="1100"/>
            </a:p>
          </xdr:txBody>
        </xdr:sp>
      </mc:Fallback>
    </mc:AlternateContent>
    <xdr:clientData/>
  </xdr:oneCellAnchor>
  <xdr:oneCellAnchor>
    <xdr:from>
      <xdr:col>4</xdr:col>
      <xdr:colOff>247650</xdr:colOff>
      <xdr:row>18</xdr:row>
      <xdr:rowOff>66675</xdr:rowOff>
    </xdr:from>
    <xdr:ext cx="118879" cy="172227"/>
    <mc:AlternateContent xmlns:mc="http://schemas.openxmlformats.org/markup-compatibility/2006" xmlns:a14="http://schemas.microsoft.com/office/drawing/2010/main">
      <mc:Choice Requires="a14">
        <xdr:sp macro="" textlink="">
          <xdr:nvSpPr>
            <xdr:cNvPr id="53" name="TextBox 52">
              <a:extLst>
                <a:ext uri="{FF2B5EF4-FFF2-40B4-BE49-F238E27FC236}">
                  <a16:creationId xmlns:a16="http://schemas.microsoft.com/office/drawing/2014/main" id="{00000000-0008-0000-0300-000035000000}"/>
                </a:ext>
              </a:extLst>
            </xdr:cNvPr>
            <xdr:cNvSpPr txBox="1"/>
          </xdr:nvSpPr>
          <xdr:spPr>
            <a:xfrm>
              <a:off x="2886075" y="518160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53" name="TextBox 52">
              <a:extLst>
                <a:ext uri="{FF2B5EF4-FFF2-40B4-BE49-F238E27FC236}">
                  <a16:creationId xmlns:a16="http://schemas.microsoft.com/office/drawing/2014/main" id="{097D02C0-5E81-46A5-9DA0-FCB89BB96633}"/>
                </a:ext>
              </a:extLst>
            </xdr:cNvPr>
            <xdr:cNvSpPr txBox="1"/>
          </xdr:nvSpPr>
          <xdr:spPr>
            <a:xfrm>
              <a:off x="2886075" y="518160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xdr:oneCellAnchor>
    <xdr:from>
      <xdr:col>4</xdr:col>
      <xdr:colOff>0</xdr:colOff>
      <xdr:row>56</xdr:row>
      <xdr:rowOff>266700</xdr:rowOff>
    </xdr:from>
    <xdr:ext cx="2366930" cy="194733"/>
    <mc:AlternateContent xmlns:mc="http://schemas.openxmlformats.org/markup-compatibility/2006" xmlns:a14="http://schemas.microsoft.com/office/drawing/2010/main">
      <mc:Choice Requires="a14">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2622176" y="19249465"/>
              <a:ext cx="2366930"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𝑟𝑒𝑝𝑎𝑖𝑟</m:t>
                        </m:r>
                      </m:sub>
                    </m:sSub>
                    <m:r>
                      <a:rPr lang="en-US" sz="1100" b="0" i="1">
                        <a:latin typeface="Cambria Math" panose="02040503050406030204" pitchFamily="18" charset="0"/>
                      </a:rPr>
                      <m:t>=</m:t>
                    </m:r>
                    <m:r>
                      <m:rPr>
                        <m:nor/>
                      </m:rPr>
                      <a:rPr lang="en-US" sz="1100" b="0" i="0">
                        <a:latin typeface="Cambria Math" panose="02040503050406030204" pitchFamily="18" charset="0"/>
                      </a:rPr>
                      <m:t>CEILING</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e>
                    </m:d>
                  </m:oMath>
                </m:oMathPara>
              </a14:m>
              <a:endParaRPr lang="en-US" sz="1100"/>
            </a:p>
          </xdr:txBody>
        </xdr:sp>
      </mc:Choice>
      <mc:Fallback xmlns="">
        <xdr:sp macro="" textlink="">
          <xdr:nvSpPr>
            <xdr:cNvPr id="60" name="TextBox 59">
              <a:extLst>
                <a:ext uri="{FF2B5EF4-FFF2-40B4-BE49-F238E27FC236}">
                  <a16:creationId xmlns:a16="http://schemas.microsoft.com/office/drawing/2014/main" id="{00000000-0008-0000-0300-00003C000000}"/>
                </a:ext>
              </a:extLst>
            </xdr:cNvPr>
            <xdr:cNvSpPr txBox="1"/>
          </xdr:nvSpPr>
          <xdr:spPr>
            <a:xfrm>
              <a:off x="2622176" y="19249465"/>
              <a:ext cx="2366930"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𝑡_𝑟𝑒𝑝𝑎𝑖𝑟="CEILING" (</a:t>
              </a:r>
              <a:r>
                <a:rPr lang="en-US" sz="1100" b="0" i="0">
                  <a:solidFill>
                    <a:schemeClr val="tx1"/>
                  </a:solidFill>
                  <a:effectLst/>
                  <a:latin typeface="Cambria Math" panose="02040503050406030204" pitchFamily="18" charset="0"/>
                  <a:ea typeface="+mn-ea"/>
                  <a:cs typeface="+mn-cs"/>
                </a:rPr>
                <a:t>𝑊_𝑁∗𝑡_𝑙𝑎𝑦𝑒𝑟, 〖  𝑡〗_𝑙𝑎𝑦𝑒𝑟 )</a:t>
              </a:r>
              <a:endParaRPr lang="en-US" sz="1100"/>
            </a:p>
          </xdr:txBody>
        </xdr:sp>
      </mc:Fallback>
    </mc:AlternateContent>
    <xdr:clientData/>
  </xdr:oneCellAnchor>
  <xdr:oneCellAnchor>
    <xdr:from>
      <xdr:col>4</xdr:col>
      <xdr:colOff>47625</xdr:colOff>
      <xdr:row>38</xdr:row>
      <xdr:rowOff>76200</xdr:rowOff>
    </xdr:from>
    <xdr:ext cx="424667" cy="182614"/>
    <mc:AlternateContent xmlns:mc="http://schemas.openxmlformats.org/markup-compatibility/2006" xmlns:a14="http://schemas.microsoft.com/office/drawing/2010/main">
      <mc:Choice Requires="a14">
        <xdr:sp macro="" textlink="">
          <xdr:nvSpPr>
            <xdr:cNvPr id="61" name="TextBox 60">
              <a:extLst>
                <a:ext uri="{FF2B5EF4-FFF2-40B4-BE49-F238E27FC236}">
                  <a16:creationId xmlns:a16="http://schemas.microsoft.com/office/drawing/2014/main" id="{00000000-0008-0000-0300-00003D000000}"/>
                </a:ext>
              </a:extLst>
            </xdr:cNvPr>
            <xdr:cNvSpPr txBox="1"/>
          </xdr:nvSpPr>
          <xdr:spPr>
            <a:xfrm>
              <a:off x="2686050" y="9515475"/>
              <a:ext cx="424667"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𝑟𝑒𝑝𝑎𝑖𝑟</m:t>
                        </m:r>
                      </m:sub>
                    </m:sSub>
                  </m:oMath>
                </m:oMathPara>
              </a14:m>
              <a:endParaRPr lang="en-US" sz="1100"/>
            </a:p>
          </xdr:txBody>
        </xdr:sp>
      </mc:Choice>
      <mc:Fallback xmlns="">
        <xdr:sp macro="" textlink="">
          <xdr:nvSpPr>
            <xdr:cNvPr id="61" name="TextBox 60">
              <a:extLst>
                <a:ext uri="{FF2B5EF4-FFF2-40B4-BE49-F238E27FC236}">
                  <a16:creationId xmlns:a16="http://schemas.microsoft.com/office/drawing/2014/main" id="{3E75C5F4-A738-46E8-BAF8-8953EF6CCD19}"/>
                </a:ext>
              </a:extLst>
            </xdr:cNvPr>
            <xdr:cNvSpPr txBox="1"/>
          </xdr:nvSpPr>
          <xdr:spPr>
            <a:xfrm>
              <a:off x="2686050" y="9515475"/>
              <a:ext cx="424667"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𝑡_𝑟𝑒𝑝𝑎𝑖𝑟</a:t>
              </a:r>
              <a:endParaRPr lang="en-US" sz="1100"/>
            </a:p>
          </xdr:txBody>
        </xdr:sp>
      </mc:Fallback>
    </mc:AlternateContent>
    <xdr:clientData/>
  </xdr:oneCellAnchor>
  <xdr:oneCellAnchor>
    <xdr:from>
      <xdr:col>4</xdr:col>
      <xdr:colOff>0</xdr:colOff>
      <xdr:row>37</xdr:row>
      <xdr:rowOff>95250</xdr:rowOff>
    </xdr:from>
    <xdr:ext cx="233205" cy="172227"/>
    <mc:AlternateContent xmlns:mc="http://schemas.openxmlformats.org/markup-compatibility/2006" xmlns:a14="http://schemas.microsoft.com/office/drawing/2010/main">
      <mc:Choice Requires="a14">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2622176" y="11379574"/>
              <a:ext cx="23320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oMath>
                </m:oMathPara>
              </a14:m>
              <a:endParaRPr lang="en-US" sz="1100"/>
            </a:p>
          </xdr:txBody>
        </xdr:sp>
      </mc:Choice>
      <mc:Fallback xmlns="">
        <xdr:sp macro="" textlink="">
          <xdr:nvSpPr>
            <xdr:cNvPr id="73" name="TextBox 72">
              <a:extLst>
                <a:ext uri="{FF2B5EF4-FFF2-40B4-BE49-F238E27FC236}">
                  <a16:creationId xmlns:a16="http://schemas.microsoft.com/office/drawing/2014/main" id="{00000000-0008-0000-0300-000049000000}"/>
                </a:ext>
              </a:extLst>
            </xdr:cNvPr>
            <xdr:cNvSpPr txBox="1"/>
          </xdr:nvSpPr>
          <xdr:spPr>
            <a:xfrm>
              <a:off x="2622176" y="11379574"/>
              <a:ext cx="23320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11</xdr:col>
          <xdr:colOff>600075</xdr:colOff>
          <xdr:row>1</xdr:row>
          <xdr:rowOff>409575</xdr:rowOff>
        </xdr:from>
        <xdr:to>
          <xdr:col>17</xdr:col>
          <xdr:colOff>0</xdr:colOff>
          <xdr:row>5</xdr:row>
          <xdr:rowOff>57150</xdr:rowOff>
        </xdr:to>
        <xdr:sp macro="" textlink="">
          <xdr:nvSpPr>
            <xdr:cNvPr id="2056" name="ExportSingle"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4</xdr:col>
      <xdr:colOff>106680</xdr:colOff>
      <xdr:row>22</xdr:row>
      <xdr:rowOff>83820</xdr:rowOff>
    </xdr:from>
    <xdr:ext cx="476605" cy="1831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728856" y="6291879"/>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𝑤</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2" name="TextBox 1">
              <a:extLst>
                <a:ext uri="{FF2B5EF4-FFF2-40B4-BE49-F238E27FC236}">
                  <a16:creationId xmlns:a16="http://schemas.microsoft.com/office/drawing/2014/main" id="{770594CE-6409-45CC-86E9-DB5A2805817D}"/>
                </a:ext>
              </a:extLst>
            </xdr:cNvPr>
            <xdr:cNvSpPr txBox="1"/>
          </xdr:nvSpPr>
          <xdr:spPr>
            <a:xfrm>
              <a:off x="2728856" y="6291879"/>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𝑤_𝑑𝑒𝑓𝑒𝑐𝑡</a:t>
              </a:r>
              <a:endParaRPr lang="en-US" sz="1100"/>
            </a:p>
          </xdr:txBody>
        </xdr:sp>
      </mc:Fallback>
    </mc:AlternateContent>
    <xdr:clientData/>
  </xdr:oneCellAnchor>
  <xdr:oneCellAnchor>
    <xdr:from>
      <xdr:col>4</xdr:col>
      <xdr:colOff>113179</xdr:colOff>
      <xdr:row>19</xdr:row>
      <xdr:rowOff>74519</xdr:rowOff>
    </xdr:from>
    <xdr:ext cx="455317" cy="18312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735355" y="5587813"/>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3" name="TextBox 2">
              <a:extLst>
                <a:ext uri="{FF2B5EF4-FFF2-40B4-BE49-F238E27FC236}">
                  <a16:creationId xmlns:a16="http://schemas.microsoft.com/office/drawing/2014/main" id="{707D1C98-79A2-4B35-BEF5-02D9C7AEFF3A}"/>
                </a:ext>
              </a:extLst>
            </xdr:cNvPr>
            <xdr:cNvSpPr txBox="1"/>
          </xdr:nvSpPr>
          <xdr:spPr>
            <a:xfrm>
              <a:off x="2735355" y="5587813"/>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4</xdr:col>
      <xdr:colOff>106680</xdr:colOff>
      <xdr:row>21</xdr:row>
      <xdr:rowOff>83820</xdr:rowOff>
    </xdr:from>
    <xdr:ext cx="452111" cy="1831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2728856" y="6291879"/>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4" name="TextBox 3">
              <a:extLst>
                <a:ext uri="{FF2B5EF4-FFF2-40B4-BE49-F238E27FC236}">
                  <a16:creationId xmlns:a16="http://schemas.microsoft.com/office/drawing/2014/main" id="{4E0BCC8E-06B6-406B-BA23-C71A83C719FF}"/>
                </a:ext>
              </a:extLst>
            </xdr:cNvPr>
            <xdr:cNvSpPr txBox="1"/>
          </xdr:nvSpPr>
          <xdr:spPr>
            <a:xfrm>
              <a:off x="2728856" y="6291879"/>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4</xdr:col>
      <xdr:colOff>37428</xdr:colOff>
      <xdr:row>73</xdr:row>
      <xdr:rowOff>255830</xdr:rowOff>
    </xdr:from>
    <xdr:ext cx="2099293" cy="1831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0104" y="30814271"/>
              <a:ext cx="2099293"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h</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𝐿</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𝑑𝑒𝑓𝑒𝑐𝑡</m:t>
                        </m:r>
                      </m:sub>
                    </m:sSub>
                  </m:oMath>
                </m:oMathPara>
              </a14:m>
              <a:endParaRPr lang="en-US" sz="1100"/>
            </a:p>
          </xdr:txBody>
        </xdr:sp>
      </mc:Choice>
      <mc:Fallback xmlns="">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2850104" y="30814271"/>
              <a:ext cx="2099293"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ℎ_𝑑𝑒𝑓𝑒𝑐𝑡∗𝐿_𝑑𝑒𝑓𝑒𝑐𝑡∗𝑤_𝑑𝑒𝑓𝑒𝑐𝑡</a:t>
              </a:r>
              <a:endParaRPr lang="en-US" sz="1100"/>
            </a:p>
          </xdr:txBody>
        </xdr:sp>
      </mc:Fallback>
    </mc:AlternateContent>
    <xdr:clientData/>
  </xdr:oneCellAnchor>
  <xdr:oneCellAnchor>
    <xdr:from>
      <xdr:col>4</xdr:col>
      <xdr:colOff>22412</xdr:colOff>
      <xdr:row>46</xdr:row>
      <xdr:rowOff>56030</xdr:rowOff>
    </xdr:from>
    <xdr:ext cx="365485"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2644588" y="12035118"/>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7" name="TextBox 6">
              <a:extLst>
                <a:ext uri="{FF2B5EF4-FFF2-40B4-BE49-F238E27FC236}">
                  <a16:creationId xmlns:a16="http://schemas.microsoft.com/office/drawing/2014/main" id="{28D759F3-BF00-44D6-B305-86C235F19EE6}"/>
                </a:ext>
              </a:extLst>
            </xdr:cNvPr>
            <xdr:cNvSpPr txBox="1"/>
          </xdr:nvSpPr>
          <xdr:spPr>
            <a:xfrm>
              <a:off x="2644588" y="12035118"/>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endParaRPr lang="en-US" sz="1100"/>
            </a:p>
          </xdr:txBody>
        </xdr:sp>
      </mc:Fallback>
    </mc:AlternateContent>
    <xdr:clientData/>
  </xdr:oneCellAnchor>
  <xdr:oneCellAnchor>
    <xdr:from>
      <xdr:col>4</xdr:col>
      <xdr:colOff>134471</xdr:colOff>
      <xdr:row>31</xdr:row>
      <xdr:rowOff>78441</xdr:rowOff>
    </xdr:from>
    <xdr:ext cx="377732"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2756647" y="9065559"/>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ea typeface="Cambria Math" panose="02040503050406030204" pitchFamily="18" charset="0"/>
                          </a:rPr>
                          <m:t>𝑟𝑒𝑠𝑖𝑛</m:t>
                        </m:r>
                      </m:sub>
                    </m:sSub>
                  </m:oMath>
                </m:oMathPara>
              </a14:m>
              <a:endParaRPr lang="en-US" sz="1100"/>
            </a:p>
          </xdr:txBody>
        </xdr:sp>
      </mc:Choice>
      <mc:Fallback xmlns="">
        <xdr:sp macro="" textlink="">
          <xdr:nvSpPr>
            <xdr:cNvPr id="9" name="TextBox 8">
              <a:extLst>
                <a:ext uri="{FF2B5EF4-FFF2-40B4-BE49-F238E27FC236}">
                  <a16:creationId xmlns:a16="http://schemas.microsoft.com/office/drawing/2014/main" id="{E5B02D0D-F4A1-45B3-93A3-262B6DE21023}"/>
                </a:ext>
              </a:extLst>
            </xdr:cNvPr>
            <xdr:cNvSpPr txBox="1"/>
          </xdr:nvSpPr>
          <xdr:spPr>
            <a:xfrm>
              <a:off x="2756647" y="9065559"/>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𝜌_</a:t>
              </a:r>
              <a:r>
                <a:rPr lang="en-US" sz="1100" b="0" i="0">
                  <a:latin typeface="Cambria Math" panose="02040503050406030204" pitchFamily="18" charset="0"/>
                  <a:ea typeface="Cambria Math" panose="02040503050406030204" pitchFamily="18" charset="0"/>
                </a:rPr>
                <a:t>𝑟𝑒𝑠𝑖𝑛</a:t>
              </a:r>
              <a:endParaRPr lang="en-US" sz="1100"/>
            </a:p>
          </xdr:txBody>
        </xdr:sp>
      </mc:Fallback>
    </mc:AlternateContent>
    <xdr:clientData/>
  </xdr:oneCellAnchor>
  <xdr:oneCellAnchor>
    <xdr:from>
      <xdr:col>4</xdr:col>
      <xdr:colOff>134471</xdr:colOff>
      <xdr:row>30</xdr:row>
      <xdr:rowOff>89647</xdr:rowOff>
    </xdr:from>
    <xdr:ext cx="416653" cy="182935"/>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300-00000C000000}"/>
                </a:ext>
              </a:extLst>
            </xdr:cNvPr>
            <xdr:cNvSpPr txBox="1"/>
          </xdr:nvSpPr>
          <xdr:spPr>
            <a:xfrm>
              <a:off x="2756647" y="9076765"/>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12" name="TextBox 11">
              <a:extLst>
                <a:ext uri="{FF2B5EF4-FFF2-40B4-BE49-F238E27FC236}">
                  <a16:creationId xmlns:a16="http://schemas.microsoft.com/office/drawing/2014/main" id="{42F9E328-C057-456C-978B-1886D5414CA2}"/>
                </a:ext>
              </a:extLst>
            </xdr:cNvPr>
            <xdr:cNvSpPr txBox="1"/>
          </xdr:nvSpPr>
          <xdr:spPr>
            <a:xfrm>
              <a:off x="2756647" y="9076765"/>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𝑤_𝑙𝑎𝑦𝑒𝑟</a:t>
              </a:r>
              <a:endParaRPr lang="en-US" sz="1100"/>
            </a:p>
          </xdr:txBody>
        </xdr:sp>
      </mc:Fallback>
    </mc:AlternateContent>
    <xdr:clientData/>
  </xdr:oneCellAnchor>
  <xdr:oneCellAnchor>
    <xdr:from>
      <xdr:col>4</xdr:col>
      <xdr:colOff>212912</xdr:colOff>
      <xdr:row>32</xdr:row>
      <xdr:rowOff>100852</xdr:rowOff>
    </xdr:from>
    <xdr:ext cx="120738"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2835088" y="9782734"/>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𝛼</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F401EEED-3E28-4B85-95D2-5866D7D7C2D6}"/>
                </a:ext>
              </a:extLst>
            </xdr:cNvPr>
            <xdr:cNvSpPr txBox="1"/>
          </xdr:nvSpPr>
          <xdr:spPr>
            <a:xfrm>
              <a:off x="2835088" y="9782734"/>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𝛼</a:t>
              </a:r>
              <a:endParaRPr lang="en-US" sz="1100"/>
            </a:p>
          </xdr:txBody>
        </xdr:sp>
      </mc:Fallback>
    </mc:AlternateContent>
    <xdr:clientData/>
  </xdr:oneCellAnchor>
  <xdr:oneCellAnchor>
    <xdr:from>
      <xdr:col>3</xdr:col>
      <xdr:colOff>560294</xdr:colOff>
      <xdr:row>52</xdr:row>
      <xdr:rowOff>193302</xdr:rowOff>
    </xdr:from>
    <xdr:ext cx="2842060" cy="377604"/>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300-000008000000}"/>
                </a:ext>
                <a:ext uri="{147F2762-F138-4A5C-976F-8EAC2B608ADB}">
                  <a16:predDERef xmlns:a16="http://schemas.microsoft.com/office/drawing/2014/main" pred="{00000000-0008-0000-0300-00000D000000}"/>
                </a:ext>
              </a:extLst>
            </xdr:cNvPr>
            <xdr:cNvSpPr txBox="1"/>
          </xdr:nvSpPr>
          <xdr:spPr>
            <a:xfrm>
              <a:off x="2579594" y="17900277"/>
              <a:ext cx="2842060"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a:solidFill>
                          <a:schemeClr val="tx1"/>
                        </a:solidFill>
                        <a:effectLst/>
                        <a:latin typeface="Cambria Math" panose="02040503050406030204" pitchFamily="18" charset="0"/>
                        <a:ea typeface="+mn-ea"/>
                        <a:cs typeface="+mn-cs"/>
                      </a:rPr>
                      <m:t>Technique</m:t>
                    </m:r>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solidFill>
                                  <a:schemeClr val="tx1"/>
                                </a:solidFill>
                                <a:effectLst/>
                                <a:latin typeface="+mn-lt"/>
                                <a:ea typeface="+mn-ea"/>
                                <a:cs typeface="+mn-cs"/>
                              </a:rPr>
                              <m:t>Layer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over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Layer</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mn-ea"/>
                                <a:cs typeface="+mn-cs"/>
                              </a:rPr>
                              <m:t>12 </m:t>
                            </m:r>
                            <m:r>
                              <m:rPr>
                                <m:nor/>
                              </m:rPr>
                              <a:rPr lang="en-US" sz="1100" b="0" i="0">
                                <a:solidFill>
                                  <a:schemeClr val="tx1"/>
                                </a:solidFill>
                                <a:effectLst/>
                                <a:latin typeface="+mn-lt"/>
                                <a:ea typeface="+mn-ea"/>
                                <a:cs typeface="+mn-cs"/>
                              </a:rPr>
                              <m:t>in</m:t>
                            </m:r>
                          </m:e>
                          <m:e>
                            <m:r>
                              <m:rPr>
                                <m:nor/>
                              </m:rPr>
                              <a:rPr lang="en-US" sz="1100" b="0" i="0">
                                <a:solidFill>
                                  <a:schemeClr val="tx1"/>
                                </a:solidFill>
                                <a:effectLst/>
                                <a:latin typeface="+mn-lt"/>
                                <a:ea typeface="+mn-ea"/>
                                <a:cs typeface="+mn-cs"/>
                              </a:rPr>
                              <m:t>Stagger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Spiral</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mn-ea"/>
                                <a:cs typeface="+mn-cs"/>
                              </a:rPr>
                              <m:t>&gt;1</m:t>
                            </m:r>
                            <m:r>
                              <m:rPr>
                                <m:nor/>
                              </m:rPr>
                              <a:rPr lang="en-US" sz="1100" b="0" i="0">
                                <a:solidFill>
                                  <a:schemeClr val="tx1"/>
                                </a:solidFill>
                                <a:effectLst/>
                                <a:latin typeface="+mn-lt"/>
                                <a:ea typeface="+mn-ea"/>
                                <a:cs typeface="+mn-cs"/>
                              </a:rPr>
                              <m:t>2 </m:t>
                            </m:r>
                            <m:r>
                              <m:rPr>
                                <m:nor/>
                              </m:rPr>
                              <a:rPr lang="en-US" sz="1100" b="0" i="0">
                                <a:solidFill>
                                  <a:schemeClr val="tx1"/>
                                </a:solidFill>
                                <a:effectLst/>
                                <a:latin typeface="+mn-lt"/>
                                <a:ea typeface="+mn-ea"/>
                                <a:cs typeface="+mn-cs"/>
                              </a:rPr>
                              <m:t>in</m:t>
                            </m:r>
                            <m:r>
                              <a:rPr lang="en-US" sz="1100" b="0" i="1">
                                <a:solidFill>
                                  <a:schemeClr val="tx1"/>
                                </a:solidFill>
                                <a:effectLst/>
                                <a:latin typeface="Cambria Math" panose="02040503050406030204" pitchFamily="18" charset="0"/>
                                <a:ea typeface="+mn-ea"/>
                                <a:cs typeface="+mn-cs"/>
                              </a:rPr>
                              <m:t> </m:t>
                            </m:r>
                          </m:e>
                        </m:eqArr>
                      </m:e>
                    </m:d>
                  </m:oMath>
                </m:oMathPara>
              </a14:m>
              <a:endParaRPr lang="en-US" sz="1100"/>
            </a:p>
          </xdr:txBody>
        </xdr:sp>
      </mc:Choice>
      <mc:Fallback xmlns="">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566147" y="18615773"/>
              <a:ext cx="2842060"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"Technique"</a:t>
              </a:r>
              <a:r>
                <a:rPr lang="en-US" sz="1100" b="0" i="0">
                  <a:latin typeface="Cambria Math" panose="02040503050406030204" pitchFamily="18" charset="0"/>
                </a:rPr>
                <a:t>={█(</a:t>
              </a:r>
              <a:r>
                <a:rPr lang="en-US" sz="1100" b="0" i="0">
                  <a:solidFill>
                    <a:schemeClr val="tx1"/>
                  </a:solidFill>
                  <a:effectLst/>
                  <a:latin typeface="+mn-lt"/>
                  <a:ea typeface="+mn-ea"/>
                  <a:cs typeface="+mn-cs"/>
                </a:rPr>
                <a:t>"Layer over Layer" ,  𝐿</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solidFill>
                    <a:schemeClr val="tx1"/>
                  </a:solidFill>
                  <a:effectLst/>
                  <a:latin typeface="+mn-lt"/>
                  <a:ea typeface="+mn-ea"/>
                  <a:cs typeface="+mn-cs"/>
                </a:rPr>
                <a:t>1</a:t>
              </a:r>
              <a:r>
                <a:rPr lang="en-US" sz="1100" b="0" i="0">
                  <a:solidFill>
                    <a:schemeClr val="tx1"/>
                  </a:solidFill>
                  <a:effectLst/>
                  <a:latin typeface="Cambria Math" panose="02040503050406030204" pitchFamily="18" charset="0"/>
                  <a:ea typeface="+mn-ea"/>
                  <a:cs typeface="+mn-cs"/>
                </a:rPr>
                <a:t>2</a:t>
              </a:r>
              <a:r>
                <a:rPr lang="en-US" sz="1100" b="0" i="0">
                  <a:solidFill>
                    <a:schemeClr val="tx1"/>
                  </a:solidFill>
                  <a:effectLst/>
                  <a:latin typeface="+mn-lt"/>
                  <a:ea typeface="+mn-ea"/>
                  <a:cs typeface="+mn-cs"/>
                </a:rPr>
                <a:t> "in</a:t>
              </a:r>
              <a:r>
                <a:rPr lang="en-US" sz="1100" b="0" i="0">
                  <a:solidFill>
                    <a:schemeClr val="tx1"/>
                  </a:solidFill>
                  <a:effectLst/>
                  <a:latin typeface="Cambria Math" panose="02040503050406030204" pitchFamily="18" charset="0"/>
                  <a:ea typeface="+mn-ea"/>
                  <a:cs typeface="+mn-cs"/>
                </a:rPr>
                <a:t>" @</a:t>
              </a:r>
              <a:r>
                <a:rPr lang="en-US" sz="1100" b="0" i="0">
                  <a:solidFill>
                    <a:schemeClr val="tx1"/>
                  </a:solidFill>
                  <a:effectLst/>
                  <a:latin typeface="+mn-lt"/>
                  <a:ea typeface="+mn-ea"/>
                  <a:cs typeface="+mn-cs"/>
                </a:rPr>
                <a:t>"Stagger or Spiral" ,  𝐿&gt;1"2 in"  </a:t>
              </a:r>
              <a:r>
                <a:rPr lang="en-US" sz="1100" b="0" i="0">
                  <a:solidFill>
                    <a:schemeClr val="tx1"/>
                  </a:solidFill>
                  <a:effectLst/>
                  <a:latin typeface="Cambria Math" panose="02040503050406030204" pitchFamily="18" charset="0"/>
                  <a:ea typeface="+mn-ea"/>
                  <a:cs typeface="+mn-cs"/>
                </a:rPr>
                <a:t>)┤</a:t>
              </a:r>
              <a:endParaRPr lang="en-US" sz="1100"/>
            </a:p>
          </xdr:txBody>
        </xdr:sp>
      </mc:Fallback>
    </mc:AlternateContent>
    <xdr:clientData/>
  </xdr:oneCellAnchor>
  <xdr:oneCellAnchor>
    <xdr:from>
      <xdr:col>3</xdr:col>
      <xdr:colOff>590550</xdr:colOff>
      <xdr:row>64</xdr:row>
      <xdr:rowOff>142875</xdr:rowOff>
    </xdr:from>
    <xdr:ext cx="2740237" cy="439608"/>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2596403" y="24123463"/>
              <a:ext cx="2740237"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Layer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Stagger</m:t>
                            </m:r>
                          </m:e>
                          <m:e>
                            <m:r>
                              <a:rPr lang="en-US" sz="1100" b="0" i="1">
                                <a:latin typeface="Cambria Math" panose="02040503050406030204" pitchFamily="18" charset="0"/>
                              </a:rPr>
                              <m:t>&amp;</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2,</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Spiral</m:t>
                            </m:r>
                          </m:e>
                        </m:eqArr>
                      </m:e>
                    </m:d>
                  </m:oMath>
                </m:oMathPara>
              </a14:m>
              <a:endParaRPr lang="en-US" sz="1100"/>
            </a:p>
          </xdr:txBody>
        </xdr:sp>
      </mc:Choice>
      <mc:Fallback xmlns="">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2596403" y="24123463"/>
              <a:ext cx="2740237"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"Layer or Stagger</a:t>
              </a:r>
              <a:r>
                <a:rPr lang="en-US" sz="1100" b="0" i="0">
                  <a:solidFill>
                    <a:schemeClr val="tx1"/>
                  </a:solidFill>
                  <a:effectLst/>
                  <a:latin typeface="Cambria Math" panose="02040503050406030204" pitchFamily="18" charset="0"/>
                  <a:ea typeface="+mn-ea"/>
                  <a:cs typeface="+mn-cs"/>
                </a:rPr>
                <a:t>" @</a:t>
              </a:r>
              <a:r>
                <a:rPr lang="en-US" sz="1100" b="0" i="0">
                  <a:latin typeface="Cambria Math" panose="02040503050406030204" pitchFamily="18" charset="0"/>
                </a:rPr>
                <a:t>&amp;</a:t>
              </a:r>
              <a:r>
                <a:rPr lang="en-US" sz="1100" b="0" i="0">
                  <a:solidFill>
                    <a:schemeClr val="tx1"/>
                  </a:solidFill>
                  <a:effectLst/>
                  <a:latin typeface="Cambria Math" panose="02040503050406030204" pitchFamily="18" charset="0"/>
                  <a:ea typeface="+mn-ea"/>
                  <a:cs typeface="+mn-cs"/>
                </a:rPr>
                <a:t>𝛿_(2,𝑇)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"Spiral</a:t>
              </a:r>
              <a:r>
                <a:rPr lang="en-US" sz="1100" b="0" i="0">
                  <a:solidFill>
                    <a:schemeClr val="tx1"/>
                  </a:solidFill>
                  <a:effectLst/>
                  <a:latin typeface="Cambria Math" panose="02040503050406030204" pitchFamily="18" charset="0"/>
                  <a:ea typeface="+mn-ea"/>
                  <a:cs typeface="+mn-cs"/>
                </a:rPr>
                <a:t>" )┤</a:t>
              </a:r>
              <a:endParaRPr lang="en-US" sz="1100"/>
            </a:p>
          </xdr:txBody>
        </xdr:sp>
      </mc:Fallback>
    </mc:AlternateContent>
    <xdr:clientData/>
  </xdr:oneCellAnchor>
  <xdr:oneCellAnchor>
    <xdr:from>
      <xdr:col>5</xdr:col>
      <xdr:colOff>89647</xdr:colOff>
      <xdr:row>16</xdr:row>
      <xdr:rowOff>100853</xdr:rowOff>
    </xdr:from>
    <xdr:ext cx="836704" cy="172227"/>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3316941" y="4572000"/>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=80%∗</m:t>
                    </m:r>
                    <m:r>
                      <a:rPr lang="en-US" sz="1100" b="0" i="1">
                        <a:latin typeface="Cambria Math" panose="02040503050406030204" pitchFamily="18" charset="0"/>
                        <a:ea typeface="Cambria Math" panose="02040503050406030204" pitchFamily="18" charset="0"/>
                      </a:rPr>
                      <m:t>𝑃</m:t>
                    </m:r>
                  </m:oMath>
                </m:oMathPara>
              </a14:m>
              <a:endParaRPr lang="en-US" sz="1100"/>
            </a:p>
          </xdr:txBody>
        </xdr:sp>
      </mc:Choice>
      <mc:Fallback xmlns="">
        <xdr:sp macro="" textlink="">
          <xdr:nvSpPr>
            <xdr:cNvPr id="16" name="TextBox 15">
              <a:extLst>
                <a:ext uri="{FF2B5EF4-FFF2-40B4-BE49-F238E27FC236}">
                  <a16:creationId xmlns:a16="http://schemas.microsoft.com/office/drawing/2014/main" id="{A4652860-AFAF-458D-B440-2BA17EEFE675}"/>
                </a:ext>
              </a:extLst>
            </xdr:cNvPr>
            <xdr:cNvSpPr txBox="1"/>
          </xdr:nvSpPr>
          <xdr:spPr>
            <a:xfrm>
              <a:off x="3316941" y="4572000"/>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𝑃_𝑠=80%∗𝑃</a:t>
              </a:r>
              <a:endParaRPr lang="en-US" sz="1100"/>
            </a:p>
          </xdr:txBody>
        </xdr:sp>
      </mc:Fallback>
    </mc:AlternateContent>
    <xdr:clientData/>
  </xdr:oneCellAnchor>
  <xdr:oneCellAnchor>
    <xdr:from>
      <xdr:col>3</xdr:col>
      <xdr:colOff>605117</xdr:colOff>
      <xdr:row>66</xdr:row>
      <xdr:rowOff>302559</xdr:rowOff>
    </xdr:from>
    <xdr:ext cx="1041375"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2610970" y="25807147"/>
              <a:ext cx="10413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𝑎𝑟𝑒𝑎</m:t>
                        </m:r>
                      </m:sub>
                    </m:sSub>
                    <m:r>
                      <a:rPr lang="en-US" sz="1100" b="0" i="1">
                        <a:latin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𝑇</m:t>
                        </m:r>
                      </m:sub>
                    </m:sSub>
                    <m:r>
                      <a:rPr lang="en-US" sz="1100" b="0" i="1">
                        <a:latin typeface="Cambria Math" panose="02040503050406030204" pitchFamily="18" charset="0"/>
                        <a:ea typeface="Cambria Math" panose="02040503050406030204" pitchFamily="18" charset="0"/>
                      </a:rPr>
                      <m:t>∗1 </m:t>
                    </m:r>
                    <m:r>
                      <m:rPr>
                        <m:nor/>
                      </m:rPr>
                      <a:rPr lang="en-US" sz="1100" b="0" i="0">
                        <a:latin typeface="Cambria Math" panose="02040503050406030204" pitchFamily="18" charset="0"/>
                        <a:ea typeface="Cambria Math" panose="02040503050406030204" pitchFamily="18" charset="0"/>
                      </a:rPr>
                      <m:t>ft</m:t>
                    </m:r>
                  </m:oMath>
                </m:oMathPara>
              </a14:m>
              <a:endParaRPr lang="en-US" sz="1100"/>
            </a:p>
          </xdr:txBody>
        </xdr:sp>
      </mc:Choice>
      <mc:Fallback xmlns="">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2610970" y="25807147"/>
              <a:ext cx="10413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𝑎𝑟𝑒𝑎</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𝛿_𝑇∗1 "ft"</a:t>
              </a:r>
              <a:endParaRPr lang="en-US" sz="1100"/>
            </a:p>
          </xdr:txBody>
        </xdr:sp>
      </mc:Fallback>
    </mc:AlternateContent>
    <xdr:clientData/>
  </xdr:oneCellAnchor>
  <xdr:oneCellAnchor>
    <xdr:from>
      <xdr:col>3</xdr:col>
      <xdr:colOff>134471</xdr:colOff>
      <xdr:row>62</xdr:row>
      <xdr:rowOff>134469</xdr:rowOff>
    </xdr:from>
    <xdr:ext cx="4694170" cy="475964"/>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2140324" y="23353057"/>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12</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den>
                    </m:f>
                    <m:nary>
                      <m:naryPr>
                        <m:chr m:val="∑"/>
                        <m:ctrlPr>
                          <a:rPr lang="en-US" sz="1100" b="0" i="1">
                            <a:latin typeface="Cambria Math" panose="02040503050406030204" pitchFamily="18" charset="0"/>
                          </a:rPr>
                        </m:ctrlPr>
                      </m:naryPr>
                      <m:sub>
                        <m:r>
                          <m:rPr>
                            <m:brk m:alnAt="23"/>
                          </m:rPr>
                          <a:rPr lang="en-US" sz="1100" b="0" i="1">
                            <a:latin typeface="Cambria Math" panose="02040503050406030204" pitchFamily="18" charset="0"/>
                          </a:rPr>
                          <m:t>𝑖</m:t>
                        </m:r>
                        <m:r>
                          <a:rPr lang="en-US" sz="1100" b="0" i="1">
                            <a:latin typeface="Cambria Math" panose="02040503050406030204" pitchFamily="18" charset="0"/>
                          </a:rPr>
                          <m:t>=1</m:t>
                        </m:r>
                      </m:sub>
                      <m:sup>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𝑁</m:t>
                            </m:r>
                          </m:sub>
                        </m:sSub>
                      </m:sup>
                      <m:e>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𝑐𝑜𝑛𝑠𝑡</m:t>
                                </m:r>
                              </m:sub>
                            </m:sSub>
                            <m:rad>
                              <m:radPr>
                                <m:degHide m:val="on"/>
                                <m:ctrlPr>
                                  <a:rPr lang="en-US" sz="1100" b="0" i="1">
                                    <a:solidFill>
                                      <a:schemeClr val="tx1"/>
                                    </a:solidFill>
                                    <a:effectLst/>
                                    <a:latin typeface="Cambria Math" panose="02040503050406030204" pitchFamily="18" charset="0"/>
                                    <a:ea typeface="+mn-ea"/>
                                    <a:cs typeface="+mn-cs"/>
                                  </a:rPr>
                                </m:ctrlPr>
                              </m:radPr>
                              <m:deg/>
                              <m:e>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𝜋</m:t>
                                        </m:r>
                                        <m:d>
                                          <m:dPr>
                                            <m:begChr m:val="["/>
                                            <m:endChr m:val="]"/>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𝐷</m:t>
                                            </m:r>
                                            <m:r>
                                              <a:rPr lang="en-US" sz="1100" b="0" i="1">
                                                <a:solidFill>
                                                  <a:schemeClr val="tx1"/>
                                                </a:solidFill>
                                                <a:effectLst/>
                                                <a:latin typeface="Cambria Math" panose="02040503050406030204" pitchFamily="18" charset="0"/>
                                                <a:ea typeface="+mn-ea"/>
                                                <a:cs typeface="+mn-cs"/>
                                              </a:rPr>
                                              <m:t>+2∗</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𝑖</m:t>
                                            </m:r>
                                            <m:r>
                                              <a:rPr lang="en-US" sz="1100" b="0" i="1">
                                                <a:solidFill>
                                                  <a:schemeClr val="tx1"/>
                                                </a:solidFill>
                                                <a:effectLst/>
                                                <a:latin typeface="Cambria Math" panose="02040503050406030204" pitchFamily="18" charset="0"/>
                                                <a:ea typeface="+mn-ea"/>
                                                <a:cs typeface="+mn-cs"/>
                                              </a:rPr>
                                              <m:t>−1)</m:t>
                                            </m:r>
                                          </m:e>
                                        </m:d>
                                      </m:e>
                                    </m:d>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m:t>
                                </m:r>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e>
                                    </m:d>
                                  </m:e>
                                  <m:sup>
                                    <m:r>
                                      <a:rPr lang="en-US" sz="1100" b="0" i="1">
                                        <a:solidFill>
                                          <a:schemeClr val="tx1"/>
                                        </a:solidFill>
                                        <a:effectLst/>
                                        <a:latin typeface="Cambria Math" panose="02040503050406030204" pitchFamily="18" charset="0"/>
                                        <a:ea typeface="+mn-ea"/>
                                        <a:cs typeface="+mn-cs"/>
                                      </a:rPr>
                                      <m:t>2</m:t>
                                    </m:r>
                                  </m:sup>
                                </m:sSup>
                              </m:e>
                            </m:rad>
                          </m:e>
                        </m:d>
                      </m:e>
                    </m:nary>
                  </m:oMath>
                </m:oMathPara>
              </a14:m>
              <a:endParaRPr lang="en-US" sz="1100"/>
            </a:p>
          </xdr:txBody>
        </xdr:sp>
      </mc:Choice>
      <mc:Fallback xmlns="">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2140324" y="23353057"/>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=1/12∗1/2 ∑_(𝑖=1)^(𝑊_𝑁)</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𝐴_𝑐𝑜𝑛𝑠𝑡</a:t>
              </a:r>
              <a:r>
                <a:rPr lang="en-US" sz="1100" b="0" i="0">
                  <a:solidFill>
                    <a:schemeClr val="tx1"/>
                  </a:solidFill>
                  <a:effectLst/>
                  <a:latin typeface="Cambria Math" panose="02040503050406030204" pitchFamily="18" charset="0"/>
                  <a:ea typeface="+mn-ea"/>
                  <a:cs typeface="+mn-cs"/>
                </a:rPr>
                <a:t> √((𝜋[𝐷+2∗𝑡_𝑙𝑎𝑦𝑒𝑟∗(𝑖−1)])^2+((1−𝛼)∗𝑤_𝑙𝑎𝑦𝑒𝑟 )^2 )] </a:t>
              </a:r>
              <a:endParaRPr lang="en-US" sz="1100"/>
            </a:p>
          </xdr:txBody>
        </xdr:sp>
      </mc:Fallback>
    </mc:AlternateContent>
    <xdr:clientData/>
  </xdr:oneCellAnchor>
  <xdr:oneCellAnchor>
    <xdr:from>
      <xdr:col>3</xdr:col>
      <xdr:colOff>601755</xdr:colOff>
      <xdr:row>55</xdr:row>
      <xdr:rowOff>276785</xdr:rowOff>
    </xdr:from>
    <xdr:ext cx="1793440" cy="383759"/>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2607608" y="19259550"/>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𝐿</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m:t>
                        </m:r>
                        <m:r>
                          <a:rPr lang="en-US" sz="1100" b="0" i="1">
                            <a:latin typeface="Cambria Math" panose="02040503050406030204" pitchFamily="18" charset="0"/>
                            <a:ea typeface="Cambria Math" panose="02040503050406030204" pitchFamily="18" charset="0"/>
                          </a:rPr>
                          <m:t>𝛼</m:t>
                        </m:r>
                      </m:den>
                    </m:f>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𝐿</m:t>
                            </m:r>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den>
                        </m:f>
                        <m:r>
                          <a:rPr lang="en-US" sz="1100" b="0" i="1">
                            <a:latin typeface="Cambria Math" panose="02040503050406030204" pitchFamily="18" charset="0"/>
                            <a:ea typeface="Cambria Math" panose="02040503050406030204" pitchFamily="18" charset="0"/>
                          </a:rPr>
                          <m:t>−1</m:t>
                        </m:r>
                      </m:e>
                    </m:d>
                    <m:r>
                      <a:rPr lang="en-US" sz="1100" b="0" i="1">
                        <a:latin typeface="Cambria Math" panose="02040503050406030204" pitchFamily="18" charset="0"/>
                        <a:ea typeface="Cambria Math" panose="02040503050406030204" pitchFamily="18" charset="0"/>
                      </a:rPr>
                      <m:t>+1</m:t>
                    </m:r>
                  </m:oMath>
                </m:oMathPara>
              </a14:m>
              <a:endParaRPr lang="en-US" sz="1100"/>
            </a:p>
          </xdr:txBody>
        </xdr:sp>
      </mc:Choice>
      <mc:Fallback xmlns="">
        <xdr:sp macro="" textlink="">
          <xdr:nvSpPr>
            <xdr:cNvPr id="23" name="TextBox 22">
              <a:extLst>
                <a:ext uri="{FF2B5EF4-FFF2-40B4-BE49-F238E27FC236}">
                  <a16:creationId xmlns:a16="http://schemas.microsoft.com/office/drawing/2014/main" id="{144C4EF9-B2D2-ADF6-6474-933E80815FF7}"/>
                </a:ext>
              </a:extLst>
            </xdr:cNvPr>
            <xdr:cNvSpPr txBox="1"/>
          </xdr:nvSpPr>
          <xdr:spPr>
            <a:xfrm>
              <a:off x="2607608" y="19259550"/>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𝑊_𝐿=1/(1−</a:t>
              </a:r>
              <a:r>
                <a:rPr lang="en-US" sz="1100" b="0" i="0">
                  <a:latin typeface="Cambria Math" panose="02040503050406030204" pitchFamily="18" charset="0"/>
                  <a:ea typeface="Cambria Math" panose="02040503050406030204" pitchFamily="18" charset="0"/>
                </a:rPr>
                <a:t>𝛼) (𝐿/𝑤_𝑙𝑎𝑦𝑒𝑟 −1)+1</a:t>
              </a:r>
              <a:endParaRPr lang="en-US" sz="1100"/>
            </a:p>
          </xdr:txBody>
        </xdr:sp>
      </mc:Fallback>
    </mc:AlternateContent>
    <xdr:clientData/>
  </xdr:oneCellAnchor>
  <xdr:oneCellAnchor>
    <xdr:from>
      <xdr:col>3</xdr:col>
      <xdr:colOff>168087</xdr:colOff>
      <xdr:row>61</xdr:row>
      <xdr:rowOff>224117</xdr:rowOff>
    </xdr:from>
    <xdr:ext cx="1579600" cy="374270"/>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300-00001C000000}"/>
                </a:ext>
                <a:ext uri="{147F2762-F138-4A5C-976F-8EAC2B608ADB}">
                  <a16:predDERef xmlns:a16="http://schemas.microsoft.com/office/drawing/2014/main" pred="{00000000-0008-0000-0300-000017000000}"/>
                </a:ext>
              </a:extLst>
            </xdr:cNvPr>
            <xdr:cNvSpPr txBox="1"/>
          </xdr:nvSpPr>
          <xdr:spPr>
            <a:xfrm>
              <a:off x="2187387" y="23122217"/>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𝐴</m:t>
                        </m:r>
                      </m:e>
                      <m:sub>
                        <m:r>
                          <a:rPr lang="en-US" sz="1100" b="0" i="1">
                            <a:solidFill>
                              <a:schemeClr val="tx1"/>
                            </a:solidFill>
                            <a:effectLst/>
                            <a:latin typeface="Cambria Math" panose="02040503050406030204" pitchFamily="18" charset="0"/>
                            <a:ea typeface="Cambria Math" panose="02040503050406030204" pitchFamily="18" charset="0"/>
                            <a:cs typeface="+mn-cs"/>
                          </a:rPr>
                          <m:t>𝑐𝑜𝑛𝑠𝑡</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𝐿</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+4</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num>
                      <m:den>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den>
                    </m:f>
                  </m:oMath>
                </m:oMathPara>
              </a14:m>
              <a:endParaRPr lang="en-US" sz="1100"/>
            </a:p>
          </xdr:txBody>
        </xdr:sp>
      </mc:Choice>
      <mc:Fallback xmlns="">
        <xdr:sp macro="" textlink="">
          <xdr:nvSpPr>
            <xdr:cNvPr id="28" name="TextBox 27">
              <a:extLst>
                <a:ext uri="{FF2B5EF4-FFF2-40B4-BE49-F238E27FC236}">
                  <a16:creationId xmlns:a16="http://schemas.microsoft.com/office/drawing/2014/main" id="{7D4AC010-09A4-4AAF-BAF2-4BC57F59FCA7}"/>
                </a:ext>
              </a:extLst>
            </xdr:cNvPr>
            <xdr:cNvSpPr txBox="1"/>
          </xdr:nvSpPr>
          <xdr:spPr>
            <a:xfrm>
              <a:off x="2173940" y="22680705"/>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𝐴_</a:t>
              </a:r>
              <a:r>
                <a:rPr lang="en-US" sz="1100" b="0" i="0">
                  <a:solidFill>
                    <a:schemeClr val="tx1"/>
                  </a:solidFill>
                  <a:effectLst/>
                  <a:latin typeface="Cambria Math" panose="02040503050406030204" pitchFamily="18" charset="0"/>
                  <a:ea typeface="Cambria Math" panose="02040503050406030204" pitchFamily="18" charset="0"/>
                  <a:cs typeface="+mn-cs"/>
                </a:rPr>
                <a:t>𝑐𝑜𝑛𝑠𝑡</a:t>
              </a:r>
              <a:r>
                <a:rPr lang="en-US" sz="1100" b="0" i="0">
                  <a:latin typeface="Cambria Math" panose="02040503050406030204" pitchFamily="18" charset="0"/>
                </a:rPr>
                <a:t>=</a:t>
              </a:r>
              <a:r>
                <a:rPr lang="en-US" sz="1100" b="0" i="0">
                  <a:solidFill>
                    <a:schemeClr val="tx1"/>
                  </a:solidFill>
                  <a:effectLst/>
                  <a:latin typeface="+mn-lt"/>
                  <a:ea typeface="+mn-ea"/>
                  <a:cs typeface="+mn-cs"/>
                </a:rPr>
                <a:t>(𝐿_𝑑𝑒𝑓𝑒𝑐𝑡+4𝑤_𝑙𝑎𝑦𝑒𝑟)/((1−𝛼)∗𝑤_𝑙𝑎𝑦𝑒𝑟 )</a:t>
              </a:r>
              <a:endParaRPr lang="en-US" sz="1100"/>
            </a:p>
          </xdr:txBody>
        </xdr:sp>
      </mc:Fallback>
    </mc:AlternateContent>
    <xdr:clientData/>
  </xdr:oneCellAnchor>
  <xdr:oneCellAnchor>
    <xdr:from>
      <xdr:col>8</xdr:col>
      <xdr:colOff>187698</xdr:colOff>
      <xdr:row>61</xdr:row>
      <xdr:rowOff>283509</xdr:rowOff>
    </xdr:from>
    <xdr:ext cx="401007" cy="176972"/>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0300-000021000000}"/>
                </a:ext>
              </a:extLst>
            </xdr:cNvPr>
            <xdr:cNvSpPr txBox="1"/>
          </xdr:nvSpPr>
          <xdr:spPr>
            <a:xfrm>
              <a:off x="5387227" y="22740097"/>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oMath>
                </m:oMathPara>
              </a14:m>
              <a:endParaRPr lang="en-US" sz="1100"/>
            </a:p>
          </xdr:txBody>
        </xdr:sp>
      </mc:Choice>
      <mc:Fallback xmlns="">
        <xdr:sp macro="" textlink="">
          <xdr:nvSpPr>
            <xdr:cNvPr id="33" name="TextBox 32">
              <a:extLst>
                <a:ext uri="{FF2B5EF4-FFF2-40B4-BE49-F238E27FC236}">
                  <a16:creationId xmlns:a16="http://schemas.microsoft.com/office/drawing/2014/main" id="{800D0BE6-5BFE-4CCB-AC42-19DB6A9B3E48}"/>
                </a:ext>
              </a:extLst>
            </xdr:cNvPr>
            <xdr:cNvSpPr txBox="1"/>
          </xdr:nvSpPr>
          <xdr:spPr>
            <a:xfrm>
              <a:off x="5387227" y="22740097"/>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endParaRPr lang="en-US" sz="1100"/>
            </a:p>
          </xdr:txBody>
        </xdr:sp>
      </mc:Fallback>
    </mc:AlternateContent>
    <xdr:clientData/>
  </xdr:oneCellAnchor>
  <xdr:oneCellAnchor>
    <xdr:from>
      <xdr:col>4</xdr:col>
      <xdr:colOff>0</xdr:colOff>
      <xdr:row>65</xdr:row>
      <xdr:rowOff>291353</xdr:rowOff>
    </xdr:from>
    <xdr:ext cx="705000" cy="349519"/>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2622176" y="25795941"/>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Cambria Math" panose="02040503050406030204" pitchFamily="18" charset="0"/>
                            <a:cs typeface="+mn-cs"/>
                          </a:rPr>
                          <m:t>𝑓𝑡</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𝑇</m:t>
                            </m:r>
                          </m:sub>
                        </m:sSub>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𝐿</m:t>
                            </m:r>
                          </m:sub>
                        </m:sSub>
                      </m:den>
                    </m:f>
                  </m:oMath>
                </m:oMathPara>
              </a14:m>
              <a:endParaRPr lang="en-US" sz="1100"/>
            </a:p>
          </xdr:txBody>
        </xdr:sp>
      </mc:Choice>
      <mc:Fallback xmlns="">
        <xdr:sp macro="" textlink="">
          <xdr:nvSpPr>
            <xdr:cNvPr id="34" name="TextBox 33">
              <a:extLst>
                <a:ext uri="{FF2B5EF4-FFF2-40B4-BE49-F238E27FC236}">
                  <a16:creationId xmlns:a16="http://schemas.microsoft.com/office/drawing/2014/main" id="{A615A90D-CB6C-4177-9383-F5BE0B4A38AA}"/>
                </a:ext>
              </a:extLst>
            </xdr:cNvPr>
            <xdr:cNvSpPr txBox="1"/>
          </xdr:nvSpPr>
          <xdr:spPr>
            <a:xfrm>
              <a:off x="2622176" y="25795941"/>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𝑇/𝑓𝑡</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𝛿_𝑇/𝑊_𝐿 </a:t>
              </a:r>
              <a:endParaRPr lang="en-US" sz="1100"/>
            </a:p>
          </xdr:txBody>
        </xdr:sp>
      </mc:Fallback>
    </mc:AlternateContent>
    <xdr:clientData/>
  </xdr:oneCellAnchor>
  <xdr:oneCellAnchor>
    <xdr:from>
      <xdr:col>4</xdr:col>
      <xdr:colOff>112058</xdr:colOff>
      <xdr:row>20</xdr:row>
      <xdr:rowOff>67236</xdr:rowOff>
    </xdr:from>
    <xdr:ext cx="455317" cy="183127"/>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2734234" y="5927912"/>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22" name="TextBox 21">
              <a:extLst>
                <a:ext uri="{FF2B5EF4-FFF2-40B4-BE49-F238E27FC236}">
                  <a16:creationId xmlns:a16="http://schemas.microsoft.com/office/drawing/2014/main" id="{EAEA1DE3-75AB-4EA3-BD0E-D4DC1FA02330}"/>
                </a:ext>
              </a:extLst>
            </xdr:cNvPr>
            <xdr:cNvSpPr txBox="1"/>
          </xdr:nvSpPr>
          <xdr:spPr>
            <a:xfrm>
              <a:off x="2734234" y="5927912"/>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633243</xdr:colOff>
      <xdr:row>58</xdr:row>
      <xdr:rowOff>149263</xdr:rowOff>
    </xdr:from>
    <xdr:ext cx="1363309" cy="544957"/>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300-000019000000}"/>
                </a:ext>
              </a:extLst>
            </xdr:cNvPr>
            <xdr:cNvSpPr txBox="1"/>
          </xdr:nvSpPr>
          <xdr:spPr>
            <a:xfrm>
              <a:off x="2773567" y="21137881"/>
              <a:ext cx="1363309" cy="544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sub>
                    </m:sSub>
                    <m:r>
                      <a:rPr lang="en-US" sz="1100" b="0" i="0">
                        <a:solidFill>
                          <a:sysClr val="windowText" lastClr="000000"/>
                        </a:solidFill>
                        <a:latin typeface="Cambria Math" panose="02040503050406030204" pitchFamily="18" charset="0"/>
                        <a:ea typeface="Cambria Math" panose="02040503050406030204" pitchFamily="18" charset="0"/>
                      </a:rPr>
                      <m:t>= </m:t>
                    </m:r>
                    <m:r>
                      <a:rPr lang="en-US" sz="1100" i="1">
                        <a:solidFill>
                          <a:sysClr val="windowText" lastClr="000000"/>
                        </a:solidFill>
                        <a:latin typeface="Cambria Math" panose="02040503050406030204" pitchFamily="18" charset="0"/>
                        <a:ea typeface="Cambria Math" panose="02040503050406030204" pitchFamily="18" charset="0"/>
                      </a:rPr>
                      <m:t>𝜋</m:t>
                    </m:r>
                    <m:d>
                      <m:dPr>
                        <m:ctrlPr>
                          <a:rPr lang="en-US" sz="11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sz="1100" b="0" i="1">
                                <a:solidFill>
                                  <a:schemeClr val="tx1"/>
                                </a:solidFill>
                                <a:effectLst/>
                                <a:latin typeface="Cambria Math" panose="02040503050406030204" pitchFamily="18" charset="0"/>
                                <a:ea typeface="Cambria Math" panose="02040503050406030204" pitchFamily="18" charset="0"/>
                                <a:cs typeface="+mn-cs"/>
                              </a:rPr>
                            </m:ctrlPr>
                          </m:fPr>
                          <m:num>
                            <m:f>
                              <m:fPr>
                                <m:ctrlPr>
                                  <a:rPr lang="en-US" sz="1100" b="0" i="1">
                                    <a:solidFill>
                                      <a:schemeClr val="tx1"/>
                                    </a:solidFill>
                                    <a:effectLst/>
                                    <a:latin typeface="Cambria Math" panose="02040503050406030204" pitchFamily="18" charset="0"/>
                                    <a:ea typeface="Cambria Math" panose="02040503050406030204" pitchFamily="18" charset="0"/>
                                    <a:cs typeface="+mn-cs"/>
                                  </a:rPr>
                                </m:ctrlPr>
                              </m:fPr>
                              <m:num>
                                <m:sSup>
                                  <m:sSupPr>
                                    <m:ctrlPr>
                                      <a:rPr lang="en-US" sz="1100" b="0" i="1">
                                        <a:solidFill>
                                          <a:schemeClr val="tx1"/>
                                        </a:solidFill>
                                        <a:effectLst/>
                                        <a:latin typeface="Cambria Math" panose="02040503050406030204" pitchFamily="18" charset="0"/>
                                        <a:ea typeface="Cambria Math" panose="02040503050406030204" pitchFamily="18" charset="0"/>
                                        <a:cs typeface="+mn-cs"/>
                                      </a:rPr>
                                    </m:ctrlPr>
                                  </m:sSupPr>
                                  <m:e>
                                    <m:r>
                                      <a:rPr lang="en-US" sz="1100" b="0" i="1">
                                        <a:solidFill>
                                          <a:schemeClr val="tx1"/>
                                        </a:solidFill>
                                        <a:effectLst/>
                                        <a:latin typeface="Cambria Math" panose="02040503050406030204" pitchFamily="18" charset="0"/>
                                        <a:ea typeface="Cambria Math" panose="02040503050406030204" pitchFamily="18" charset="0"/>
                                        <a:cs typeface="+mn-cs"/>
                                      </a:rPr>
                                      <m:t>𝐷</m:t>
                                    </m:r>
                                    <m:r>
                                      <a:rPr lang="en-US" sz="1100" b="0" i="1" baseline="-25000">
                                        <a:solidFill>
                                          <a:schemeClr val="tx1"/>
                                        </a:solidFill>
                                        <a:effectLst/>
                                        <a:latin typeface="Cambria Math" panose="02040503050406030204" pitchFamily="18" charset="0"/>
                                        <a:ea typeface="Cambria Math" panose="02040503050406030204" pitchFamily="18" charset="0"/>
                                        <a:cs typeface="+mn-cs"/>
                                      </a:rPr>
                                      <m:t>𝑅</m:t>
                                    </m:r>
                                  </m:e>
                                  <m:sup>
                                    <m:r>
                                      <a:rPr lang="en-US" sz="1100" i="0">
                                        <a:solidFill>
                                          <a:sysClr val="windowText" lastClr="000000"/>
                                        </a:solidFill>
                                        <a:latin typeface="Cambria Math" panose="02040503050406030204" pitchFamily="18" charset="0"/>
                                        <a:ea typeface="Cambria Math" panose="02040503050406030204" pitchFamily="18" charset="0"/>
                                      </a:rPr>
                                      <m:t>2</m:t>
                                    </m:r>
                                  </m:sup>
                                </m:sSup>
                              </m:num>
                              <m:den>
                                <m:r>
                                  <a:rPr lang="en-US" sz="1100" i="0">
                                    <a:solidFill>
                                      <a:sysClr val="windowText" lastClr="000000"/>
                                    </a:solidFill>
                                    <a:latin typeface="Cambria Math" panose="02040503050406030204" pitchFamily="18" charset="0"/>
                                    <a:ea typeface="Cambria Math" panose="02040503050406030204" pitchFamily="18" charset="0"/>
                                  </a:rPr>
                                  <m:t>4</m:t>
                                </m:r>
                              </m:den>
                            </m:f>
                            <m:r>
                              <a:rPr lang="en-US" sz="1100" i="0">
                                <a:solidFill>
                                  <a:sysClr val="windowText" lastClr="000000"/>
                                </a:solidFill>
                                <a:latin typeface="Cambria Math" panose="02040503050406030204" pitchFamily="18" charset="0"/>
                                <a:ea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𝐷</m:t>
                                    </m:r>
                                  </m:e>
                                  <m:sup>
                                    <m:r>
                                      <a:rPr lang="en-US" sz="1100" i="0">
                                        <a:solidFill>
                                          <a:sysClr val="windowText" lastClr="000000"/>
                                        </a:solidFill>
                                        <a:latin typeface="Cambria Math" panose="02040503050406030204" pitchFamily="18" charset="0"/>
                                        <a:ea typeface="Cambria Math" panose="02040503050406030204" pitchFamily="18" charset="0"/>
                                      </a:rPr>
                                      <m:t>2</m:t>
                                    </m:r>
                                  </m:sup>
                                </m:sSup>
                              </m:num>
                              <m:den>
                                <m:r>
                                  <a:rPr lang="en-US" sz="1100" i="0">
                                    <a:solidFill>
                                      <a:sysClr val="windowText" lastClr="000000"/>
                                    </a:solidFill>
                                    <a:latin typeface="Cambria Math" panose="02040503050406030204" pitchFamily="18" charset="0"/>
                                    <a:ea typeface="Cambria Math" panose="02040503050406030204" pitchFamily="18" charset="0"/>
                                  </a:rPr>
                                  <m:t>4</m:t>
                                </m:r>
                              </m:den>
                            </m:f>
                          </m:num>
                          <m:den>
                            <m:r>
                              <a:rPr lang="en-US" sz="1100" b="0" i="1">
                                <a:solidFill>
                                  <a:sysClr val="windowText" lastClr="000000"/>
                                </a:solidFill>
                                <a:latin typeface="Cambria Math" panose="02040503050406030204" pitchFamily="18" charset="0"/>
                                <a:ea typeface="Cambria Math" panose="02040503050406030204" pitchFamily="18" charset="0"/>
                              </a:rPr>
                              <m:t>𝑡</m:t>
                            </m:r>
                            <m:r>
                              <a:rPr lang="en-US" sz="1100" b="0" i="1" baseline="-25000">
                                <a:solidFill>
                                  <a:sysClr val="windowText" lastClr="000000"/>
                                </a:solidFill>
                                <a:latin typeface="Cambria Math" panose="02040503050406030204" pitchFamily="18" charset="0"/>
                                <a:ea typeface="Cambria Math" panose="02040503050406030204" pitchFamily="18" charset="0"/>
                              </a:rPr>
                              <m:t>𝑙𝑎𝑦𝑒𝑟</m:t>
                            </m:r>
                          </m:den>
                        </m:f>
                      </m:e>
                    </m:d>
                  </m:oMath>
                </m:oMathPara>
              </a14:m>
              <a:endParaRPr lang="en-US" sz="1100">
                <a:solidFill>
                  <a:sysClr val="windowText" lastClr="000000"/>
                </a:solidFill>
                <a:latin typeface="Cambria Math" panose="02040503050406030204" pitchFamily="18" charset="0"/>
                <a:ea typeface="Cambria Math" panose="02040503050406030204" pitchFamily="18" charset="0"/>
              </a:endParaRPr>
            </a:p>
          </xdr:txBody>
        </xdr:sp>
      </mc:Choice>
      <mc:Fallback xmlns="">
        <xdr:sp macro="" textlink="">
          <xdr:nvSpPr>
            <xdr:cNvPr id="25" name="TextBox 24">
              <a:extLst>
                <a:ext uri="{FF2B5EF4-FFF2-40B4-BE49-F238E27FC236}">
                  <a16:creationId xmlns:a16="http://schemas.microsoft.com/office/drawing/2014/main" id="{C26956EE-A994-4332-AC5A-AEAB30BA5870}"/>
                </a:ext>
              </a:extLst>
            </xdr:cNvPr>
            <xdr:cNvSpPr txBox="1"/>
          </xdr:nvSpPr>
          <xdr:spPr>
            <a:xfrm>
              <a:off x="2773567" y="21137881"/>
              <a:ext cx="1363309" cy="544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𝛿_1</a:t>
              </a:r>
              <a:r>
                <a:rPr lang="en-US" sz="1100" b="0" i="0">
                  <a:solidFill>
                    <a:sysClr val="windowText" lastClr="000000"/>
                  </a:solidFill>
                  <a:latin typeface="Cambria Math" panose="02040503050406030204" pitchFamily="18" charset="0"/>
                  <a:ea typeface="Cambria Math" panose="02040503050406030204" pitchFamily="18" charset="0"/>
                </a:rPr>
                <a:t>= </a:t>
              </a:r>
              <a:r>
                <a:rPr lang="en-US" sz="1100" i="0">
                  <a:solidFill>
                    <a:sysClr val="windowText" lastClr="000000"/>
                  </a:solidFill>
                  <a:latin typeface="Cambria Math" panose="02040503050406030204" pitchFamily="18" charset="0"/>
                  <a:ea typeface="Cambria Math" panose="02040503050406030204" pitchFamily="18" charset="0"/>
                </a:rPr>
                <a:t>𝜋((〖</a:t>
              </a:r>
              <a:r>
                <a:rPr lang="en-US" sz="1100" b="0" i="0">
                  <a:solidFill>
                    <a:schemeClr val="tx1"/>
                  </a:solidFill>
                  <a:effectLst/>
                  <a:latin typeface="Cambria Math" panose="02040503050406030204" pitchFamily="18" charset="0"/>
                  <a:ea typeface="Cambria Math" panose="02040503050406030204" pitchFamily="18" charset="0"/>
                  <a:cs typeface="+mn-cs"/>
                </a:rPr>
                <a:t>𝐷</a:t>
              </a:r>
              <a:r>
                <a:rPr lang="en-US" sz="1100" b="0" i="0" baseline="-25000">
                  <a:solidFill>
                    <a:schemeClr val="tx1"/>
                  </a:solidFill>
                  <a:effectLst/>
                  <a:latin typeface="Cambria Math" panose="02040503050406030204" pitchFamily="18" charset="0"/>
                  <a:ea typeface="Cambria Math" panose="02040503050406030204" pitchFamily="18" charset="0"/>
                  <a:cs typeface="+mn-cs"/>
                </a:rPr>
                <a:t>𝑅</a:t>
              </a:r>
              <a:r>
                <a:rPr lang="en-US" sz="1100" b="0" i="0" baseline="-25000">
                  <a:solidFill>
                    <a:sysClr val="windowText" lastClr="000000"/>
                  </a:solidFill>
                  <a:effectLst/>
                  <a:latin typeface="Cambria Math" panose="02040503050406030204" pitchFamily="18" charset="0"/>
                  <a:ea typeface="Cambria Math" panose="02040503050406030204" pitchFamily="18" charset="0"/>
                  <a:cs typeface="+mn-cs"/>
                </a:rPr>
                <a:t>〗^</a:t>
              </a:r>
              <a:r>
                <a:rPr lang="en-US" sz="1100" i="0">
                  <a:solidFill>
                    <a:sysClr val="windowText" lastClr="000000"/>
                  </a:solidFill>
                  <a:latin typeface="Cambria Math" panose="02040503050406030204" pitchFamily="18" charset="0"/>
                  <a:ea typeface="Cambria Math" panose="02040503050406030204" pitchFamily="18" charset="0"/>
                </a:rPr>
                <a:t>2/4−</a:t>
              </a:r>
              <a:r>
                <a:rPr lang="en-US" sz="1100" b="0" i="0">
                  <a:solidFill>
                    <a:schemeClr val="tx1"/>
                  </a:solidFill>
                  <a:effectLst/>
                  <a:latin typeface="+mn-lt"/>
                  <a:ea typeface="+mn-ea"/>
                  <a:cs typeface="+mn-cs"/>
                </a:rPr>
                <a:t>𝐷</a:t>
              </a:r>
              <a:r>
                <a:rPr lang="en-US" sz="1100" b="0" i="0">
                  <a:solidFill>
                    <a:sysClr val="windowText" lastClr="000000"/>
                  </a:solidFill>
                  <a:effectLst/>
                  <a:latin typeface="Cambria Math" panose="02040503050406030204" pitchFamily="18" charset="0"/>
                  <a:ea typeface="Cambria Math" panose="02040503050406030204" pitchFamily="18" charset="0"/>
                  <a:cs typeface="+mn-cs"/>
                </a:rPr>
                <a:t>^</a:t>
              </a:r>
              <a:r>
                <a:rPr lang="en-US" sz="1100" i="0">
                  <a:solidFill>
                    <a:sysClr val="windowText" lastClr="000000"/>
                  </a:solidFill>
                  <a:latin typeface="Cambria Math" panose="02040503050406030204" pitchFamily="18" charset="0"/>
                  <a:ea typeface="Cambria Math" panose="02040503050406030204" pitchFamily="18" charset="0"/>
                </a:rPr>
                <a:t>2/4)/</a:t>
              </a:r>
              <a:r>
                <a:rPr lang="en-US" sz="1100" b="0" i="0">
                  <a:solidFill>
                    <a:sysClr val="windowText" lastClr="000000"/>
                  </a:solidFill>
                  <a:latin typeface="Cambria Math" panose="02040503050406030204" pitchFamily="18" charset="0"/>
                  <a:ea typeface="Cambria Math" panose="02040503050406030204" pitchFamily="18" charset="0"/>
                </a:rPr>
                <a:t>𝑡</a:t>
              </a:r>
              <a:r>
                <a:rPr lang="en-US" sz="1100" b="0" i="0" baseline="-25000">
                  <a:solidFill>
                    <a:sysClr val="windowText" lastClr="000000"/>
                  </a:solidFill>
                  <a:latin typeface="Cambria Math" panose="02040503050406030204" pitchFamily="18" charset="0"/>
                  <a:ea typeface="Cambria Math" panose="02040503050406030204" pitchFamily="18" charset="0"/>
                </a:rPr>
                <a:t>𝑙𝑎𝑦𝑒𝑟)</a:t>
              </a:r>
              <a:endParaRPr lang="en-US" sz="1100">
                <a:solidFill>
                  <a:sysClr val="windowText" lastClr="000000"/>
                </a:solidFill>
                <a:latin typeface="Cambria Math" panose="02040503050406030204" pitchFamily="18" charset="0"/>
                <a:ea typeface="Cambria Math" panose="02040503050406030204" pitchFamily="18" charset="0"/>
              </a:endParaRPr>
            </a:p>
          </xdr:txBody>
        </xdr:sp>
      </mc:Fallback>
    </mc:AlternateContent>
    <xdr:clientData/>
  </xdr:oneCellAnchor>
  <xdr:oneCellAnchor>
    <xdr:from>
      <xdr:col>4</xdr:col>
      <xdr:colOff>47625</xdr:colOff>
      <xdr:row>39</xdr:row>
      <xdr:rowOff>76200</xdr:rowOff>
    </xdr:from>
    <xdr:ext cx="182999" cy="1722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2856139" y="12213771"/>
              <a:ext cx="182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rPr>
                      <m:t>𝐷</m:t>
                    </m:r>
                    <m:r>
                      <a:rPr lang="en-US" sz="1100" b="0" i="1" baseline="-25000">
                        <a:latin typeface="Cambria Math" panose="02040503050406030204" pitchFamily="18" charset="0"/>
                      </a:rPr>
                      <m:t>𝑅</m:t>
                    </m:r>
                  </m:oMath>
                </m:oMathPara>
              </a14:m>
              <a:endParaRPr lang="en-US" sz="1100" baseline="-25000"/>
            </a:p>
          </xdr:txBody>
        </xdr:sp>
      </mc:Choice>
      <mc:Fallback xmlns="">
        <xdr:sp macro="" textlink="">
          <xdr:nvSpPr>
            <xdr:cNvPr id="35" name="TextBox 34">
              <a:extLst>
                <a:ext uri="{FF2B5EF4-FFF2-40B4-BE49-F238E27FC236}">
                  <a16:creationId xmlns:a16="http://schemas.microsoft.com/office/drawing/2014/main" id="{603E4B9B-1FD8-430F-9B06-3FE230F16988}"/>
                </a:ext>
              </a:extLst>
            </xdr:cNvPr>
            <xdr:cNvSpPr txBox="1"/>
          </xdr:nvSpPr>
          <xdr:spPr>
            <a:xfrm>
              <a:off x="2856139" y="12213771"/>
              <a:ext cx="182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rPr>
                <a:t>𝐷</a:t>
              </a:r>
              <a:r>
                <a:rPr lang="en-US" sz="1100" b="0" i="0" baseline="-25000">
                  <a:latin typeface="Cambria Math" panose="02040503050406030204" pitchFamily="18" charset="0"/>
                </a:rPr>
                <a:t>𝑅</a:t>
              </a:r>
              <a:endParaRPr lang="en-US" sz="1100" baseline="-25000"/>
            </a:p>
          </xdr:txBody>
        </xdr:sp>
      </mc:Fallback>
    </mc:AlternateContent>
    <xdr:clientData/>
  </xdr:oneCellAnchor>
  <xdr:oneCellAnchor>
    <xdr:from>
      <xdr:col>4</xdr:col>
      <xdr:colOff>28903</xdr:colOff>
      <xdr:row>67</xdr:row>
      <xdr:rowOff>180351</xdr:rowOff>
    </xdr:from>
    <xdr:ext cx="2313903" cy="437492"/>
    <mc:AlternateContent xmlns:mc="http://schemas.openxmlformats.org/markup-compatibility/2006" xmlns:a14="http://schemas.microsoft.com/office/drawing/2010/main">
      <mc:Choice Requires="a14">
        <xdr:sp macro="" textlink="">
          <xdr:nvSpPr>
            <xdr:cNvPr id="59" name="TextBox 58">
              <a:extLst>
                <a:ext uri="{FF2B5EF4-FFF2-40B4-BE49-F238E27FC236}">
                  <a16:creationId xmlns:a16="http://schemas.microsoft.com/office/drawing/2014/main" id="{00000000-0008-0000-0300-00003B000000}"/>
                </a:ext>
              </a:extLst>
            </xdr:cNvPr>
            <xdr:cNvSpPr txBox="1"/>
          </xdr:nvSpPr>
          <xdr:spPr>
            <a:xfrm>
              <a:off x="2840420" y="27461265"/>
              <a:ext cx="2313903" cy="437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ysClr val="windowText" lastClr="000000"/>
                            </a:solidFill>
                            <a:latin typeface="Cambria Math" panose="02040503050406030204" pitchFamily="18" charset="0"/>
                          </a:rPr>
                        </m:ctrlPr>
                      </m:sSubPr>
                      <m:e>
                        <m:r>
                          <a:rPr lang="en-US" sz="1100" i="1">
                            <a:solidFill>
                              <a:sysClr val="windowText" lastClr="000000"/>
                            </a:solidFill>
                            <a:latin typeface="Cambria Math" panose="02040503050406030204" pitchFamily="18" charset="0"/>
                          </a:rPr>
                          <m:t>𝑅</m:t>
                        </m:r>
                      </m:e>
                      <m:sub>
                        <m:r>
                          <a:rPr lang="en-US" sz="1100" i="1">
                            <a:solidFill>
                              <a:sysClr val="windowText" lastClr="000000"/>
                            </a:solidFill>
                            <a:latin typeface="Cambria Math" panose="02040503050406030204" pitchFamily="18" charset="0"/>
                          </a:rPr>
                          <m:t>𝑝</m:t>
                        </m:r>
                        <m:r>
                          <a:rPr lang="en-US" sz="1100" b="0" i="1">
                            <a:solidFill>
                              <a:sysClr val="windowText" lastClr="000000"/>
                            </a:solidFill>
                            <a:latin typeface="Cambria Math" panose="02040503050406030204" pitchFamily="18" charset="0"/>
                          </a:rPr>
                          <m:t>𝑟𝑖𝑚𝑒𝑟</m:t>
                        </m:r>
                      </m:sub>
                    </m:sSub>
                    <m:r>
                      <a:rPr lang="en-US" sz="1100" i="0">
                        <a:solidFill>
                          <a:sysClr val="windowText" lastClr="000000"/>
                        </a:solidFill>
                        <a:latin typeface="Cambria Math" panose="02040503050406030204" pitchFamily="18" charset="0"/>
                      </a:rPr>
                      <m:t>=</m:t>
                    </m:r>
                    <m:d>
                      <m:dPr>
                        <m:ctrlPr>
                          <a:rPr lang="en-US" sz="1100" i="1">
                            <a:solidFill>
                              <a:sysClr val="windowText" lastClr="000000"/>
                            </a:solidFill>
                            <a:latin typeface="Cambria Math" panose="02040503050406030204" pitchFamily="18" charset="0"/>
                          </a:rPr>
                        </m:ctrlPr>
                      </m:dPr>
                      <m:e>
                        <m:f>
                          <m:fPr>
                            <m:ctrlPr>
                              <a:rPr lang="en-US" sz="1100" i="1">
                                <a:solidFill>
                                  <a:sysClr val="windowText" lastClr="000000"/>
                                </a:solidFill>
                                <a:latin typeface="Cambria Math" panose="02040503050406030204" pitchFamily="18" charset="0"/>
                              </a:rPr>
                            </m:ctrlPr>
                          </m:fPr>
                          <m:num>
                            <m:d>
                              <m:dPr>
                                <m:ctrlPr>
                                  <a:rPr lang="en-US" sz="1100" i="1">
                                    <a:solidFill>
                                      <a:sysClr val="windowText" lastClr="000000"/>
                                    </a:solidFill>
                                    <a:latin typeface="Cambria Math" panose="02040503050406030204" pitchFamily="18" charset="0"/>
                                  </a:rPr>
                                </m:ctrlPr>
                              </m:dPr>
                              <m:e>
                                <m:r>
                                  <a:rPr lang="en-US" sz="1100" i="1">
                                    <a:solidFill>
                                      <a:sysClr val="windowText" lastClr="000000"/>
                                    </a:solidFill>
                                    <a:latin typeface="Cambria Math" panose="02040503050406030204" pitchFamily="18" charset="0"/>
                                  </a:rPr>
                                  <m:t>𝜋</m:t>
                                </m:r>
                                <m:r>
                                  <a:rPr lang="en-US" sz="1100" i="1">
                                    <a:solidFill>
                                      <a:sysClr val="windowText" lastClr="000000"/>
                                    </a:solidFill>
                                    <a:latin typeface="Cambria Math" panose="02040503050406030204" pitchFamily="18" charset="0"/>
                                  </a:rPr>
                                  <m:t>𝐷</m:t>
                                </m:r>
                              </m:e>
                            </m:d>
                            <m:r>
                              <a:rPr lang="en-US" sz="1100" i="0">
                                <a:solidFill>
                                  <a:sysClr val="windowText" lastClr="000000"/>
                                </a:solidFill>
                                <a:latin typeface="Cambria Math" panose="02040503050406030204" pitchFamily="18" charset="0"/>
                              </a:rPr>
                              <m:t>−</m:t>
                            </m:r>
                            <m:d>
                              <m:dPr>
                                <m:ctrlPr>
                                  <a:rPr lang="en-US" sz="1100" i="1">
                                    <a:solidFill>
                                      <a:sysClr val="windowText" lastClr="000000"/>
                                    </a:solidFill>
                                    <a:latin typeface="Cambria Math" panose="02040503050406030204" pitchFamily="18" charset="0"/>
                                  </a:rPr>
                                </m:ctrlPr>
                              </m:dPr>
                              <m:e>
                                <m:r>
                                  <a:rPr lang="en-US" sz="1100" i="1">
                                    <a:solidFill>
                                      <a:sysClr val="windowText" lastClr="000000"/>
                                    </a:solidFill>
                                    <a:latin typeface="Cambria Math" panose="02040503050406030204" pitchFamily="18" charset="0"/>
                                  </a:rPr>
                                  <m:t>𝜋</m:t>
                                </m:r>
                                <m:d>
                                  <m:dPr>
                                    <m:ctrlPr>
                                      <a:rPr lang="en-US" sz="1100" i="1">
                                        <a:solidFill>
                                          <a:sysClr val="windowText" lastClr="000000"/>
                                        </a:solidFill>
                                        <a:latin typeface="Cambria Math" panose="02040503050406030204" pitchFamily="18" charset="0"/>
                                      </a:rPr>
                                    </m:ctrlPr>
                                  </m:dPr>
                                  <m:e>
                                    <m:r>
                                      <a:rPr lang="en-US" sz="1100" i="1">
                                        <a:solidFill>
                                          <a:sysClr val="windowText" lastClr="000000"/>
                                        </a:solidFill>
                                        <a:latin typeface="Cambria Math" panose="02040503050406030204" pitchFamily="18" charset="0"/>
                                      </a:rPr>
                                      <m:t>𝐷</m:t>
                                    </m:r>
                                    <m:r>
                                      <a:rPr lang="en-US" sz="1100" i="0">
                                        <a:solidFill>
                                          <a:sysClr val="windowText" lastClr="000000"/>
                                        </a:solidFill>
                                        <a:latin typeface="Cambria Math" panose="02040503050406030204" pitchFamily="18" charset="0"/>
                                      </a:rPr>
                                      <m:t>+0.</m:t>
                                    </m:r>
                                    <m:r>
                                      <a:rPr lang="en-US" sz="1100" b="0" i="0">
                                        <a:solidFill>
                                          <a:sysClr val="windowText" lastClr="000000"/>
                                        </a:solidFill>
                                        <a:latin typeface="Cambria Math" panose="02040503050406030204" pitchFamily="18" charset="0"/>
                                      </a:rPr>
                                      <m:t>0</m:t>
                                    </m:r>
                                    <m:r>
                                      <a:rPr lang="en-US" sz="1100" i="0">
                                        <a:solidFill>
                                          <a:sysClr val="windowText" lastClr="000000"/>
                                        </a:solidFill>
                                        <a:latin typeface="Cambria Math" panose="02040503050406030204" pitchFamily="18" charset="0"/>
                                      </a:rPr>
                                      <m:t>60</m:t>
                                    </m:r>
                                    <m:r>
                                      <a:rPr lang="en-US" sz="1100" b="0" i="0">
                                        <a:solidFill>
                                          <a:sysClr val="windowText" lastClr="000000"/>
                                        </a:solidFill>
                                        <a:latin typeface="Cambria Math" panose="02040503050406030204" pitchFamily="18" charset="0"/>
                                      </a:rPr>
                                      <m:t>"</m:t>
                                    </m:r>
                                  </m:e>
                                </m:d>
                              </m:e>
                            </m:d>
                          </m:num>
                          <m:den>
                            <m:r>
                              <a:rPr lang="en-US" sz="1100" i="0">
                                <a:solidFill>
                                  <a:sysClr val="windowText" lastClr="000000"/>
                                </a:solidFill>
                                <a:latin typeface="Cambria Math" panose="02040503050406030204" pitchFamily="18" charset="0"/>
                              </a:rPr>
                              <m:t>57.75</m:t>
                            </m:r>
                            <m:r>
                              <a:rPr lang="en-US" sz="1100" b="0" i="1">
                                <a:solidFill>
                                  <a:sysClr val="windowText" lastClr="000000"/>
                                </a:solidFill>
                                <a:latin typeface="Cambria Math" panose="02040503050406030204" pitchFamily="18" charset="0"/>
                              </a:rPr>
                              <m:t> </m:t>
                            </m:r>
                            <m:r>
                              <a:rPr lang="en-US" sz="1100" b="0" i="1">
                                <a:solidFill>
                                  <a:sysClr val="windowText" lastClr="000000"/>
                                </a:solidFill>
                                <a:latin typeface="Cambria Math" panose="02040503050406030204" pitchFamily="18" charset="0"/>
                              </a:rPr>
                              <m:t>𝑖𝑛</m:t>
                            </m:r>
                            <m:r>
                              <a:rPr lang="en-US" sz="1100" b="0" i="1" baseline="30000">
                                <a:solidFill>
                                  <a:sysClr val="windowText" lastClr="000000"/>
                                </a:solidFill>
                                <a:latin typeface="Cambria Math" panose="02040503050406030204" pitchFamily="18" charset="0"/>
                              </a:rPr>
                              <m:t>3</m:t>
                            </m:r>
                          </m:den>
                        </m:f>
                      </m:e>
                    </m:d>
                  </m:oMath>
                </m:oMathPara>
              </a14:m>
              <a:endParaRPr lang="en-US" sz="1100">
                <a:solidFill>
                  <a:sysClr val="windowText" lastClr="000000"/>
                </a:solidFill>
                <a:latin typeface="Cambria" panose="02040503050406030204" pitchFamily="18" charset="0"/>
                <a:ea typeface="Cambria" panose="02040503050406030204" pitchFamily="18" charset="0"/>
              </a:endParaRPr>
            </a:p>
          </xdr:txBody>
        </xdr:sp>
      </mc:Choice>
      <mc:Fallback xmlns="">
        <xdr:sp macro="" textlink="">
          <xdr:nvSpPr>
            <xdr:cNvPr id="59" name="TextBox 58">
              <a:extLst>
                <a:ext uri="{FF2B5EF4-FFF2-40B4-BE49-F238E27FC236}">
                  <a16:creationId xmlns:a16="http://schemas.microsoft.com/office/drawing/2014/main" id="{BA109F20-21F8-D527-C05B-8BB53C1D1484}"/>
                </a:ext>
              </a:extLst>
            </xdr:cNvPr>
            <xdr:cNvSpPr txBox="1"/>
          </xdr:nvSpPr>
          <xdr:spPr>
            <a:xfrm>
              <a:off x="2840420" y="27461265"/>
              <a:ext cx="2313903" cy="43749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solidFill>
                    <a:sysClr val="windowText" lastClr="000000"/>
                  </a:solidFill>
                  <a:latin typeface="Cambria Math" panose="02040503050406030204" pitchFamily="18" charset="0"/>
                </a:rPr>
                <a:t>𝑅_𝑝</a:t>
              </a:r>
              <a:r>
                <a:rPr lang="en-US" sz="1100" b="0" i="0">
                  <a:solidFill>
                    <a:sysClr val="windowText" lastClr="000000"/>
                  </a:solidFill>
                  <a:latin typeface="Cambria Math" panose="02040503050406030204" pitchFamily="18" charset="0"/>
                </a:rPr>
                <a:t>𝑟𝑖𝑚𝑒𝑟</a:t>
              </a:r>
              <a:r>
                <a:rPr lang="en-US" sz="1100" i="0">
                  <a:solidFill>
                    <a:sysClr val="windowText" lastClr="000000"/>
                  </a:solidFill>
                  <a:latin typeface="Cambria Math" panose="02040503050406030204" pitchFamily="18" charset="0"/>
                </a:rPr>
                <a:t>=(((𝜋𝐷)−(𝜋(𝐷+0.</a:t>
              </a:r>
              <a:r>
                <a:rPr lang="en-US" sz="1100" b="0" i="0">
                  <a:solidFill>
                    <a:sysClr val="windowText" lastClr="000000"/>
                  </a:solidFill>
                  <a:latin typeface="Cambria Math" panose="02040503050406030204" pitchFamily="18" charset="0"/>
                </a:rPr>
                <a:t>0</a:t>
              </a:r>
              <a:r>
                <a:rPr lang="en-US" sz="1100" i="0">
                  <a:solidFill>
                    <a:sysClr val="windowText" lastClr="000000"/>
                  </a:solidFill>
                  <a:latin typeface="Cambria Math" panose="02040503050406030204" pitchFamily="18" charset="0"/>
                </a:rPr>
                <a:t>60</a:t>
              </a:r>
              <a:r>
                <a:rPr lang="en-US" sz="1100" b="0" i="0">
                  <a:solidFill>
                    <a:sysClr val="windowText" lastClr="000000"/>
                  </a:solidFill>
                  <a:latin typeface="Cambria Math" panose="02040503050406030204" pitchFamily="18" charset="0"/>
                </a:rPr>
                <a:t>")))/(</a:t>
              </a:r>
              <a:r>
                <a:rPr lang="en-US" sz="1100" i="0">
                  <a:solidFill>
                    <a:sysClr val="windowText" lastClr="000000"/>
                  </a:solidFill>
                  <a:latin typeface="Cambria Math" panose="02040503050406030204" pitchFamily="18" charset="0"/>
                </a:rPr>
                <a:t>57.75</a:t>
              </a:r>
              <a:r>
                <a:rPr lang="en-US" sz="1100" b="0" i="0">
                  <a:solidFill>
                    <a:sysClr val="windowText" lastClr="000000"/>
                  </a:solidFill>
                  <a:latin typeface="Cambria Math" panose="02040503050406030204" pitchFamily="18" charset="0"/>
                </a:rPr>
                <a:t> 𝑖𝑛</a:t>
              </a:r>
              <a:r>
                <a:rPr lang="en-US" sz="1100" b="0" i="0" baseline="30000">
                  <a:solidFill>
                    <a:sysClr val="windowText" lastClr="000000"/>
                  </a:solidFill>
                  <a:latin typeface="Cambria Math" panose="02040503050406030204" pitchFamily="18" charset="0"/>
                </a:rPr>
                <a:t>3))</a:t>
              </a:r>
              <a:endParaRPr lang="en-US" sz="1100">
                <a:solidFill>
                  <a:sysClr val="windowText" lastClr="000000"/>
                </a:solidFill>
                <a:latin typeface="Cambria" panose="02040503050406030204" pitchFamily="18" charset="0"/>
                <a:ea typeface="Cambria" panose="02040503050406030204" pitchFamily="18" charset="0"/>
              </a:endParaRPr>
            </a:p>
          </xdr:txBody>
        </xdr:sp>
      </mc:Fallback>
    </mc:AlternateContent>
    <xdr:clientData/>
  </xdr:oneCellAnchor>
  <xdr:oneCellAnchor>
    <xdr:from>
      <xdr:col>4</xdr:col>
      <xdr:colOff>30032</xdr:colOff>
      <xdr:row>45</xdr:row>
      <xdr:rowOff>55805</xdr:rowOff>
    </xdr:from>
    <xdr:ext cx="490519" cy="182614"/>
    <mc:AlternateContent xmlns:mc="http://schemas.openxmlformats.org/markup-compatibility/2006" xmlns:a14="http://schemas.microsoft.com/office/drawing/2010/main">
      <mc:Choice Requires="a14">
        <xdr:sp macro="" textlink="">
          <xdr:nvSpPr>
            <xdr:cNvPr id="62" name="TextBox 61">
              <a:extLst>
                <a:ext uri="{FF2B5EF4-FFF2-40B4-BE49-F238E27FC236}">
                  <a16:creationId xmlns:a16="http://schemas.microsoft.com/office/drawing/2014/main" id="{00000000-0008-0000-0300-00003E000000}"/>
                </a:ext>
              </a:extLst>
            </xdr:cNvPr>
            <xdr:cNvSpPr txBox="1"/>
          </xdr:nvSpPr>
          <xdr:spPr>
            <a:xfrm>
              <a:off x="2836244" y="14299343"/>
              <a:ext cx="490519"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𝑝𝑟𝑖𝑚𝑒𝑟</m:t>
                        </m:r>
                      </m:sub>
                    </m:sSub>
                  </m:oMath>
                </m:oMathPara>
              </a14:m>
              <a:endParaRPr lang="en-US" sz="1100"/>
            </a:p>
          </xdr:txBody>
        </xdr:sp>
      </mc:Choice>
      <mc:Fallback xmlns="">
        <xdr:sp macro="" textlink="">
          <xdr:nvSpPr>
            <xdr:cNvPr id="62" name="TextBox 61">
              <a:extLst>
                <a:ext uri="{FF2B5EF4-FFF2-40B4-BE49-F238E27FC236}">
                  <a16:creationId xmlns:a16="http://schemas.microsoft.com/office/drawing/2014/main" id="{282A868A-31DD-45BF-88DA-D9D6F9C43D8A}"/>
                </a:ext>
              </a:extLst>
            </xdr:cNvPr>
            <xdr:cNvSpPr txBox="1"/>
          </xdr:nvSpPr>
          <xdr:spPr>
            <a:xfrm>
              <a:off x="2836244" y="14299343"/>
              <a:ext cx="490519"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𝑅_𝑝𝑟𝑖𝑚𝑒𝑟</a:t>
              </a:r>
              <a:endParaRPr lang="en-US" sz="1100"/>
            </a:p>
          </xdr:txBody>
        </xdr:sp>
      </mc:Fallback>
    </mc:AlternateContent>
    <xdr:clientData/>
  </xdr:oneCellAnchor>
  <xdr:oneCellAnchor>
    <xdr:from>
      <xdr:col>4</xdr:col>
      <xdr:colOff>9525</xdr:colOff>
      <xdr:row>70</xdr:row>
      <xdr:rowOff>247650</xdr:rowOff>
    </xdr:from>
    <xdr:ext cx="1215076" cy="316946"/>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ECBE3F44-6B9B-4ECF-84D5-43BA43933F92}"/>
                </a:ext>
              </a:extLst>
            </xdr:cNvPr>
            <xdr:cNvSpPr txBox="1"/>
          </xdr:nvSpPr>
          <xdr:spPr>
            <a:xfrm>
              <a:off x="2647950" y="28232100"/>
              <a:ext cx="1215076" cy="316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𝐿𝑒𝑛𝑔𝑡h</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m:t>
                        </m:r>
                        <m:r>
                          <m:rPr>
                            <m:sty m:val="p"/>
                          </m:rPr>
                          <a:rPr lang="el-GR" sz="1100" b="0" i="1">
                            <a:latin typeface="Cambria Math" panose="02040503050406030204" pitchFamily="18" charset="0"/>
                          </a:rPr>
                          <m:t>π</m:t>
                        </m:r>
                        <m:r>
                          <a:rPr lang="en-US" sz="1100" b="0" i="1">
                            <a:latin typeface="Cambria Math" panose="02040503050406030204" pitchFamily="18" charset="0"/>
                          </a:rPr>
                          <m:t>𝐷</m:t>
                        </m:r>
                      </m:num>
                      <m:den>
                        <m:r>
                          <a:rPr lang="en-US" sz="110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2</m:t>
                        </m:r>
                        <m:r>
                          <m:rPr>
                            <m:nor/>
                          </m:rPr>
                          <a:rPr lang="en-US" i="0">
                            <a:effectLst/>
                          </a:rPr>
                          <m:t> </m:t>
                        </m:r>
                      </m:den>
                    </m:f>
                  </m:oMath>
                </m:oMathPara>
              </a14:m>
              <a:endParaRPr lang="en-US" sz="1100"/>
            </a:p>
          </xdr:txBody>
        </xdr:sp>
      </mc:Choice>
      <mc:Fallback xmlns="">
        <xdr:sp macro="" textlink="">
          <xdr:nvSpPr>
            <xdr:cNvPr id="10" name="TextBox 9">
              <a:extLst>
                <a:ext uri="{FF2B5EF4-FFF2-40B4-BE49-F238E27FC236}">
                  <a16:creationId xmlns:a16="http://schemas.microsoft.com/office/drawing/2014/main" id="{ECBE3F44-6B9B-4ECF-84D5-43BA43933F92}"/>
                </a:ext>
              </a:extLst>
            </xdr:cNvPr>
            <xdr:cNvSpPr txBox="1"/>
          </xdr:nvSpPr>
          <xdr:spPr>
            <a:xfrm>
              <a:off x="2647950" y="28232100"/>
              <a:ext cx="1215076" cy="316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〖𝐼𝑊〗_(𝑝𝑒𝑟 𝐿𝑒𝑛𝑔𝑡ℎ)</a:t>
              </a:r>
              <a:r>
                <a:rPr lang="en-US" sz="1100" b="0" i="0">
                  <a:latin typeface="Cambria Math" panose="02040503050406030204" pitchFamily="18" charset="0"/>
                </a:rPr>
                <a:t>=2</a:t>
              </a:r>
              <a:r>
                <a:rPr lang="el-GR" sz="1100" b="0" i="0">
                  <a:latin typeface="Cambria Math" panose="02040503050406030204" pitchFamily="18" charset="0"/>
                </a:rPr>
                <a:t>π</a:t>
              </a:r>
              <a:r>
                <a:rPr lang="en-US" sz="1100" b="0" i="0">
                  <a:latin typeface="Cambria Math" panose="02040503050406030204" pitchFamily="18" charset="0"/>
                </a:rPr>
                <a:t>𝐷/</a:t>
              </a:r>
              <a:r>
                <a:rPr lang="en-US" sz="1100" i="0">
                  <a:solidFill>
                    <a:schemeClr val="tx1"/>
                  </a:solidFill>
                  <a:effectLst/>
                  <a:latin typeface="Cambria Math" panose="02040503050406030204" pitchFamily="18" charset="0"/>
                  <a:ea typeface="+mn-ea"/>
                  <a:cs typeface="+mn-cs"/>
                </a:rPr>
                <a:t>1</a:t>
              </a:r>
              <a:r>
                <a:rPr lang="en-US" sz="1100" b="0" i="0">
                  <a:solidFill>
                    <a:schemeClr val="tx1"/>
                  </a:solidFill>
                  <a:effectLst/>
                  <a:latin typeface="Cambria Math" panose="02040503050406030204" pitchFamily="18" charset="0"/>
                  <a:ea typeface="+mn-ea"/>
                  <a:cs typeface="+mn-cs"/>
                </a:rPr>
                <a:t>2"</a:t>
              </a:r>
              <a:r>
                <a:rPr lang="en-US" i="0">
                  <a:effectLst/>
                </a:rPr>
                <a:t> </a:t>
              </a:r>
              <a:r>
                <a:rPr lang="en-US" i="0">
                  <a:effectLst/>
                  <a:latin typeface="Cambria Math" panose="02040503050406030204" pitchFamily="18" charset="0"/>
                </a:rPr>
                <a:t>" </a:t>
              </a:r>
              <a:endParaRPr lang="en-US" sz="1100"/>
            </a:p>
          </xdr:txBody>
        </xdr:sp>
      </mc:Fallback>
    </mc:AlternateContent>
    <xdr:clientData/>
  </xdr:oneCellAnchor>
  <xdr:oneCellAnchor>
    <xdr:from>
      <xdr:col>4</xdr:col>
      <xdr:colOff>0</xdr:colOff>
      <xdr:row>71</xdr:row>
      <xdr:rowOff>304800</xdr:rowOff>
    </xdr:from>
    <xdr:ext cx="1956048" cy="185628"/>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7D990E72-F079-4B97-AEE4-BA1485DD8A16}"/>
                </a:ext>
              </a:extLst>
            </xdr:cNvPr>
            <xdr:cNvSpPr txBox="1"/>
          </xdr:nvSpPr>
          <xdr:spPr>
            <a:xfrm>
              <a:off x="2638425" y="29051250"/>
              <a:ext cx="1956048" cy="185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𝑇𝑜𝑡𝑎𝑙</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𝐿𝑒𝑛𝑔𝑡h</m:t>
                        </m:r>
                      </m:sub>
                    </m:sSub>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Cambria Math" panose="02040503050406030204" pitchFamily="18" charset="0"/>
                        <a:cs typeface="+mn-cs"/>
                      </a:rPr>
                      <m:t>+1)</m:t>
                    </m:r>
                  </m:oMath>
                </m:oMathPara>
              </a14:m>
              <a:endParaRPr lang="en-US" sz="1100">
                <a:latin typeface="Cambria Math" panose="02040503050406030204" pitchFamily="18" charset="0"/>
                <a:ea typeface="Cambria Math" panose="02040503050406030204" pitchFamily="18" charset="0"/>
              </a:endParaRPr>
            </a:p>
          </xdr:txBody>
        </xdr:sp>
      </mc:Choice>
      <mc:Fallback xmlns="">
        <xdr:sp macro="" textlink="">
          <xdr:nvSpPr>
            <xdr:cNvPr id="11" name="TextBox 10">
              <a:extLst>
                <a:ext uri="{FF2B5EF4-FFF2-40B4-BE49-F238E27FC236}">
                  <a16:creationId xmlns:a16="http://schemas.microsoft.com/office/drawing/2014/main" id="{7D990E72-F079-4B97-AEE4-BA1485DD8A16}"/>
                </a:ext>
              </a:extLst>
            </xdr:cNvPr>
            <xdr:cNvSpPr txBox="1"/>
          </xdr:nvSpPr>
          <xdr:spPr>
            <a:xfrm>
              <a:off x="2638425" y="29051250"/>
              <a:ext cx="1956048" cy="185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〖𝐼𝑊〗_𝑇𝑜𝑡𝑎𝑙</a:t>
              </a:r>
              <a:r>
                <a:rPr lang="en-US" sz="1100" b="0" i="0">
                  <a:latin typeface="Cambria Math" panose="02040503050406030204" pitchFamily="18" charset="0"/>
                </a:rPr>
                <a:t>=</a:t>
              </a:r>
              <a:r>
                <a:rPr lang="en-US" sz="1100" b="0" i="0">
                  <a:solidFill>
                    <a:schemeClr val="tx1"/>
                  </a:solidFill>
                  <a:effectLst/>
                  <a:latin typeface="+mn-lt"/>
                  <a:ea typeface="+mn-ea"/>
                  <a:cs typeface="+mn-cs"/>
                </a:rPr>
                <a:t>〖𝐼𝑊〗_(𝑝𝑒𝑟 𝐿𝑒𝑛𝑔𝑡ℎ)</a:t>
              </a:r>
              <a:r>
                <a:rPr lang="en-US" sz="1100" b="0" i="0">
                  <a:solidFill>
                    <a:schemeClr val="tx1"/>
                  </a:solidFill>
                  <a:effectLst/>
                  <a:latin typeface="Cambria Math" panose="02040503050406030204" pitchFamily="18" charset="0"/>
                  <a:ea typeface="+mn-ea"/>
                  <a:cs typeface="+mn-cs"/>
                </a:rPr>
                <a:t>  ∗(𝐿</a:t>
              </a:r>
              <a:r>
                <a:rPr lang="en-US" sz="1100" b="0" i="0">
                  <a:solidFill>
                    <a:schemeClr val="tx1"/>
                  </a:solidFill>
                  <a:effectLst/>
                  <a:latin typeface="Cambria Math" panose="02040503050406030204" pitchFamily="18" charset="0"/>
                  <a:ea typeface="Cambria Math" panose="02040503050406030204" pitchFamily="18" charset="0"/>
                  <a:cs typeface="+mn-cs"/>
                </a:rPr>
                <a:t>+1)</a:t>
              </a:r>
              <a:endParaRPr lang="en-US" sz="1100">
                <a:latin typeface="Cambria Math" panose="02040503050406030204" pitchFamily="18" charset="0"/>
                <a:ea typeface="Cambria Math" panose="02040503050406030204" pitchFamily="18" charset="0"/>
              </a:endParaRPr>
            </a:p>
          </xdr:txBody>
        </xdr:sp>
      </mc:Fallback>
    </mc:AlternateContent>
    <xdr:clientData/>
  </xdr:oneCellAnchor>
  <xdr:oneCellAnchor>
    <xdr:from>
      <xdr:col>4</xdr:col>
      <xdr:colOff>0</xdr:colOff>
      <xdr:row>72</xdr:row>
      <xdr:rowOff>304800</xdr:rowOff>
    </xdr:from>
    <xdr:ext cx="1331903" cy="165366"/>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268087F-2C50-47AD-9670-9A5D2B0117F7}"/>
                </a:ext>
              </a:extLst>
            </xdr:cNvPr>
            <xdr:cNvSpPr txBox="1"/>
          </xdr:nvSpPr>
          <xdr:spPr>
            <a:xfrm>
              <a:off x="2638425" y="29813250"/>
              <a:ext cx="133190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𝐼𝑊</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𝑇𝑜𝑡𝑎𝑙</m:t>
                        </m:r>
                      </m:sub>
                    </m:sSub>
                    <m:r>
                      <a:rPr lang="en-US" sz="1100" b="0" i="1">
                        <a:solidFill>
                          <a:schemeClr val="tx1"/>
                        </a:solidFill>
                        <a:effectLst/>
                        <a:latin typeface="Cambria Math" panose="02040503050406030204" pitchFamily="18" charset="0"/>
                        <a:ea typeface="+mn-ea"/>
                        <a:cs typeface="+mn-cs"/>
                      </a:rPr>
                      <m:t> ∗0.06</m:t>
                    </m:r>
                    <m:r>
                      <a:rPr lang="en-US" sz="1100" b="0" i="1">
                        <a:latin typeface="Cambria Math" panose="02040503050406030204" pitchFamily="18" charset="0"/>
                      </a:rPr>
                      <m:t> </m:t>
                    </m:r>
                  </m:oMath>
                </m:oMathPara>
              </a14:m>
              <a:endParaRPr lang="en-US" sz="1100" b="0">
                <a:latin typeface="Cambria Math" panose="02040503050406030204" pitchFamily="18" charset="0"/>
              </a:endParaRPr>
            </a:p>
          </xdr:txBody>
        </xdr:sp>
      </mc:Choice>
      <mc:Fallback xmlns="">
        <xdr:sp macro="" textlink="">
          <xdr:nvSpPr>
            <xdr:cNvPr id="14" name="TextBox 13">
              <a:extLst>
                <a:ext uri="{FF2B5EF4-FFF2-40B4-BE49-F238E27FC236}">
                  <a16:creationId xmlns:a16="http://schemas.microsoft.com/office/drawing/2014/main" id="{9268087F-2C50-47AD-9670-9A5D2B0117F7}"/>
                </a:ext>
              </a:extLst>
            </xdr:cNvPr>
            <xdr:cNvSpPr txBox="1"/>
          </xdr:nvSpPr>
          <xdr:spPr>
            <a:xfrm>
              <a:off x="2638425" y="29813250"/>
              <a:ext cx="133190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𝑅_𝐼𝑊</a:t>
              </a:r>
              <a:r>
                <a:rPr lang="en-US" sz="1100" b="0" i="0">
                  <a:latin typeface="Cambria Math" panose="02040503050406030204" pitchFamily="18" charset="0"/>
                </a:rPr>
                <a:t>=</a:t>
              </a:r>
              <a:r>
                <a:rPr lang="en-US" sz="1100" b="0" i="0">
                  <a:solidFill>
                    <a:schemeClr val="tx1"/>
                  </a:solidFill>
                  <a:effectLst/>
                  <a:latin typeface="+mn-lt"/>
                  <a:ea typeface="+mn-ea"/>
                  <a:cs typeface="+mn-cs"/>
                </a:rPr>
                <a:t>〖𝐼𝑊〗_𝑇𝑜𝑡𝑎𝑙</a:t>
              </a:r>
              <a:r>
                <a:rPr lang="en-US" sz="1100" b="0" i="0">
                  <a:solidFill>
                    <a:schemeClr val="tx1"/>
                  </a:solidFill>
                  <a:effectLst/>
                  <a:latin typeface="Cambria Math" panose="02040503050406030204" pitchFamily="18" charset="0"/>
                  <a:ea typeface="+mn-ea"/>
                  <a:cs typeface="+mn-cs"/>
                </a:rPr>
                <a:t>  ∗0.06</a:t>
              </a:r>
              <a:r>
                <a:rPr lang="en-US" sz="1100" b="0" i="0">
                  <a:latin typeface="Cambria Math" panose="02040503050406030204" pitchFamily="18" charset="0"/>
                </a:rPr>
                <a:t> </a:t>
              </a:r>
              <a:endParaRPr lang="en-US" sz="1100" b="0">
                <a:latin typeface="Cambria Math" panose="02040503050406030204" pitchFamily="18" charset="0"/>
              </a:endParaRPr>
            </a:p>
          </xdr:txBody>
        </xdr:sp>
      </mc:Fallback>
    </mc:AlternateContent>
    <xdr:clientData/>
  </xdr:oneCellAnchor>
  <xdr:oneCellAnchor>
    <xdr:from>
      <xdr:col>3</xdr:col>
      <xdr:colOff>571500</xdr:colOff>
      <xdr:row>54</xdr:row>
      <xdr:rowOff>190500</xdr:rowOff>
    </xdr:from>
    <xdr:ext cx="2129877" cy="383759"/>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F6485ED6-94FC-401B-A5E6-1128A30A7FF9}"/>
                </a:ext>
              </a:extLst>
            </xdr:cNvPr>
            <xdr:cNvSpPr txBox="1"/>
          </xdr:nvSpPr>
          <xdr:spPr>
            <a:xfrm>
              <a:off x="2716696" y="19041717"/>
              <a:ext cx="2129877"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latin typeface="Cambria Math" panose="02040503050406030204" pitchFamily="18" charset="0"/>
                      </a:rPr>
                      <m:t>=</m:t>
                    </m:r>
                    <m:r>
                      <m:rPr>
                        <m:nor/>
                      </m:rPr>
                      <a:rPr lang="en-US" sz="1100" b="0" i="0">
                        <a:latin typeface="Cambria Math" panose="02040503050406030204" pitchFamily="18" charset="0"/>
                      </a:rPr>
                      <m:t>ROUNDUP</m:t>
                    </m:r>
                    <m:d>
                      <m:dPr>
                        <m:ctrlPr>
                          <a:rPr lang="en-US" sz="1100" b="0" i="1">
                            <a:solidFill>
                              <a:schemeClr val="tx1"/>
                            </a:solidFill>
                            <a:effectLst/>
                            <a:latin typeface="Cambria Math" panose="02040503050406030204" pitchFamily="18" charset="0"/>
                            <a:ea typeface="+mn-ea"/>
                            <a:cs typeface="+mn-cs"/>
                          </a:rPr>
                        </m:ctrlPr>
                      </m:dPr>
                      <m:e>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𝑚𝑖𝑛</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𝑝𝑒𝑟𝑓</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den>
                        </m:f>
                        <m:r>
                          <a:rPr lang="en-US" sz="1100" b="0" i="1">
                            <a:solidFill>
                              <a:schemeClr val="tx1"/>
                            </a:solidFill>
                            <a:effectLst/>
                            <a:latin typeface="Cambria Math" panose="02040503050406030204" pitchFamily="18" charset="0"/>
                            <a:ea typeface="+mn-ea"/>
                            <a:cs typeface="+mn-cs"/>
                          </a:rPr>
                          <m:t>+0.5</m:t>
                        </m:r>
                      </m:e>
                    </m:d>
                  </m:oMath>
                </m:oMathPara>
              </a14:m>
              <a:endParaRPr lang="en-US" sz="1100"/>
            </a:p>
          </xdr:txBody>
        </xdr:sp>
      </mc:Choice>
      <mc:Fallback xmlns="">
        <xdr:sp macro="" textlink="">
          <xdr:nvSpPr>
            <xdr:cNvPr id="32" name="TextBox 31">
              <a:extLst>
                <a:ext uri="{FF2B5EF4-FFF2-40B4-BE49-F238E27FC236}">
                  <a16:creationId xmlns:a16="http://schemas.microsoft.com/office/drawing/2014/main" id="{F6485ED6-94FC-401B-A5E6-1128A30A7FF9}"/>
                </a:ext>
              </a:extLst>
            </xdr:cNvPr>
            <xdr:cNvSpPr txBox="1"/>
          </xdr:nvSpPr>
          <xdr:spPr>
            <a:xfrm>
              <a:off x="2716696" y="19041717"/>
              <a:ext cx="2129877"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a:t>
              </a:r>
              <a:r>
                <a:rPr lang="en-US" sz="1100" b="0" i="0">
                  <a:latin typeface="Cambria Math" panose="02040503050406030204" pitchFamily="18" charset="0"/>
                </a:rPr>
                <a:t>="ROUNDUP" (</a:t>
              </a:r>
              <a:r>
                <a:rPr lang="en-US" sz="1100" b="0" i="0">
                  <a:solidFill>
                    <a:schemeClr val="tx1"/>
                  </a:solidFill>
                  <a:effectLst/>
                  <a:latin typeface="Cambria Math" panose="02040503050406030204" pitchFamily="18" charset="0"/>
                  <a:ea typeface="+mn-ea"/>
                  <a:cs typeface="+mn-cs"/>
                </a:rPr>
                <a:t>𝑡_(𝑚𝑖𝑛,𝑝𝑒𝑟𝑓)/𝑡_𝑙𝑎𝑦𝑒𝑟 +0.5)</a:t>
              </a:r>
              <a:endParaRPr lang="en-US" sz="1100"/>
            </a:p>
          </xdr:txBody>
        </xdr:sp>
      </mc:Fallback>
    </mc:AlternateContent>
    <xdr:clientData/>
  </xdr:oneCellAnchor>
  <xdr:oneCellAnchor>
    <xdr:from>
      <xdr:col>4</xdr:col>
      <xdr:colOff>16566</xdr:colOff>
      <xdr:row>59</xdr:row>
      <xdr:rowOff>314739</xdr:rowOff>
    </xdr:from>
    <xdr:ext cx="881716" cy="176972"/>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FB68FB69-A65C-4870-81AF-EDBDB2F75ECC}"/>
                </a:ext>
              </a:extLst>
            </xdr:cNvPr>
            <xdr:cNvSpPr txBox="1"/>
          </xdr:nvSpPr>
          <xdr:spPr>
            <a:xfrm>
              <a:off x="2832653" y="22421022"/>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oMath>
                </m:oMathPara>
              </a14:m>
              <a:endParaRPr lang="en-US" sz="1100"/>
            </a:p>
          </xdr:txBody>
        </xdr:sp>
      </mc:Choice>
      <mc:Fallback xmlns="">
        <xdr:sp macro="" textlink="">
          <xdr:nvSpPr>
            <xdr:cNvPr id="37" name="TextBox 36">
              <a:extLst>
                <a:ext uri="{FF2B5EF4-FFF2-40B4-BE49-F238E27FC236}">
                  <a16:creationId xmlns:a16="http://schemas.microsoft.com/office/drawing/2014/main" id="{FB68FB69-A65C-4870-81AF-EDBDB2F75ECC}"/>
                </a:ext>
              </a:extLst>
            </xdr:cNvPr>
            <xdr:cNvSpPr txBox="1"/>
          </xdr:nvSpPr>
          <xdr:spPr>
            <a:xfrm>
              <a:off x="2832653" y="22421022"/>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1,𝑇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𝛿_1∗𝑊_𝐿</a:t>
              </a:r>
              <a:endParaRPr lang="en-US" sz="1100"/>
            </a:p>
          </xdr:txBody>
        </xdr:sp>
      </mc:Fallback>
    </mc:AlternateContent>
    <xdr:clientData/>
  </xdr:oneCellAnchor>
  <xdr:oneCellAnchor>
    <xdr:from>
      <xdr:col>4</xdr:col>
      <xdr:colOff>237048</xdr:colOff>
      <xdr:row>12</xdr:row>
      <xdr:rowOff>108999</xdr:rowOff>
    </xdr:from>
    <xdr:ext cx="109261" cy="172227"/>
    <mc:AlternateContent xmlns:mc="http://schemas.openxmlformats.org/markup-compatibility/2006" xmlns:a14="http://schemas.microsoft.com/office/drawing/2010/main">
      <mc:Choice Requires="a14">
        <xdr:sp macro="" textlink="">
          <xdr:nvSpPr>
            <xdr:cNvPr id="51" name="TextBox 50">
              <a:extLst>
                <a:ext uri="{FF2B5EF4-FFF2-40B4-BE49-F238E27FC236}">
                  <a16:creationId xmlns:a16="http://schemas.microsoft.com/office/drawing/2014/main" id="{693B2EF9-24F2-4E3B-9E15-0EA8ADCAD011}"/>
                </a:ext>
              </a:extLst>
            </xdr:cNvPr>
            <xdr:cNvSpPr txBox="1"/>
          </xdr:nvSpPr>
          <xdr:spPr>
            <a:xfrm>
              <a:off x="3053135" y="3082456"/>
              <a:ext cx="1092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𝑆</m:t>
                    </m:r>
                  </m:oMath>
                </m:oMathPara>
              </a14:m>
              <a:endParaRPr lang="en-US" sz="1100"/>
            </a:p>
          </xdr:txBody>
        </xdr:sp>
      </mc:Choice>
      <mc:Fallback xmlns="">
        <xdr:sp macro="" textlink="">
          <xdr:nvSpPr>
            <xdr:cNvPr id="51" name="TextBox 50">
              <a:extLst>
                <a:ext uri="{FF2B5EF4-FFF2-40B4-BE49-F238E27FC236}">
                  <a16:creationId xmlns:a16="http://schemas.microsoft.com/office/drawing/2014/main" id="{693B2EF9-24F2-4E3B-9E15-0EA8ADCAD011}"/>
                </a:ext>
              </a:extLst>
            </xdr:cNvPr>
            <xdr:cNvSpPr txBox="1"/>
          </xdr:nvSpPr>
          <xdr:spPr>
            <a:xfrm>
              <a:off x="3053135" y="3082456"/>
              <a:ext cx="1092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𝑆</a:t>
              </a:r>
              <a:endParaRPr lang="en-US" sz="11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3</xdr:col>
      <xdr:colOff>304800</xdr:colOff>
      <xdr:row>18</xdr:row>
      <xdr:rowOff>0</xdr:rowOff>
    </xdr:from>
    <xdr:ext cx="183768"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400-000004000000}"/>
                </a:ext>
              </a:extLst>
            </xdr:cNvPr>
            <xdr:cNvSpPr txBox="1"/>
          </xdr:nvSpPr>
          <xdr:spPr>
            <a:xfrm>
              <a:off x="2638425" y="448627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4" name="TextBox 3">
              <a:extLst>
                <a:ext uri="{FF2B5EF4-FFF2-40B4-BE49-F238E27FC236}">
                  <a16:creationId xmlns:a16="http://schemas.microsoft.com/office/drawing/2014/main" id="{1CD600D6-6917-4C82-AFF4-3AA1CDCA96F2}"/>
                </a:ext>
              </a:extLst>
            </xdr:cNvPr>
            <xdr:cNvSpPr txBox="1"/>
          </xdr:nvSpPr>
          <xdr:spPr>
            <a:xfrm>
              <a:off x="2638425" y="448627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3</xdr:col>
      <xdr:colOff>314325</xdr:colOff>
      <xdr:row>19</xdr:row>
      <xdr:rowOff>0</xdr:rowOff>
    </xdr:from>
    <xdr:ext cx="113557"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2647950" y="4733925"/>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5" name="TextBox 4">
              <a:extLst>
                <a:ext uri="{FF2B5EF4-FFF2-40B4-BE49-F238E27FC236}">
                  <a16:creationId xmlns:a16="http://schemas.microsoft.com/office/drawing/2014/main" id="{AD410276-8789-4D36-B0DF-E793A7761565}"/>
                </a:ext>
              </a:extLst>
            </xdr:cNvPr>
            <xdr:cNvSpPr txBox="1"/>
          </xdr:nvSpPr>
          <xdr:spPr>
            <a:xfrm>
              <a:off x="2647950" y="4733925"/>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3</xdr:col>
      <xdr:colOff>333375</xdr:colOff>
      <xdr:row>10</xdr:row>
      <xdr:rowOff>28575</xdr:rowOff>
    </xdr:from>
    <xdr:ext cx="122790"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2667000" y="247650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6" name="TextBox 5">
              <a:extLst>
                <a:ext uri="{FF2B5EF4-FFF2-40B4-BE49-F238E27FC236}">
                  <a16:creationId xmlns:a16="http://schemas.microsoft.com/office/drawing/2014/main" id="{C5B6C6E0-FD86-4923-ACD7-128E5E1513DB}"/>
                </a:ext>
              </a:extLst>
            </xdr:cNvPr>
            <xdr:cNvSpPr txBox="1"/>
          </xdr:nvSpPr>
          <xdr:spPr>
            <a:xfrm>
              <a:off x="2667000" y="247650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3</xdr:col>
      <xdr:colOff>266700</xdr:colOff>
      <xdr:row>8</xdr:row>
      <xdr:rowOff>47625</xdr:rowOff>
    </xdr:from>
    <xdr:ext cx="290401"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400-000007000000}"/>
                </a:ext>
              </a:extLst>
            </xdr:cNvPr>
            <xdr:cNvSpPr txBox="1"/>
          </xdr:nvSpPr>
          <xdr:spPr>
            <a:xfrm>
              <a:off x="2600325" y="20002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7" name="TextBox 6">
              <a:extLst>
                <a:ext uri="{FF2B5EF4-FFF2-40B4-BE49-F238E27FC236}">
                  <a16:creationId xmlns:a16="http://schemas.microsoft.com/office/drawing/2014/main" id="{514D118C-EFAF-41C8-94DF-F3C008B65A02}"/>
                </a:ext>
              </a:extLst>
            </xdr:cNvPr>
            <xdr:cNvSpPr txBox="1"/>
          </xdr:nvSpPr>
          <xdr:spPr>
            <a:xfrm>
              <a:off x="2600325" y="20002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3</xdr:col>
      <xdr:colOff>352425</xdr:colOff>
      <xdr:row>7</xdr:row>
      <xdr:rowOff>28575</xdr:rowOff>
    </xdr:from>
    <xdr:ext cx="99899"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2686050" y="1733550"/>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𝑠</m:t>
                    </m:r>
                  </m:oMath>
                </m:oMathPara>
              </a14:m>
              <a:endParaRPr lang="en-US" sz="1100"/>
            </a:p>
          </xdr:txBody>
        </xdr:sp>
      </mc:Choice>
      <mc:Fallback xmlns="">
        <xdr:sp macro="" textlink="">
          <xdr:nvSpPr>
            <xdr:cNvPr id="8" name="TextBox 7">
              <a:extLst>
                <a:ext uri="{FF2B5EF4-FFF2-40B4-BE49-F238E27FC236}">
                  <a16:creationId xmlns:a16="http://schemas.microsoft.com/office/drawing/2014/main" id="{6A7358B2-82E7-47D4-8B65-24214F356494}"/>
                </a:ext>
              </a:extLst>
            </xdr:cNvPr>
            <xdr:cNvSpPr txBox="1"/>
          </xdr:nvSpPr>
          <xdr:spPr>
            <a:xfrm>
              <a:off x="2686050" y="1733550"/>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𝑠</a:t>
              </a:r>
              <a:endParaRPr lang="en-US" sz="1100"/>
            </a:p>
          </xdr:txBody>
        </xdr:sp>
      </mc:Fallback>
    </mc:AlternateContent>
    <xdr:clientData/>
  </xdr:oneCellAnchor>
  <xdr:oneCellAnchor>
    <xdr:from>
      <xdr:col>3</xdr:col>
      <xdr:colOff>352425</xdr:colOff>
      <xdr:row>4</xdr:row>
      <xdr:rowOff>28575</xdr:rowOff>
    </xdr:from>
    <xdr:ext cx="90986"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400-000009000000}"/>
                </a:ext>
              </a:extLst>
            </xdr:cNvPr>
            <xdr:cNvSpPr txBox="1"/>
          </xdr:nvSpPr>
          <xdr:spPr>
            <a:xfrm>
              <a:off x="2686050" y="99060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9" name="TextBox 8">
              <a:extLst>
                <a:ext uri="{FF2B5EF4-FFF2-40B4-BE49-F238E27FC236}">
                  <a16:creationId xmlns:a16="http://schemas.microsoft.com/office/drawing/2014/main" id="{FFF73451-51F6-4D6B-B14D-01C945972AAB}"/>
                </a:ext>
              </a:extLst>
            </xdr:cNvPr>
            <xdr:cNvSpPr txBox="1"/>
          </xdr:nvSpPr>
          <xdr:spPr>
            <a:xfrm>
              <a:off x="2686050" y="99060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3</xdr:col>
      <xdr:colOff>323850</xdr:colOff>
      <xdr:row>3</xdr:row>
      <xdr:rowOff>38100</xdr:rowOff>
    </xdr:from>
    <xdr:ext cx="133626"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400-00000A000000}"/>
                </a:ext>
              </a:extLst>
            </xdr:cNvPr>
            <xdr:cNvSpPr txBox="1"/>
          </xdr:nvSpPr>
          <xdr:spPr>
            <a:xfrm>
              <a:off x="2657475" y="752475"/>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10" name="TextBox 9">
              <a:extLst>
                <a:ext uri="{FF2B5EF4-FFF2-40B4-BE49-F238E27FC236}">
                  <a16:creationId xmlns:a16="http://schemas.microsoft.com/office/drawing/2014/main" id="{611AC77F-C7D3-4D74-A9CC-D50EA1687CB4}"/>
                </a:ext>
              </a:extLst>
            </xdr:cNvPr>
            <xdr:cNvSpPr txBox="1"/>
          </xdr:nvSpPr>
          <xdr:spPr>
            <a:xfrm>
              <a:off x="2657475" y="752475"/>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3</xdr:col>
      <xdr:colOff>342900</xdr:colOff>
      <xdr:row>5</xdr:row>
      <xdr:rowOff>28575</xdr:rowOff>
    </xdr:from>
    <xdr:ext cx="118879" cy="17222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2676525" y="123825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11" name="TextBox 10">
              <a:extLst>
                <a:ext uri="{FF2B5EF4-FFF2-40B4-BE49-F238E27FC236}">
                  <a16:creationId xmlns:a16="http://schemas.microsoft.com/office/drawing/2014/main" id="{68EEFA81-8B83-4E48-856B-E1AB1AD6A669}"/>
                </a:ext>
              </a:extLst>
            </xdr:cNvPr>
            <xdr:cNvSpPr txBox="1"/>
          </xdr:nvSpPr>
          <xdr:spPr>
            <a:xfrm>
              <a:off x="2676525" y="123825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xdr:oneCellAnchor>
    <xdr:from>
      <xdr:col>3</xdr:col>
      <xdr:colOff>145677</xdr:colOff>
      <xdr:row>15</xdr:row>
      <xdr:rowOff>0</xdr:rowOff>
    </xdr:from>
    <xdr:ext cx="476605" cy="1831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2479302" y="3343275"/>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𝑤</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2" name="TextBox 11">
              <a:extLst>
                <a:ext uri="{FF2B5EF4-FFF2-40B4-BE49-F238E27FC236}">
                  <a16:creationId xmlns:a16="http://schemas.microsoft.com/office/drawing/2014/main" id="{053C645F-E7B5-4B9D-8471-899155F0ECC2}"/>
                </a:ext>
              </a:extLst>
            </xdr:cNvPr>
            <xdr:cNvSpPr txBox="1"/>
          </xdr:nvSpPr>
          <xdr:spPr>
            <a:xfrm>
              <a:off x="2479302" y="3343275"/>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𝑤_𝑑𝑒𝑓𝑒𝑐𝑡</a:t>
              </a:r>
              <a:endParaRPr lang="en-US" sz="1100"/>
            </a:p>
          </xdr:txBody>
        </xdr:sp>
      </mc:Fallback>
    </mc:AlternateContent>
    <xdr:clientData/>
  </xdr:oneCellAnchor>
  <xdr:oneCellAnchor>
    <xdr:from>
      <xdr:col>3</xdr:col>
      <xdr:colOff>156882</xdr:colOff>
      <xdr:row>12</xdr:row>
      <xdr:rowOff>11206</xdr:rowOff>
    </xdr:from>
    <xdr:ext cx="455317" cy="183127"/>
    <mc:AlternateContent xmlns:mc="http://schemas.openxmlformats.org/markup-compatibility/2006" xmlns:a14="http://schemas.microsoft.com/office/drawing/2010/main">
      <mc:Choice Requires="a14">
        <xdr:sp macro="" textlink="">
          <xdr:nvSpPr>
            <xdr:cNvPr id="3" name="TextBox 12">
              <a:extLst>
                <a:ext uri="{FF2B5EF4-FFF2-40B4-BE49-F238E27FC236}">
                  <a16:creationId xmlns:a16="http://schemas.microsoft.com/office/drawing/2014/main" id="{00000000-0008-0000-0400-00000D000000}"/>
                </a:ext>
                <a:ext uri="{147F2762-F138-4A5C-976F-8EAC2B608ADB}">
                  <a16:predDERef xmlns:a16="http://schemas.microsoft.com/office/drawing/2014/main" pred="{00000000-0008-0000-0400-00000C000000}"/>
                </a:ext>
              </a:extLst>
            </xdr:cNvPr>
            <xdr:cNvSpPr txBox="1"/>
          </xdr:nvSpPr>
          <xdr:spPr>
            <a:xfrm>
              <a:off x="2490507" y="2859181"/>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indent="0"/>
              <a:r>
                <a:rPr lang="ar-AE" sz="1100" b="0" i="1">
                  <a:solidFill>
                    <a:schemeClr val="tx1"/>
                  </a:solidFill>
                  <a:latin typeface="Cambria Math" panose="02040503050406030204" pitchFamily="18" charset="0"/>
                  <a:ea typeface="Cambria Math" panose="02040503050406030204" pitchFamily="18" charset="0"/>
                </a:rPr>
                <a:t>﷐ℎ﷮𝑑𝑒𝑓𝑒𝑐𝑡﷯</a:t>
              </a:r>
            </a:p>
          </xdr:txBody>
        </xdr:sp>
      </mc:Choice>
      <mc:Fallback xmlns="">
        <xdr:sp macro="" textlink="">
          <xdr:nvSpPr>
            <xdr:cNvPr id="13" name="TextBox 12">
              <a:extLst>
                <a:ext uri="{FF2B5EF4-FFF2-40B4-BE49-F238E27FC236}">
                  <a16:creationId xmlns:a16="http://schemas.microsoft.com/office/drawing/2014/main" id="{77B1C4D5-B702-468C-8118-7A9E8B9BD9F2}"/>
                </a:ext>
              </a:extLst>
            </xdr:cNvPr>
            <xdr:cNvSpPr txBox="1"/>
          </xdr:nvSpPr>
          <xdr:spPr>
            <a:xfrm>
              <a:off x="2490507" y="2859181"/>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156883</xdr:colOff>
      <xdr:row>14</xdr:row>
      <xdr:rowOff>0</xdr:rowOff>
    </xdr:from>
    <xdr:ext cx="452111" cy="1831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2490508" y="309562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4" name="TextBox 13">
              <a:extLst>
                <a:ext uri="{FF2B5EF4-FFF2-40B4-BE49-F238E27FC236}">
                  <a16:creationId xmlns:a16="http://schemas.microsoft.com/office/drawing/2014/main" id="{2951BDD1-99E2-4306-838B-4D3F2BB1DBE5}"/>
                </a:ext>
              </a:extLst>
            </xdr:cNvPr>
            <xdr:cNvSpPr txBox="1"/>
          </xdr:nvSpPr>
          <xdr:spPr>
            <a:xfrm>
              <a:off x="2490508" y="309562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3</xdr:col>
      <xdr:colOff>156882</xdr:colOff>
      <xdr:row>13</xdr:row>
      <xdr:rowOff>11206</xdr:rowOff>
    </xdr:from>
    <xdr:ext cx="455317" cy="1831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498911" y="3104030"/>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2" name="TextBox 1">
              <a:extLst>
                <a:ext uri="{FF2B5EF4-FFF2-40B4-BE49-F238E27FC236}">
                  <a16:creationId xmlns:a16="http://schemas.microsoft.com/office/drawing/2014/main" id="{5855F7C5-0F0C-4408-BC01-D7FEEEFE4569}"/>
                </a:ext>
              </a:extLst>
            </xdr:cNvPr>
            <xdr:cNvSpPr txBox="1"/>
          </xdr:nvSpPr>
          <xdr:spPr>
            <a:xfrm>
              <a:off x="2498911" y="3104030"/>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xdr:from>
          <xdr:col>4</xdr:col>
          <xdr:colOff>0</xdr:colOff>
          <xdr:row>25</xdr:row>
          <xdr:rowOff>0</xdr:rowOff>
        </xdr:from>
        <xdr:to>
          <xdr:col>5</xdr:col>
          <xdr:colOff>0</xdr:colOff>
          <xdr:row>26</xdr:row>
          <xdr:rowOff>0</xdr:rowOff>
        </xdr:to>
        <xdr:sp macro="" textlink="">
          <xdr:nvSpPr>
            <xdr:cNvPr id="37593" name="Control 1753" hidden="1">
              <a:extLst>
                <a:ext uri="{63B3BB69-23CF-44E3-9099-C40C66FF867C}">
                  <a14:compatExt spid="_x0000_s37593"/>
                </a:ext>
                <a:ext uri="{FF2B5EF4-FFF2-40B4-BE49-F238E27FC236}">
                  <a16:creationId xmlns:a16="http://schemas.microsoft.com/office/drawing/2014/main" id="{00000000-0008-0000-0400-0000D99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11</xdr:col>
      <xdr:colOff>533400</xdr:colOff>
      <xdr:row>67</xdr:row>
      <xdr:rowOff>0</xdr:rowOff>
    </xdr:from>
    <xdr:ext cx="65" cy="172227"/>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7610475" y="418528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0</xdr:colOff>
      <xdr:row>49</xdr:row>
      <xdr:rowOff>235973</xdr:rowOff>
    </xdr:from>
    <xdr:ext cx="1948482" cy="1831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500-000006000000}"/>
                </a:ext>
              </a:extLst>
            </xdr:cNvPr>
            <xdr:cNvSpPr txBox="1"/>
          </xdr:nvSpPr>
          <xdr:spPr>
            <a:xfrm>
              <a:off x="2638425" y="20676623"/>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r>
                      <a:rPr lang="en-US" sz="1100" b="0" i="1">
                        <a:latin typeface="Cambria Math" panose="02040503050406030204" pitchFamily="18" charset="0"/>
                      </a:rPr>
                      <m:t>=2</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2</m:t>
                        </m:r>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oMath>
                </m:oMathPara>
              </a14:m>
              <a:endParaRPr lang="en-US" sz="1100"/>
            </a:p>
          </xdr:txBody>
        </xdr:sp>
      </mc:Choice>
      <mc:Fallback xmlns="">
        <xdr:sp macro="" textlink="">
          <xdr:nvSpPr>
            <xdr:cNvPr id="6" name="TextBox 5">
              <a:extLst>
                <a:ext uri="{FF2B5EF4-FFF2-40B4-BE49-F238E27FC236}">
                  <a16:creationId xmlns:a16="http://schemas.microsoft.com/office/drawing/2014/main" id="{D8B7BC93-0249-4DA4-A5F8-170AC7DC8B79}"/>
                </a:ext>
              </a:extLst>
            </xdr:cNvPr>
            <xdr:cNvSpPr txBox="1"/>
          </xdr:nvSpPr>
          <xdr:spPr>
            <a:xfrm>
              <a:off x="2638425" y="20676623"/>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𝐿=2𝐿_𝑜𝑣𝑒𝑟+𝐿_𝑑𝑒𝑓𝑒𝑐𝑡+〖2𝐿〗_𝑡𝑎𝑝𝑒𝑟</a:t>
              </a:r>
              <a:endParaRPr lang="en-US" sz="1100"/>
            </a:p>
          </xdr:txBody>
        </xdr:sp>
      </mc:Fallback>
    </mc:AlternateContent>
    <xdr:clientData/>
  </xdr:oneCellAnchor>
  <xdr:oneCellAnchor>
    <xdr:from>
      <xdr:col>4</xdr:col>
      <xdr:colOff>219075</xdr:colOff>
      <xdr:row>24</xdr:row>
      <xdr:rowOff>66675</xdr:rowOff>
    </xdr:from>
    <xdr:ext cx="173509"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2857500" y="7581900"/>
              <a:ext cx="1735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𝑐</m:t>
                        </m:r>
                      </m:sub>
                    </m:sSub>
                  </m:oMath>
                </m:oMathPara>
              </a14:m>
              <a:endParaRPr lang="en-US" sz="1100"/>
            </a:p>
          </xdr:txBody>
        </xdr:sp>
      </mc:Choice>
      <mc:Fallback xmlns="">
        <xdr:sp macro="" textlink="">
          <xdr:nvSpPr>
            <xdr:cNvPr id="7" name="TextBox 6">
              <a:extLst>
                <a:ext uri="{FF2B5EF4-FFF2-40B4-BE49-F238E27FC236}">
                  <a16:creationId xmlns:a16="http://schemas.microsoft.com/office/drawing/2014/main" id="{39546169-2BAB-4F83-84F6-3621EEB6631E}"/>
                </a:ext>
              </a:extLst>
            </xdr:cNvPr>
            <xdr:cNvSpPr txBox="1"/>
          </xdr:nvSpPr>
          <xdr:spPr>
            <a:xfrm>
              <a:off x="2857500" y="7581900"/>
              <a:ext cx="17350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𝐸_𝑐</a:t>
              </a:r>
              <a:endParaRPr lang="en-US" sz="1100"/>
            </a:p>
          </xdr:txBody>
        </xdr:sp>
      </mc:Fallback>
    </mc:AlternateContent>
    <xdr:clientData/>
  </xdr:oneCellAnchor>
  <xdr:oneCellAnchor>
    <xdr:from>
      <xdr:col>4</xdr:col>
      <xdr:colOff>219075</xdr:colOff>
      <xdr:row>25</xdr:row>
      <xdr:rowOff>66675</xdr:rowOff>
    </xdr:from>
    <xdr:ext cx="154658"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2857500" y="792480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𝜀</m:t>
                        </m:r>
                      </m:e>
                      <m:sub>
                        <m:r>
                          <a:rPr lang="en-US" sz="1100" b="0" i="1">
                            <a:latin typeface="Cambria Math" panose="02040503050406030204" pitchFamily="18" charset="0"/>
                            <a:ea typeface="Cambria Math" panose="02040503050406030204" pitchFamily="18" charset="0"/>
                          </a:rPr>
                          <m:t>𝑐</m:t>
                        </m:r>
                      </m:sub>
                    </m:sSub>
                  </m:oMath>
                </m:oMathPara>
              </a14:m>
              <a:endParaRPr lang="en-US" sz="1100"/>
            </a:p>
          </xdr:txBody>
        </xdr:sp>
      </mc:Choice>
      <mc:Fallback xmlns="">
        <xdr:sp macro="" textlink="">
          <xdr:nvSpPr>
            <xdr:cNvPr id="8" name="TextBox 7">
              <a:extLst>
                <a:ext uri="{FF2B5EF4-FFF2-40B4-BE49-F238E27FC236}">
                  <a16:creationId xmlns:a16="http://schemas.microsoft.com/office/drawing/2014/main" id="{E8119858-6915-4460-BF3A-E5BAC97753BC}"/>
                </a:ext>
              </a:extLst>
            </xdr:cNvPr>
            <xdr:cNvSpPr txBox="1"/>
          </xdr:nvSpPr>
          <xdr:spPr>
            <a:xfrm>
              <a:off x="2857500" y="792480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𝜀_</a:t>
              </a:r>
              <a:r>
                <a:rPr lang="en-US" sz="1100" b="0" i="0">
                  <a:latin typeface="Cambria Math" panose="02040503050406030204" pitchFamily="18" charset="0"/>
                  <a:ea typeface="Cambria Math" panose="02040503050406030204" pitchFamily="18" charset="0"/>
                </a:rPr>
                <a:t>𝑐</a:t>
              </a:r>
              <a:endParaRPr lang="en-US" sz="1100"/>
            </a:p>
          </xdr:txBody>
        </xdr:sp>
      </mc:Fallback>
    </mc:AlternateContent>
    <xdr:clientData/>
  </xdr:oneCellAnchor>
  <xdr:oneCellAnchor>
    <xdr:from>
      <xdr:col>4</xdr:col>
      <xdr:colOff>228600</xdr:colOff>
      <xdr:row>17</xdr:row>
      <xdr:rowOff>85725</xdr:rowOff>
    </xdr:from>
    <xdr:ext cx="170175"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2867025" y="485775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9" name="TextBox 8">
              <a:extLst>
                <a:ext uri="{FF2B5EF4-FFF2-40B4-BE49-F238E27FC236}">
                  <a16:creationId xmlns:a16="http://schemas.microsoft.com/office/drawing/2014/main" id="{ED207444-39DF-40F6-91F8-B39FDAC45D62}"/>
                </a:ext>
              </a:extLst>
            </xdr:cNvPr>
            <xdr:cNvSpPr txBox="1"/>
          </xdr:nvSpPr>
          <xdr:spPr>
            <a:xfrm>
              <a:off x="2867025" y="485775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𝐸_𝑠</a:t>
              </a:r>
              <a:endParaRPr lang="en-US" sz="1100"/>
            </a:p>
          </xdr:txBody>
        </xdr:sp>
      </mc:Fallback>
    </mc:AlternateContent>
    <xdr:clientData/>
  </xdr:oneCellAnchor>
  <xdr:oneCellAnchor>
    <xdr:from>
      <xdr:col>4</xdr:col>
      <xdr:colOff>228600</xdr:colOff>
      <xdr:row>26</xdr:row>
      <xdr:rowOff>76200</xdr:rowOff>
    </xdr:from>
    <xdr:ext cx="183768" cy="1722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2867025" y="827722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12" name="TextBox 11">
              <a:extLst>
                <a:ext uri="{FF2B5EF4-FFF2-40B4-BE49-F238E27FC236}">
                  <a16:creationId xmlns:a16="http://schemas.microsoft.com/office/drawing/2014/main" id="{ED221EF9-C3C2-457D-B12C-F2FB469495E4}"/>
                </a:ext>
              </a:extLst>
            </xdr:cNvPr>
            <xdr:cNvSpPr txBox="1"/>
          </xdr:nvSpPr>
          <xdr:spPr>
            <a:xfrm>
              <a:off x="2867025" y="8277225"/>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4</xdr:col>
      <xdr:colOff>238125</xdr:colOff>
      <xdr:row>31</xdr:row>
      <xdr:rowOff>66675</xdr:rowOff>
    </xdr:from>
    <xdr:ext cx="113557"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2876550" y="99822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15B56E4D-FE93-474F-BB97-8B25EC63E63D}"/>
                </a:ext>
              </a:extLst>
            </xdr:cNvPr>
            <xdr:cNvSpPr txBox="1"/>
          </xdr:nvSpPr>
          <xdr:spPr>
            <a:xfrm>
              <a:off x="2876550" y="998220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4</xdr:col>
      <xdr:colOff>257175</xdr:colOff>
      <xdr:row>9</xdr:row>
      <xdr:rowOff>85725</xdr:rowOff>
    </xdr:from>
    <xdr:ext cx="133626" cy="1722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500-00000E000000}"/>
                </a:ext>
              </a:extLst>
            </xdr:cNvPr>
            <xdr:cNvSpPr txBox="1"/>
          </xdr:nvSpPr>
          <xdr:spPr>
            <a:xfrm>
              <a:off x="2895600" y="211455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14" name="TextBox 13">
              <a:extLst>
                <a:ext uri="{FF2B5EF4-FFF2-40B4-BE49-F238E27FC236}">
                  <a16:creationId xmlns:a16="http://schemas.microsoft.com/office/drawing/2014/main" id="{1CC18EBF-15C3-4B63-99D3-6A87A158B3D8}"/>
                </a:ext>
              </a:extLst>
            </xdr:cNvPr>
            <xdr:cNvSpPr txBox="1"/>
          </xdr:nvSpPr>
          <xdr:spPr>
            <a:xfrm>
              <a:off x="2895600" y="211455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4</xdr:col>
      <xdr:colOff>247650</xdr:colOff>
      <xdr:row>10</xdr:row>
      <xdr:rowOff>76200</xdr:rowOff>
    </xdr:from>
    <xdr:ext cx="90986" cy="172227"/>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2886075" y="2447925"/>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15" name="TextBox 14">
              <a:extLst>
                <a:ext uri="{FF2B5EF4-FFF2-40B4-BE49-F238E27FC236}">
                  <a16:creationId xmlns:a16="http://schemas.microsoft.com/office/drawing/2014/main" id="{F23FA9E1-58ED-4055-B28D-8186BC0528AB}"/>
                </a:ext>
              </a:extLst>
            </xdr:cNvPr>
            <xdr:cNvSpPr txBox="1"/>
          </xdr:nvSpPr>
          <xdr:spPr>
            <a:xfrm>
              <a:off x="2886075" y="2447925"/>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4</xdr:col>
      <xdr:colOff>266700</xdr:colOff>
      <xdr:row>15</xdr:row>
      <xdr:rowOff>66675</xdr:rowOff>
    </xdr:from>
    <xdr:ext cx="122790" cy="172227"/>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2905125" y="415290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17" name="TextBox 16">
              <a:extLst>
                <a:ext uri="{FF2B5EF4-FFF2-40B4-BE49-F238E27FC236}">
                  <a16:creationId xmlns:a16="http://schemas.microsoft.com/office/drawing/2014/main" id="{A36D35A4-C883-4ABA-A015-F2D768212EAB}"/>
                </a:ext>
              </a:extLst>
            </xdr:cNvPr>
            <xdr:cNvSpPr txBox="1"/>
          </xdr:nvSpPr>
          <xdr:spPr>
            <a:xfrm>
              <a:off x="2905125" y="415290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4</xdr:col>
      <xdr:colOff>161925</xdr:colOff>
      <xdr:row>13</xdr:row>
      <xdr:rowOff>85725</xdr:rowOff>
    </xdr:from>
    <xdr:ext cx="290401" cy="172227"/>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2800350" y="34861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18" name="TextBox 17">
              <a:extLst>
                <a:ext uri="{FF2B5EF4-FFF2-40B4-BE49-F238E27FC236}">
                  <a16:creationId xmlns:a16="http://schemas.microsoft.com/office/drawing/2014/main" id="{0BE514F0-D524-478C-9DD5-EE8DADC6F2B1}"/>
                </a:ext>
              </a:extLst>
            </xdr:cNvPr>
            <xdr:cNvSpPr txBox="1"/>
          </xdr:nvSpPr>
          <xdr:spPr>
            <a:xfrm>
              <a:off x="2800350" y="348615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4</xdr:col>
      <xdr:colOff>144780</xdr:colOff>
      <xdr:row>27</xdr:row>
      <xdr:rowOff>45720</xdr:rowOff>
    </xdr:from>
    <xdr:ext cx="370743" cy="182935"/>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500-000014000000}"/>
                </a:ext>
              </a:extLst>
            </xdr:cNvPr>
            <xdr:cNvSpPr txBox="1"/>
          </xdr:nvSpPr>
          <xdr:spPr>
            <a:xfrm>
              <a:off x="2783205" y="8589645"/>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20" name="TextBox 19">
              <a:extLst>
                <a:ext uri="{FF2B5EF4-FFF2-40B4-BE49-F238E27FC236}">
                  <a16:creationId xmlns:a16="http://schemas.microsoft.com/office/drawing/2014/main" id="{31FC5DF4-4626-4F69-9708-2AFFBF20DCAB}"/>
                </a:ext>
              </a:extLst>
            </xdr:cNvPr>
            <xdr:cNvSpPr txBox="1"/>
          </xdr:nvSpPr>
          <xdr:spPr>
            <a:xfrm>
              <a:off x="2783205" y="8589645"/>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𝑡_𝑙𝑎𝑦𝑒𝑟</a:t>
              </a:r>
              <a:endParaRPr lang="en-US" sz="1100"/>
            </a:p>
          </xdr:txBody>
        </xdr:sp>
      </mc:Fallback>
    </mc:AlternateContent>
    <xdr:clientData/>
  </xdr:oneCellAnchor>
  <xdr:oneCellAnchor>
    <xdr:from>
      <xdr:col>4</xdr:col>
      <xdr:colOff>28575</xdr:colOff>
      <xdr:row>49</xdr:row>
      <xdr:rowOff>468630</xdr:rowOff>
    </xdr:from>
    <xdr:ext cx="662682" cy="182614"/>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500-000019000000}"/>
                </a:ext>
              </a:extLst>
            </xdr:cNvPr>
            <xdr:cNvSpPr txBox="1"/>
          </xdr:nvSpPr>
          <xdr:spPr>
            <a:xfrm>
              <a:off x="2667000" y="20909280"/>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r>
                      <a:rPr lang="en-US" sz="1100" b="0" i="1">
                        <a:latin typeface="Cambria Math" panose="02040503050406030204" pitchFamily="18" charset="0"/>
                      </a:rPr>
                      <m:t>=0</m:t>
                    </m:r>
                  </m:oMath>
                </m:oMathPara>
              </a14:m>
              <a:endParaRPr lang="en-US" sz="1100"/>
            </a:p>
          </xdr:txBody>
        </xdr:sp>
      </mc:Choice>
      <mc:Fallback xmlns="">
        <xdr:sp macro="" textlink="">
          <xdr:nvSpPr>
            <xdr:cNvPr id="25" name="TextBox 24">
              <a:extLst>
                <a:ext uri="{FF2B5EF4-FFF2-40B4-BE49-F238E27FC236}">
                  <a16:creationId xmlns:a16="http://schemas.microsoft.com/office/drawing/2014/main" id="{87408668-0F1F-4F1F-8CEE-8623751612FD}"/>
                </a:ext>
              </a:extLst>
            </xdr:cNvPr>
            <xdr:cNvSpPr txBox="1"/>
          </xdr:nvSpPr>
          <xdr:spPr>
            <a:xfrm>
              <a:off x="2667000" y="20909280"/>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𝐿_𝑡𝑎𝑝𝑒𝑟=0</a:t>
              </a:r>
              <a:endParaRPr lang="en-US" sz="1100"/>
            </a:p>
          </xdr:txBody>
        </xdr:sp>
      </mc:Fallback>
    </mc:AlternateContent>
    <xdr:clientData/>
  </xdr:oneCellAnchor>
  <xdr:oneCellAnchor>
    <xdr:from>
      <xdr:col>4</xdr:col>
      <xdr:colOff>0</xdr:colOff>
      <xdr:row>48</xdr:row>
      <xdr:rowOff>286422</xdr:rowOff>
    </xdr:from>
    <xdr:ext cx="1122936" cy="204993"/>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0500-00001A000000}"/>
                </a:ext>
              </a:extLst>
            </xdr:cNvPr>
            <xdr:cNvSpPr txBox="1"/>
          </xdr:nvSpPr>
          <xdr:spPr>
            <a:xfrm>
              <a:off x="2622176" y="17890863"/>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=2.5</m:t>
                    </m:r>
                    <m:rad>
                      <m:radPr>
                        <m:degHide m:val="on"/>
                        <m:ctrlPr>
                          <a:rPr lang="en-US" sz="1100" b="0" i="1">
                            <a:latin typeface="Cambria Math" panose="02040503050406030204" pitchFamily="18" charset="0"/>
                          </a:rPr>
                        </m:ctrlPr>
                      </m:radPr>
                      <m:deg/>
                      <m:e>
                        <m:r>
                          <a:rPr lang="en-US" sz="1100" b="0" i="1">
                            <a:latin typeface="Cambria Math" panose="02040503050406030204" pitchFamily="18" charset="0"/>
                          </a:rPr>
                          <m:t>𝐷𝑡</m:t>
                        </m:r>
                        <m:r>
                          <a:rPr lang="en-US" sz="1100" b="0" i="1">
                            <a:latin typeface="Cambria Math" panose="02040503050406030204" pitchFamily="18" charset="0"/>
                          </a:rPr>
                          <m:t>/2</m:t>
                        </m:r>
                      </m:e>
                    </m:rad>
                  </m:oMath>
                </m:oMathPara>
              </a14:m>
              <a:endParaRPr lang="en-US" sz="1100"/>
            </a:p>
          </xdr:txBody>
        </xdr:sp>
      </mc:Choice>
      <mc:Fallback xmlns="">
        <xdr:sp macro="" textlink="">
          <xdr:nvSpPr>
            <xdr:cNvPr id="26" name="TextBox 25">
              <a:extLst>
                <a:ext uri="{FF2B5EF4-FFF2-40B4-BE49-F238E27FC236}">
                  <a16:creationId xmlns:a16="http://schemas.microsoft.com/office/drawing/2014/main" id="{17DC0B90-D46A-4A3B-BFB1-F05D924FA2ED}"/>
                </a:ext>
              </a:extLst>
            </xdr:cNvPr>
            <xdr:cNvSpPr txBox="1"/>
          </xdr:nvSpPr>
          <xdr:spPr>
            <a:xfrm>
              <a:off x="2622176" y="17890863"/>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𝐿_𝑜𝑣𝑒𝑟=2.5√(𝐷𝑡/2)</a:t>
              </a:r>
              <a:endParaRPr lang="en-US" sz="1100"/>
            </a:p>
          </xdr:txBody>
        </xdr:sp>
      </mc:Fallback>
    </mc:AlternateContent>
    <xdr:clientData/>
  </xdr:oneCellAnchor>
  <xdr:oneCellAnchor>
    <xdr:from>
      <xdr:col>5</xdr:col>
      <xdr:colOff>104775</xdr:colOff>
      <xdr:row>14</xdr:row>
      <xdr:rowOff>333375</xdr:rowOff>
    </xdr:from>
    <xdr:ext cx="1248868" cy="316882"/>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3552825" y="4029075"/>
              <a:ext cx="124886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r>
                      <a:rPr lang="en-US" sz="1100" b="0" i="1">
                        <a:latin typeface="Cambria Math" panose="02040503050406030204" pitchFamily="18" charset="0"/>
                      </a:rPr>
                      <m:t>=</m:t>
                    </m:r>
                    <m:d>
                      <m:dPr>
                        <m:ctrlPr>
                          <a:rPr lang="en-US" sz="1100" b="0" i="1">
                            <a:latin typeface="Cambria Math" panose="02040503050406030204" pitchFamily="18" charset="0"/>
                          </a:rPr>
                        </m:ctrlPr>
                      </m:dPr>
                      <m:e>
                        <m:r>
                          <a:rPr lang="en-US" sz="1100" b="0" i="1">
                            <a:latin typeface="Cambria Math" panose="02040503050406030204" pitchFamily="18" charset="0"/>
                          </a:rPr>
                          <m:t>%</m:t>
                        </m:r>
                        <m:r>
                          <a:rPr lang="en-US" sz="1100" b="0" i="1">
                            <a:latin typeface="Cambria Math" panose="02040503050406030204" pitchFamily="18" charset="0"/>
                          </a:rPr>
                          <m:t>𝑆𝑀𝑌𝑆</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m:t>
                        </m:r>
                        <m:r>
                          <a:rPr lang="en-US" sz="1100" b="0" i="1">
                            <a:latin typeface="Cambria Math" panose="02040503050406030204" pitchFamily="18" charset="0"/>
                          </a:rPr>
                          <m:t>𝑆𝑡</m:t>
                        </m:r>
                      </m:num>
                      <m:den>
                        <m:r>
                          <a:rPr lang="en-US" sz="1100" b="0" i="1">
                            <a:latin typeface="Cambria Math" panose="02040503050406030204" pitchFamily="18" charset="0"/>
                          </a:rPr>
                          <m:t>𝐷</m:t>
                        </m:r>
                      </m:den>
                    </m:f>
                  </m:oMath>
                </m:oMathPara>
              </a14:m>
              <a:endParaRPr lang="en-US" sz="1100"/>
            </a:p>
          </xdr:txBody>
        </xdr:sp>
      </mc:Choice>
      <mc:Fallback xmlns="">
        <xdr:sp macro="" textlink="">
          <xdr:nvSpPr>
            <xdr:cNvPr id="27" name="TextBox 26">
              <a:extLst>
                <a:ext uri="{FF2B5EF4-FFF2-40B4-BE49-F238E27FC236}">
                  <a16:creationId xmlns:a16="http://schemas.microsoft.com/office/drawing/2014/main" id="{00000000-0008-0000-0500-00001B000000}"/>
                </a:ext>
              </a:extLst>
            </xdr:cNvPr>
            <xdr:cNvSpPr txBox="1"/>
          </xdr:nvSpPr>
          <xdr:spPr>
            <a:xfrm>
              <a:off x="3552825" y="4029075"/>
              <a:ext cx="124886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𝑃=(%𝑆𝑀𝑌𝑆)∗2𝑆𝑡/𝐷</a:t>
              </a:r>
              <a:endParaRPr lang="en-US" sz="1100"/>
            </a:p>
          </xdr:txBody>
        </xdr:sp>
      </mc:Fallback>
    </mc:AlternateContent>
    <xdr:clientData/>
  </xdr:oneCellAnchor>
  <xdr:oneCellAnchor>
    <xdr:from>
      <xdr:col>4</xdr:col>
      <xdr:colOff>9525</xdr:colOff>
      <xdr:row>52</xdr:row>
      <xdr:rowOff>238125</xdr:rowOff>
    </xdr:from>
    <xdr:ext cx="792012" cy="368947"/>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2631701" y="17696890"/>
              <a:ext cx="792012"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1.5∗</m:t>
                        </m:r>
                        <m:r>
                          <a:rPr lang="en-US" sz="1100" b="0" i="1">
                            <a:latin typeface="Cambria Math" panose="02040503050406030204" pitchFamily="18" charset="0"/>
                          </a:rPr>
                          <m:t>𝑡</m:t>
                        </m:r>
                      </m:num>
                      <m:den>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𝑙𝑎𝑦𝑒𝑟</m:t>
                            </m:r>
                          </m:sub>
                        </m:sSub>
                      </m:den>
                    </m:f>
                  </m:oMath>
                </m:oMathPara>
              </a14:m>
              <a:endParaRPr lang="en-US" sz="1100"/>
            </a:p>
          </xdr:txBody>
        </xdr:sp>
      </mc:Choice>
      <mc:Fallback xmlns="">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2631701" y="17696890"/>
              <a:ext cx="792012" cy="36894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a:t>
              </a:r>
              <a:r>
                <a:rPr lang="en-US" sz="1100" b="0" i="0">
                  <a:latin typeface="Cambria Math" panose="02040503050406030204" pitchFamily="18" charset="0"/>
                </a:rPr>
                <a:t>=(1.5∗𝑡)/𝑡_𝑙𝑎𝑦𝑒𝑟 </a:t>
              </a:r>
              <a:endParaRPr lang="en-US" sz="1100"/>
            </a:p>
          </xdr:txBody>
        </xdr:sp>
      </mc:Fallback>
    </mc:AlternateContent>
    <xdr:clientData/>
  </xdr:oneCellAnchor>
  <xdr:oneCellAnchor>
    <xdr:from>
      <xdr:col>4</xdr:col>
      <xdr:colOff>247650</xdr:colOff>
      <xdr:row>18</xdr:row>
      <xdr:rowOff>66675</xdr:rowOff>
    </xdr:from>
    <xdr:ext cx="118879" cy="172227"/>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2886075" y="518160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42" name="TextBox 41">
              <a:extLst>
                <a:ext uri="{FF2B5EF4-FFF2-40B4-BE49-F238E27FC236}">
                  <a16:creationId xmlns:a16="http://schemas.microsoft.com/office/drawing/2014/main" id="{EDD5A40B-EEB4-4BCC-B4C7-420CB7F08C00}"/>
                </a:ext>
              </a:extLst>
            </xdr:cNvPr>
            <xdr:cNvSpPr txBox="1"/>
          </xdr:nvSpPr>
          <xdr:spPr>
            <a:xfrm>
              <a:off x="2886075" y="518160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xdr:oneCellAnchor>
    <xdr:from>
      <xdr:col>4</xdr:col>
      <xdr:colOff>0</xdr:colOff>
      <xdr:row>54</xdr:row>
      <xdr:rowOff>276225</xdr:rowOff>
    </xdr:from>
    <xdr:ext cx="2345835" cy="194733"/>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2622176" y="18496990"/>
              <a:ext cx="2345835"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𝑟𝑒𝑝𝑎𝑖𝑟</m:t>
                        </m:r>
                      </m:sub>
                    </m:sSub>
                    <m:r>
                      <a:rPr lang="en-US" sz="1100" b="0" i="1">
                        <a:latin typeface="Cambria Math" panose="02040503050406030204" pitchFamily="18" charset="0"/>
                      </a:rPr>
                      <m:t>=</m:t>
                    </m:r>
                    <m:r>
                      <m:rPr>
                        <m:nor/>
                      </m:rPr>
                      <a:rPr lang="en-US" sz="1100" b="0" i="0">
                        <a:latin typeface="Cambria Math" panose="02040503050406030204" pitchFamily="18" charset="0"/>
                      </a:rPr>
                      <m:t>CEILING</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e>
                    </m:d>
                  </m:oMath>
                </m:oMathPara>
              </a14:m>
              <a:endParaRPr lang="en-US" sz="1100"/>
            </a:p>
          </xdr:txBody>
        </xdr:sp>
      </mc:Choice>
      <mc:Fallback xmlns="">
        <xdr:sp macro="" textlink="">
          <xdr:nvSpPr>
            <xdr:cNvPr id="45" name="TextBox 44">
              <a:extLst>
                <a:ext uri="{FF2B5EF4-FFF2-40B4-BE49-F238E27FC236}">
                  <a16:creationId xmlns:a16="http://schemas.microsoft.com/office/drawing/2014/main" id="{00000000-0008-0000-0500-00002D000000}"/>
                </a:ext>
              </a:extLst>
            </xdr:cNvPr>
            <xdr:cNvSpPr txBox="1"/>
          </xdr:nvSpPr>
          <xdr:spPr>
            <a:xfrm>
              <a:off x="2622176" y="18496990"/>
              <a:ext cx="2345835"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𝑡_𝑟𝑒𝑝𝑎𝑖𝑟</a:t>
              </a:r>
              <a:r>
                <a:rPr lang="en-US" sz="1100" b="0" i="0">
                  <a:latin typeface="Cambria Math" panose="02040503050406030204" pitchFamily="18" charset="0"/>
                </a:rPr>
                <a:t>="CEILING" (</a:t>
              </a:r>
              <a:r>
                <a:rPr lang="en-US" sz="1100" b="0" i="0">
                  <a:solidFill>
                    <a:schemeClr val="tx1"/>
                  </a:solidFill>
                  <a:effectLst/>
                  <a:latin typeface="Cambria Math" panose="02040503050406030204" pitchFamily="18" charset="0"/>
                  <a:ea typeface="+mn-ea"/>
                  <a:cs typeface="+mn-cs"/>
                </a:rPr>
                <a:t>𝑊_𝑁∗𝑡_𝑙𝑎𝑦𝑒𝑟, 〖  𝑡〗_𝑙𝑎𝑦𝑒𝑟 )</a:t>
              </a:r>
              <a:endParaRPr lang="en-US" sz="1100"/>
            </a:p>
          </xdr:txBody>
        </xdr:sp>
      </mc:Fallback>
    </mc:AlternateContent>
    <xdr:clientData/>
  </xdr:oneCellAnchor>
  <xdr:oneCellAnchor>
    <xdr:from>
      <xdr:col>4</xdr:col>
      <xdr:colOff>33617</xdr:colOff>
      <xdr:row>57</xdr:row>
      <xdr:rowOff>293594</xdr:rowOff>
    </xdr:from>
    <xdr:ext cx="881716" cy="176972"/>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2655793" y="21013270"/>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oMath>
                </m:oMathPara>
              </a14:m>
              <a:endParaRPr lang="en-US" sz="1100"/>
            </a:p>
          </xdr:txBody>
        </xdr:sp>
      </mc:Choice>
      <mc:Fallback xmlns="">
        <xdr:sp macro="" textlink="">
          <xdr:nvSpPr>
            <xdr:cNvPr id="47" name="TextBox 46">
              <a:extLst>
                <a:ext uri="{FF2B5EF4-FFF2-40B4-BE49-F238E27FC236}">
                  <a16:creationId xmlns:a16="http://schemas.microsoft.com/office/drawing/2014/main" id="{00000000-0008-0000-0500-00002F000000}"/>
                </a:ext>
              </a:extLst>
            </xdr:cNvPr>
            <xdr:cNvSpPr txBox="1"/>
          </xdr:nvSpPr>
          <xdr:spPr>
            <a:xfrm>
              <a:off x="2655793" y="21013270"/>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1,𝑇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𝛿_1∗𝑊_𝐿</a:t>
              </a:r>
              <a:endParaRPr lang="en-US" sz="1100"/>
            </a:p>
          </xdr:txBody>
        </xdr:sp>
      </mc:Fallback>
    </mc:AlternateContent>
    <xdr:clientData/>
  </xdr:oneCellAnchor>
  <xdr:oneCellAnchor>
    <xdr:from>
      <xdr:col>4</xdr:col>
      <xdr:colOff>0</xdr:colOff>
      <xdr:row>36</xdr:row>
      <xdr:rowOff>85725</xdr:rowOff>
    </xdr:from>
    <xdr:ext cx="424668" cy="182614"/>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2622176" y="11370049"/>
              <a:ext cx="424668"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𝑟𝑒𝑝𝑎𝑖𝑟</m:t>
                        </m:r>
                      </m:sub>
                    </m:sSub>
                  </m:oMath>
                </m:oMathPara>
              </a14:m>
              <a:endParaRPr lang="en-US" sz="1100"/>
            </a:p>
          </xdr:txBody>
        </xdr:sp>
      </mc:Choice>
      <mc:Fallback xmlns="">
        <xdr:sp macro="" textlink="">
          <xdr:nvSpPr>
            <xdr:cNvPr id="50" name="TextBox 49">
              <a:extLst>
                <a:ext uri="{FF2B5EF4-FFF2-40B4-BE49-F238E27FC236}">
                  <a16:creationId xmlns:a16="http://schemas.microsoft.com/office/drawing/2014/main" id="{00000000-0008-0000-0400-000032000000}"/>
                </a:ext>
              </a:extLst>
            </xdr:cNvPr>
            <xdr:cNvSpPr txBox="1"/>
          </xdr:nvSpPr>
          <xdr:spPr>
            <a:xfrm>
              <a:off x="2622176" y="11370049"/>
              <a:ext cx="424668"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𝑡_𝑟𝑒𝑝𝑎𝑖𝑟</a:t>
              </a:r>
              <a:endParaRPr lang="en-US" sz="1100"/>
            </a:p>
          </xdr:txBody>
        </xdr:sp>
      </mc:Fallback>
    </mc:AlternateContent>
    <xdr:clientData/>
  </xdr:oneCellAnchor>
  <xdr:oneCellAnchor>
    <xdr:from>
      <xdr:col>4</xdr:col>
      <xdr:colOff>0</xdr:colOff>
      <xdr:row>38</xdr:row>
      <xdr:rowOff>67235</xdr:rowOff>
    </xdr:from>
    <xdr:ext cx="210827" cy="183127"/>
    <mc:AlternateContent xmlns:mc="http://schemas.openxmlformats.org/markup-compatibility/2006" xmlns:a14="http://schemas.microsoft.com/office/drawing/2010/main">
      <mc:Choice Requires="a14">
        <xdr:sp macro="" textlink="">
          <xdr:nvSpPr>
            <xdr:cNvPr id="51" name="TextBox 50">
              <a:extLst>
                <a:ext uri="{FF2B5EF4-FFF2-40B4-BE49-F238E27FC236}">
                  <a16:creationId xmlns:a16="http://schemas.microsoft.com/office/drawing/2014/main" id="{00000000-0008-0000-0500-000033000000}"/>
                </a:ext>
              </a:extLst>
            </xdr:cNvPr>
            <xdr:cNvSpPr txBox="1"/>
          </xdr:nvSpPr>
          <xdr:spPr>
            <a:xfrm>
              <a:off x="2622176" y="11698941"/>
              <a:ext cx="21082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mn-ea"/>
                            <a:cs typeface="+mn-cs"/>
                          </a:rPr>
                          <m:t>𝑓𝑡</m:t>
                        </m:r>
                      </m:sub>
                    </m:sSub>
                  </m:oMath>
                </m:oMathPara>
              </a14:m>
              <a:endParaRPr lang="en-US" sz="1100"/>
            </a:p>
          </xdr:txBody>
        </xdr:sp>
      </mc:Choice>
      <mc:Fallback xmlns="">
        <xdr:sp macro="" textlink="">
          <xdr:nvSpPr>
            <xdr:cNvPr id="51" name="TextBox 50">
              <a:extLst>
                <a:ext uri="{FF2B5EF4-FFF2-40B4-BE49-F238E27FC236}">
                  <a16:creationId xmlns:a16="http://schemas.microsoft.com/office/drawing/2014/main" id="{179D4694-33C4-40C6-9EE0-F4DA9531B75A}"/>
                </a:ext>
              </a:extLst>
            </xdr:cNvPr>
            <xdr:cNvSpPr txBox="1"/>
          </xdr:nvSpPr>
          <xdr:spPr>
            <a:xfrm>
              <a:off x="2622176" y="11698941"/>
              <a:ext cx="21082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_𝑓𝑡</a:t>
              </a:r>
              <a:endParaRPr lang="en-US" sz="1100"/>
            </a:p>
          </xdr:txBody>
        </xdr:sp>
      </mc:Fallback>
    </mc:AlternateContent>
    <xdr:clientData/>
  </xdr:oneCellAnchor>
  <xdr:oneCellAnchor>
    <xdr:from>
      <xdr:col>4</xdr:col>
      <xdr:colOff>0</xdr:colOff>
      <xdr:row>39</xdr:row>
      <xdr:rowOff>66675</xdr:rowOff>
    </xdr:from>
    <xdr:ext cx="109774" cy="172227"/>
    <mc:AlternateContent xmlns:mc="http://schemas.openxmlformats.org/markup-compatibility/2006" xmlns:a14="http://schemas.microsoft.com/office/drawing/2010/main">
      <mc:Choice Requires="a14">
        <xdr:sp macro="" textlink="">
          <xdr:nvSpPr>
            <xdr:cNvPr id="52" name="TextBox 51">
              <a:extLst>
                <a:ext uri="{FF2B5EF4-FFF2-40B4-BE49-F238E27FC236}">
                  <a16:creationId xmlns:a16="http://schemas.microsoft.com/office/drawing/2014/main" id="{00000000-0008-0000-0500-000034000000}"/>
                </a:ext>
              </a:extLst>
            </xdr:cNvPr>
            <xdr:cNvSpPr txBox="1"/>
          </xdr:nvSpPr>
          <xdr:spPr>
            <a:xfrm>
              <a:off x="2638425" y="1520190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oMath>
                </m:oMathPara>
              </a14:m>
              <a:endParaRPr lang="en-US" sz="1100"/>
            </a:p>
          </xdr:txBody>
        </xdr:sp>
      </mc:Choice>
      <mc:Fallback xmlns="">
        <xdr:sp macro="" textlink="">
          <xdr:nvSpPr>
            <xdr:cNvPr id="52" name="TextBox 51">
              <a:extLst>
                <a:ext uri="{FF2B5EF4-FFF2-40B4-BE49-F238E27FC236}">
                  <a16:creationId xmlns:a16="http://schemas.microsoft.com/office/drawing/2014/main" id="{DE2BCBF7-C23B-4E55-A4A8-BAE1FFC23D6A}"/>
                </a:ext>
              </a:extLst>
            </xdr:cNvPr>
            <xdr:cNvSpPr txBox="1"/>
          </xdr:nvSpPr>
          <xdr:spPr>
            <a:xfrm>
              <a:off x="2638425" y="1520190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a:t>
              </a:r>
              <a:endParaRPr lang="en-US" sz="1100"/>
            </a:p>
          </xdr:txBody>
        </xdr:sp>
      </mc:Fallback>
    </mc:AlternateContent>
    <xdr:clientData/>
  </xdr:oneCellAnchor>
  <xdr:oneCellAnchor>
    <xdr:from>
      <xdr:col>4</xdr:col>
      <xdr:colOff>0</xdr:colOff>
      <xdr:row>40</xdr:row>
      <xdr:rowOff>67235</xdr:rowOff>
    </xdr:from>
    <xdr:ext cx="350930" cy="172227"/>
    <mc:AlternateContent xmlns:mc="http://schemas.openxmlformats.org/markup-compatibility/2006" xmlns:a14="http://schemas.microsoft.com/office/drawing/2010/main">
      <mc:Choice Requires="a14">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2622176" y="12393706"/>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mn-ea"/>
                            <a:cs typeface="+mn-cs"/>
                          </a:rPr>
                          <m:t>𝑎𝑟𝑒𝑎</m:t>
                        </m:r>
                      </m:sub>
                    </m:sSub>
                  </m:oMath>
                </m:oMathPara>
              </a14:m>
              <a:endParaRPr lang="en-US" sz="1100"/>
            </a:p>
          </xdr:txBody>
        </xdr:sp>
      </mc:Choice>
      <mc:Fallback xmlns="">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2622176" y="12393706"/>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_𝑎𝑟𝑒𝑎</a:t>
              </a:r>
              <a:endParaRPr lang="en-US" sz="1100"/>
            </a:p>
          </xdr:txBody>
        </xdr:sp>
      </mc:Fallback>
    </mc:AlternateContent>
    <xdr:clientData/>
  </xdr:oneCellAnchor>
  <xdr:oneCellAnchor>
    <xdr:from>
      <xdr:col>4</xdr:col>
      <xdr:colOff>0</xdr:colOff>
      <xdr:row>41</xdr:row>
      <xdr:rowOff>56030</xdr:rowOff>
    </xdr:from>
    <xdr:ext cx="665247" cy="183320"/>
    <mc:AlternateContent xmlns:mc="http://schemas.openxmlformats.org/markup-compatibility/2006" xmlns:a14="http://schemas.microsoft.com/office/drawing/2010/main">
      <mc:Choice Requires="a14">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2622176" y="12729883"/>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oMath>
                </m:oMathPara>
              </a14:m>
              <a:endParaRPr lang="en-US" sz="1100"/>
            </a:p>
          </xdr:txBody>
        </xdr:sp>
      </mc:Choice>
      <mc:Fallback xmlns="">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622176" y="12729883"/>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endParaRPr lang="en-US" sz="1100"/>
            </a:p>
          </xdr:txBody>
        </xdr:sp>
      </mc:Fallback>
    </mc:AlternateContent>
    <xdr:clientData/>
  </xdr:oneCellAnchor>
  <xdr:oneCellAnchor>
    <xdr:from>
      <xdr:col>4</xdr:col>
      <xdr:colOff>0</xdr:colOff>
      <xdr:row>42</xdr:row>
      <xdr:rowOff>67236</xdr:rowOff>
    </xdr:from>
    <xdr:ext cx="380617" cy="172227"/>
    <mc:AlternateContent xmlns:mc="http://schemas.openxmlformats.org/markup-compatibility/2006" xmlns:a14="http://schemas.microsoft.com/office/drawing/2010/main">
      <mc:Choice Requires="a14">
        <xdr:sp macro="" textlink="">
          <xdr:nvSpPr>
            <xdr:cNvPr id="55" name="TextBox 54">
              <a:extLst>
                <a:ext uri="{FF2B5EF4-FFF2-40B4-BE49-F238E27FC236}">
                  <a16:creationId xmlns:a16="http://schemas.microsoft.com/office/drawing/2014/main" id="{00000000-0008-0000-0500-000037000000}"/>
                </a:ext>
              </a:extLst>
            </xdr:cNvPr>
            <xdr:cNvSpPr txBox="1"/>
          </xdr:nvSpPr>
          <xdr:spPr>
            <a:xfrm>
              <a:off x="2622176" y="13088471"/>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55" name="TextBox 54">
              <a:extLst>
                <a:ext uri="{FF2B5EF4-FFF2-40B4-BE49-F238E27FC236}">
                  <a16:creationId xmlns:a16="http://schemas.microsoft.com/office/drawing/2014/main" id="{00000000-0008-0000-0400-000037000000}"/>
                </a:ext>
              </a:extLst>
            </xdr:cNvPr>
            <xdr:cNvSpPr txBox="1"/>
          </xdr:nvSpPr>
          <xdr:spPr>
            <a:xfrm>
              <a:off x="2622176" y="13088471"/>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endParaRPr lang="en-US" sz="1100"/>
            </a:p>
          </xdr:txBody>
        </xdr:sp>
      </mc:Fallback>
    </mc:AlternateContent>
    <xdr:clientData/>
  </xdr:oneCellAnchor>
  <xdr:oneCellAnchor>
    <xdr:from>
      <xdr:col>4</xdr:col>
      <xdr:colOff>0</xdr:colOff>
      <xdr:row>35</xdr:row>
      <xdr:rowOff>76200</xdr:rowOff>
    </xdr:from>
    <xdr:ext cx="233204" cy="172227"/>
    <mc:AlternateContent xmlns:mc="http://schemas.openxmlformats.org/markup-compatibility/2006" xmlns:a14="http://schemas.microsoft.com/office/drawing/2010/main">
      <mc:Choice Requires="a14">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2622176" y="11013141"/>
              <a:ext cx="2332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oMath>
                </m:oMathPara>
              </a14:m>
              <a:endParaRPr lang="en-US" sz="1100"/>
            </a:p>
          </xdr:txBody>
        </xdr:sp>
      </mc:Choice>
      <mc:Fallback xmlns="">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2622176" y="11013141"/>
              <a:ext cx="2332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11</xdr:col>
          <xdr:colOff>600075</xdr:colOff>
          <xdr:row>1</xdr:row>
          <xdr:rowOff>409575</xdr:rowOff>
        </xdr:from>
        <xdr:to>
          <xdr:col>17</xdr:col>
          <xdr:colOff>0</xdr:colOff>
          <xdr:row>5</xdr:row>
          <xdr:rowOff>57150</xdr:rowOff>
        </xdr:to>
        <xdr:sp macro="" textlink="">
          <xdr:nvSpPr>
            <xdr:cNvPr id="12289" name="ExportSingle"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106680</xdr:colOff>
      <xdr:row>22</xdr:row>
      <xdr:rowOff>83820</xdr:rowOff>
    </xdr:from>
    <xdr:ext cx="476605" cy="183127"/>
    <mc:AlternateContent xmlns:mc="http://schemas.openxmlformats.org/markup-compatibility/2006" xmlns:a14="http://schemas.microsoft.com/office/drawing/2010/main">
      <mc:Choice Requires="a14">
        <xdr:sp macro="" textlink="">
          <xdr:nvSpPr>
            <xdr:cNvPr id="61" name="TextBox 60">
              <a:extLst>
                <a:ext uri="{FF2B5EF4-FFF2-40B4-BE49-F238E27FC236}">
                  <a16:creationId xmlns:a16="http://schemas.microsoft.com/office/drawing/2014/main" id="{00000000-0008-0000-0500-00003D000000}"/>
                </a:ext>
              </a:extLst>
            </xdr:cNvPr>
            <xdr:cNvSpPr txBox="1"/>
          </xdr:nvSpPr>
          <xdr:spPr>
            <a:xfrm>
              <a:off x="2745105" y="6227445"/>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𝑤</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61" name="TextBox 60">
              <a:extLst>
                <a:ext uri="{FF2B5EF4-FFF2-40B4-BE49-F238E27FC236}">
                  <a16:creationId xmlns:a16="http://schemas.microsoft.com/office/drawing/2014/main" id="{91C93CB4-F372-4237-9944-FDA92EB7448A}"/>
                </a:ext>
              </a:extLst>
            </xdr:cNvPr>
            <xdr:cNvSpPr txBox="1"/>
          </xdr:nvSpPr>
          <xdr:spPr>
            <a:xfrm>
              <a:off x="2745105" y="6227445"/>
              <a:ext cx="47660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𝑤_𝑑𝑒𝑓𝑒𝑐𝑡</a:t>
              </a:r>
              <a:endParaRPr lang="en-US" sz="1100"/>
            </a:p>
          </xdr:txBody>
        </xdr:sp>
      </mc:Fallback>
    </mc:AlternateContent>
    <xdr:clientData/>
  </xdr:oneCellAnchor>
  <xdr:oneCellAnchor>
    <xdr:from>
      <xdr:col>4</xdr:col>
      <xdr:colOff>113179</xdr:colOff>
      <xdr:row>19</xdr:row>
      <xdr:rowOff>74519</xdr:rowOff>
    </xdr:from>
    <xdr:ext cx="455317" cy="183127"/>
    <mc:AlternateContent xmlns:mc="http://schemas.openxmlformats.org/markup-compatibility/2006" xmlns:a14="http://schemas.microsoft.com/office/drawing/2010/main">
      <mc:Choice Requires="a14">
        <xdr:sp macro="" textlink="">
          <xdr:nvSpPr>
            <xdr:cNvPr id="62" name="TextBox 61">
              <a:extLst>
                <a:ext uri="{FF2B5EF4-FFF2-40B4-BE49-F238E27FC236}">
                  <a16:creationId xmlns:a16="http://schemas.microsoft.com/office/drawing/2014/main" id="{00000000-0008-0000-0500-00003E000000}"/>
                </a:ext>
              </a:extLst>
            </xdr:cNvPr>
            <xdr:cNvSpPr txBox="1"/>
          </xdr:nvSpPr>
          <xdr:spPr>
            <a:xfrm>
              <a:off x="2751604" y="5532344"/>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62" name="TextBox 61">
              <a:extLst>
                <a:ext uri="{FF2B5EF4-FFF2-40B4-BE49-F238E27FC236}">
                  <a16:creationId xmlns:a16="http://schemas.microsoft.com/office/drawing/2014/main" id="{DA3FC429-5033-4B00-9C54-EB9BB1B9FA3F}"/>
                </a:ext>
              </a:extLst>
            </xdr:cNvPr>
            <xdr:cNvSpPr txBox="1"/>
          </xdr:nvSpPr>
          <xdr:spPr>
            <a:xfrm>
              <a:off x="2751604" y="5532344"/>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4</xdr:col>
      <xdr:colOff>106680</xdr:colOff>
      <xdr:row>21</xdr:row>
      <xdr:rowOff>83820</xdr:rowOff>
    </xdr:from>
    <xdr:ext cx="452111" cy="183127"/>
    <mc:AlternateContent xmlns:mc="http://schemas.openxmlformats.org/markup-compatibility/2006" xmlns:a14="http://schemas.microsoft.com/office/drawing/2010/main">
      <mc:Choice Requires="a14">
        <xdr:sp macro="" textlink="">
          <xdr:nvSpPr>
            <xdr:cNvPr id="63" name="TextBox 62">
              <a:extLst>
                <a:ext uri="{FF2B5EF4-FFF2-40B4-BE49-F238E27FC236}">
                  <a16:creationId xmlns:a16="http://schemas.microsoft.com/office/drawing/2014/main" id="{00000000-0008-0000-0500-00003F000000}"/>
                </a:ext>
              </a:extLst>
            </xdr:cNvPr>
            <xdr:cNvSpPr txBox="1"/>
          </xdr:nvSpPr>
          <xdr:spPr>
            <a:xfrm>
              <a:off x="2745105" y="588454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63" name="TextBox 62">
              <a:extLst>
                <a:ext uri="{FF2B5EF4-FFF2-40B4-BE49-F238E27FC236}">
                  <a16:creationId xmlns:a16="http://schemas.microsoft.com/office/drawing/2014/main" id="{E95EFD7E-0C66-4F6E-B9AD-5F95306E7165}"/>
                </a:ext>
              </a:extLst>
            </xdr:cNvPr>
            <xdr:cNvSpPr txBox="1"/>
          </xdr:nvSpPr>
          <xdr:spPr>
            <a:xfrm>
              <a:off x="2745105" y="588454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4</xdr:col>
      <xdr:colOff>134471</xdr:colOff>
      <xdr:row>29</xdr:row>
      <xdr:rowOff>78441</xdr:rowOff>
    </xdr:from>
    <xdr:ext cx="377732" cy="172227"/>
    <mc:AlternateContent xmlns:mc="http://schemas.openxmlformats.org/markup-compatibility/2006" xmlns:a14="http://schemas.microsoft.com/office/drawing/2010/main">
      <mc:Choice Requires="a14">
        <xdr:sp macro="" textlink="">
          <xdr:nvSpPr>
            <xdr:cNvPr id="12291" name="TextBox 12290">
              <a:extLst>
                <a:ext uri="{FF2B5EF4-FFF2-40B4-BE49-F238E27FC236}">
                  <a16:creationId xmlns:a16="http://schemas.microsoft.com/office/drawing/2014/main" id="{00000000-0008-0000-0500-000003300000}"/>
                </a:ext>
              </a:extLst>
            </xdr:cNvPr>
            <xdr:cNvSpPr txBox="1"/>
          </xdr:nvSpPr>
          <xdr:spPr>
            <a:xfrm>
              <a:off x="2772896" y="9308166"/>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ea typeface="Cambria Math" panose="02040503050406030204" pitchFamily="18" charset="0"/>
                          </a:rPr>
                          <m:t>𝑟𝑒𝑠𝑖𝑛</m:t>
                        </m:r>
                      </m:sub>
                    </m:sSub>
                  </m:oMath>
                </m:oMathPara>
              </a14:m>
              <a:endParaRPr lang="en-US" sz="1100"/>
            </a:p>
          </xdr:txBody>
        </xdr:sp>
      </mc:Choice>
      <mc:Fallback xmlns="">
        <xdr:sp macro="" textlink="">
          <xdr:nvSpPr>
            <xdr:cNvPr id="12291" name="TextBox 12290">
              <a:extLst>
                <a:ext uri="{FF2B5EF4-FFF2-40B4-BE49-F238E27FC236}">
                  <a16:creationId xmlns:a16="http://schemas.microsoft.com/office/drawing/2014/main" id="{74B25FAC-CDDF-46C2-AB1A-F5C5B0B79CBF}"/>
                </a:ext>
              </a:extLst>
            </xdr:cNvPr>
            <xdr:cNvSpPr txBox="1"/>
          </xdr:nvSpPr>
          <xdr:spPr>
            <a:xfrm>
              <a:off x="2772896" y="9308166"/>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𝜌_</a:t>
              </a:r>
              <a:r>
                <a:rPr lang="en-US" sz="1100" b="0" i="0">
                  <a:latin typeface="Cambria Math" panose="02040503050406030204" pitchFamily="18" charset="0"/>
                  <a:ea typeface="Cambria Math" panose="02040503050406030204" pitchFamily="18" charset="0"/>
                </a:rPr>
                <a:t>𝑟𝑒𝑠𝑖𝑛</a:t>
              </a:r>
              <a:endParaRPr lang="en-US" sz="1100"/>
            </a:p>
          </xdr:txBody>
        </xdr:sp>
      </mc:Fallback>
    </mc:AlternateContent>
    <xdr:clientData/>
  </xdr:oneCellAnchor>
  <xdr:oneCellAnchor>
    <xdr:from>
      <xdr:col>4</xdr:col>
      <xdr:colOff>134471</xdr:colOff>
      <xdr:row>28</xdr:row>
      <xdr:rowOff>89647</xdr:rowOff>
    </xdr:from>
    <xdr:ext cx="416653" cy="182935"/>
    <mc:AlternateContent xmlns:mc="http://schemas.openxmlformats.org/markup-compatibility/2006" xmlns:a14="http://schemas.microsoft.com/office/drawing/2010/main">
      <mc:Choice Requires="a14">
        <xdr:sp macro="" textlink="">
          <xdr:nvSpPr>
            <xdr:cNvPr id="12294" name="TextBox 12293">
              <a:extLst>
                <a:ext uri="{FF2B5EF4-FFF2-40B4-BE49-F238E27FC236}">
                  <a16:creationId xmlns:a16="http://schemas.microsoft.com/office/drawing/2014/main" id="{00000000-0008-0000-0500-000006300000}"/>
                </a:ext>
              </a:extLst>
            </xdr:cNvPr>
            <xdr:cNvSpPr txBox="1"/>
          </xdr:nvSpPr>
          <xdr:spPr>
            <a:xfrm>
              <a:off x="2772896" y="8976472"/>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12294" name="TextBox 12293">
              <a:extLst>
                <a:ext uri="{FF2B5EF4-FFF2-40B4-BE49-F238E27FC236}">
                  <a16:creationId xmlns:a16="http://schemas.microsoft.com/office/drawing/2014/main" id="{F43B78C0-5E6D-4210-B1A7-D43FD294922B}"/>
                </a:ext>
              </a:extLst>
            </xdr:cNvPr>
            <xdr:cNvSpPr txBox="1"/>
          </xdr:nvSpPr>
          <xdr:spPr>
            <a:xfrm>
              <a:off x="2772896" y="8976472"/>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𝑤_𝑙𝑎𝑦𝑒𝑟</a:t>
              </a:r>
              <a:endParaRPr lang="en-US" sz="1100"/>
            </a:p>
          </xdr:txBody>
        </xdr:sp>
      </mc:Fallback>
    </mc:AlternateContent>
    <xdr:clientData/>
  </xdr:oneCellAnchor>
  <xdr:oneCellAnchor>
    <xdr:from>
      <xdr:col>4</xdr:col>
      <xdr:colOff>212912</xdr:colOff>
      <xdr:row>30</xdr:row>
      <xdr:rowOff>100852</xdr:rowOff>
    </xdr:from>
    <xdr:ext cx="120738" cy="172227"/>
    <mc:AlternateContent xmlns:mc="http://schemas.openxmlformats.org/markup-compatibility/2006" xmlns:a14="http://schemas.microsoft.com/office/drawing/2010/main">
      <mc:Choice Requires="a14">
        <xdr:sp macro="" textlink="">
          <xdr:nvSpPr>
            <xdr:cNvPr id="12295" name="TextBox 12294">
              <a:extLst>
                <a:ext uri="{FF2B5EF4-FFF2-40B4-BE49-F238E27FC236}">
                  <a16:creationId xmlns:a16="http://schemas.microsoft.com/office/drawing/2014/main" id="{00000000-0008-0000-0500-000007300000}"/>
                </a:ext>
              </a:extLst>
            </xdr:cNvPr>
            <xdr:cNvSpPr txBox="1"/>
          </xdr:nvSpPr>
          <xdr:spPr>
            <a:xfrm>
              <a:off x="2851337" y="9673477"/>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𝛼</m:t>
                    </m:r>
                  </m:oMath>
                </m:oMathPara>
              </a14:m>
              <a:endParaRPr lang="en-US" sz="1100"/>
            </a:p>
          </xdr:txBody>
        </xdr:sp>
      </mc:Choice>
      <mc:Fallback xmlns="">
        <xdr:sp macro="" textlink="">
          <xdr:nvSpPr>
            <xdr:cNvPr id="12295" name="TextBox 12294">
              <a:extLst>
                <a:ext uri="{FF2B5EF4-FFF2-40B4-BE49-F238E27FC236}">
                  <a16:creationId xmlns:a16="http://schemas.microsoft.com/office/drawing/2014/main" id="{6E095484-EFFC-489B-B6AB-DEDF55E5914E}"/>
                </a:ext>
              </a:extLst>
            </xdr:cNvPr>
            <xdr:cNvSpPr txBox="1"/>
          </xdr:nvSpPr>
          <xdr:spPr>
            <a:xfrm>
              <a:off x="2851337" y="9673477"/>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𝛼</a:t>
              </a:r>
              <a:endParaRPr lang="en-US" sz="1100"/>
            </a:p>
          </xdr:txBody>
        </xdr:sp>
      </mc:Fallback>
    </mc:AlternateContent>
    <xdr:clientData/>
  </xdr:oneCellAnchor>
  <xdr:oneCellAnchor>
    <xdr:from>
      <xdr:col>4</xdr:col>
      <xdr:colOff>0</xdr:colOff>
      <xdr:row>62</xdr:row>
      <xdr:rowOff>156883</xdr:rowOff>
    </xdr:from>
    <xdr:ext cx="2700098" cy="439608"/>
    <mc:AlternateContent xmlns:mc="http://schemas.openxmlformats.org/markup-compatibility/2006" xmlns:a14="http://schemas.microsoft.com/office/drawing/2010/main">
      <mc:Choice Requires="a14">
        <xdr:sp macro="" textlink="">
          <xdr:nvSpPr>
            <xdr:cNvPr id="12301" name="TextBox 12300">
              <a:extLst>
                <a:ext uri="{FF2B5EF4-FFF2-40B4-BE49-F238E27FC236}">
                  <a16:creationId xmlns:a16="http://schemas.microsoft.com/office/drawing/2014/main" id="{00000000-0008-0000-0500-00000D300000}"/>
                </a:ext>
              </a:extLst>
            </xdr:cNvPr>
            <xdr:cNvSpPr txBox="1"/>
          </xdr:nvSpPr>
          <xdr:spPr>
            <a:xfrm>
              <a:off x="2622176" y="23588383"/>
              <a:ext cx="2700098"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Layer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Stagger</m:t>
                            </m:r>
                          </m:e>
                          <m:e>
                            <m:r>
                              <a:rPr lang="en-US" sz="1100" b="0" i="1">
                                <a:latin typeface="Cambria Math" panose="02040503050406030204" pitchFamily="18" charset="0"/>
                              </a:rPr>
                              <m:t>&amp;</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2,</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Spiral</m:t>
                            </m:r>
                          </m:e>
                        </m:eqArr>
                      </m:e>
                    </m:d>
                  </m:oMath>
                </m:oMathPara>
              </a14:m>
              <a:endParaRPr lang="en-US" sz="1100"/>
            </a:p>
          </xdr:txBody>
        </xdr:sp>
      </mc:Choice>
      <mc:Fallback xmlns="">
        <xdr:sp macro="" textlink="">
          <xdr:nvSpPr>
            <xdr:cNvPr id="12301" name="TextBox 12300">
              <a:extLst>
                <a:ext uri="{FF2B5EF4-FFF2-40B4-BE49-F238E27FC236}">
                  <a16:creationId xmlns:a16="http://schemas.microsoft.com/office/drawing/2014/main" id="{00000000-0008-0000-0500-00000D300000}"/>
                </a:ext>
              </a:extLst>
            </xdr:cNvPr>
            <xdr:cNvSpPr txBox="1"/>
          </xdr:nvSpPr>
          <xdr:spPr>
            <a:xfrm>
              <a:off x="2622176" y="23588383"/>
              <a:ext cx="2700098"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"Layer or Stagger</a:t>
              </a:r>
              <a:r>
                <a:rPr lang="en-US" sz="1100" b="0" i="0">
                  <a:solidFill>
                    <a:schemeClr val="tx1"/>
                  </a:solidFill>
                  <a:effectLst/>
                  <a:latin typeface="Cambria Math" panose="02040503050406030204" pitchFamily="18" charset="0"/>
                  <a:ea typeface="+mn-ea"/>
                  <a:cs typeface="+mn-cs"/>
                </a:rPr>
                <a:t>" @</a:t>
              </a:r>
              <a:r>
                <a:rPr lang="en-US" sz="1100" b="0" i="0">
                  <a:latin typeface="Cambria Math" panose="02040503050406030204" pitchFamily="18" charset="0"/>
                </a:rPr>
                <a:t>&amp;</a:t>
              </a:r>
              <a:r>
                <a:rPr lang="en-US" sz="1100" b="0" i="0">
                  <a:solidFill>
                    <a:schemeClr val="tx1"/>
                  </a:solidFill>
                  <a:effectLst/>
                  <a:latin typeface="Cambria Math" panose="02040503050406030204" pitchFamily="18" charset="0"/>
                  <a:ea typeface="+mn-ea"/>
                  <a:cs typeface="+mn-cs"/>
                </a:rPr>
                <a:t>𝛿_(2,𝑇)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"Spiral</a:t>
              </a:r>
              <a:r>
                <a:rPr lang="en-US" sz="1100" b="0" i="0">
                  <a:solidFill>
                    <a:schemeClr val="tx1"/>
                  </a:solidFill>
                  <a:effectLst/>
                  <a:latin typeface="Cambria Math" panose="02040503050406030204" pitchFamily="18" charset="0"/>
                  <a:ea typeface="+mn-ea"/>
                  <a:cs typeface="+mn-cs"/>
                </a:rPr>
                <a:t>" )┤</a:t>
              </a:r>
              <a:endParaRPr lang="en-US" sz="1100"/>
            </a:p>
          </xdr:txBody>
        </xdr:sp>
      </mc:Fallback>
    </mc:AlternateContent>
    <xdr:clientData/>
  </xdr:oneCellAnchor>
  <xdr:oneCellAnchor>
    <xdr:from>
      <xdr:col>4</xdr:col>
      <xdr:colOff>0</xdr:colOff>
      <xdr:row>71</xdr:row>
      <xdr:rowOff>257735</xdr:rowOff>
    </xdr:from>
    <xdr:ext cx="2099293" cy="1831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812676" y="31432500"/>
              <a:ext cx="2099293"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h</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𝐿</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𝑑𝑒𝑓𝑒𝑐𝑡</m:t>
                        </m:r>
                      </m:sub>
                    </m:sSub>
                  </m:oMath>
                </m:oMathPara>
              </a14:m>
              <a:endParaRPr lang="en-US" sz="1100"/>
            </a:p>
          </xdr:txBody>
        </xdr:sp>
      </mc:Choice>
      <mc:Fallback xmlns="">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812676" y="31432500"/>
              <a:ext cx="2099293"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ℎ_𝑑𝑒𝑓𝑒𝑐𝑡∗𝐿_𝑑𝑒𝑓𝑒𝑐𝑡∗𝑤_𝑑𝑒𝑓𝑒𝑐𝑡</a:t>
              </a:r>
              <a:endParaRPr lang="en-US" sz="1100"/>
            </a:p>
          </xdr:txBody>
        </xdr:sp>
      </mc:Fallback>
    </mc:AlternateContent>
    <xdr:clientData/>
  </xdr:oneCellAnchor>
  <xdr:oneCellAnchor>
    <xdr:from>
      <xdr:col>4</xdr:col>
      <xdr:colOff>0</xdr:colOff>
      <xdr:row>44</xdr:row>
      <xdr:rowOff>78442</xdr:rowOff>
    </xdr:from>
    <xdr:ext cx="365485"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2622176" y="13447060"/>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4" name="TextBox 3">
              <a:extLst>
                <a:ext uri="{FF2B5EF4-FFF2-40B4-BE49-F238E27FC236}">
                  <a16:creationId xmlns:a16="http://schemas.microsoft.com/office/drawing/2014/main" id="{F107760C-1168-473E-84D4-AF6D8E61E3E3}"/>
                </a:ext>
              </a:extLst>
            </xdr:cNvPr>
            <xdr:cNvSpPr txBox="1"/>
          </xdr:nvSpPr>
          <xdr:spPr>
            <a:xfrm>
              <a:off x="2622176" y="13447060"/>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endParaRPr lang="en-US" sz="1100"/>
            </a:p>
          </xdr:txBody>
        </xdr:sp>
      </mc:Fallback>
    </mc:AlternateContent>
    <xdr:clientData/>
  </xdr:oneCellAnchor>
  <xdr:oneCellAnchor>
    <xdr:from>
      <xdr:col>4</xdr:col>
      <xdr:colOff>246529</xdr:colOff>
      <xdr:row>16</xdr:row>
      <xdr:rowOff>78441</xdr:rowOff>
    </xdr:from>
    <xdr:ext cx="149528"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2868705" y="4549588"/>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10" name="TextBox 9">
              <a:extLst>
                <a:ext uri="{FF2B5EF4-FFF2-40B4-BE49-F238E27FC236}">
                  <a16:creationId xmlns:a16="http://schemas.microsoft.com/office/drawing/2014/main" id="{9FF8763C-7F1F-4914-8AD9-C2BB1CA5EE17}"/>
                </a:ext>
              </a:extLst>
            </xdr:cNvPr>
            <xdr:cNvSpPr txBox="1"/>
          </xdr:nvSpPr>
          <xdr:spPr>
            <a:xfrm>
              <a:off x="2868705" y="4549588"/>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a:t>
              </a:r>
              <a:endParaRPr lang="en-US" sz="1100"/>
            </a:p>
          </xdr:txBody>
        </xdr:sp>
      </mc:Fallback>
    </mc:AlternateContent>
    <xdr:clientData/>
  </xdr:oneCellAnchor>
  <xdr:oneCellAnchor>
    <xdr:from>
      <xdr:col>5</xdr:col>
      <xdr:colOff>85165</xdr:colOff>
      <xdr:row>16</xdr:row>
      <xdr:rowOff>82364</xdr:rowOff>
    </xdr:from>
    <xdr:ext cx="836704" cy="172227"/>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3312459" y="4553511"/>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=80%∗</m:t>
                    </m:r>
                    <m:r>
                      <a:rPr lang="en-US" sz="1100" b="0" i="1">
                        <a:latin typeface="Cambria Math" panose="02040503050406030204" pitchFamily="18" charset="0"/>
                        <a:ea typeface="Cambria Math" panose="02040503050406030204" pitchFamily="18" charset="0"/>
                      </a:rPr>
                      <m:t>𝑃</m:t>
                    </m:r>
                  </m:oMath>
                </m:oMathPara>
              </a14:m>
              <a:endParaRPr lang="en-US" sz="1100"/>
            </a:p>
          </xdr:txBody>
        </xdr:sp>
      </mc:Choice>
      <mc:Fallback xmlns="">
        <xdr:sp macro="" textlink="">
          <xdr:nvSpPr>
            <xdr:cNvPr id="19" name="TextBox 18">
              <a:extLst>
                <a:ext uri="{FF2B5EF4-FFF2-40B4-BE49-F238E27FC236}">
                  <a16:creationId xmlns:a16="http://schemas.microsoft.com/office/drawing/2014/main" id="{A96726DB-8DF2-486D-85AF-C9C93E677185}"/>
                </a:ext>
              </a:extLst>
            </xdr:cNvPr>
            <xdr:cNvSpPr txBox="1"/>
          </xdr:nvSpPr>
          <xdr:spPr>
            <a:xfrm>
              <a:off x="3312459" y="4553511"/>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𝑃_𝑠=80%∗𝑃</a:t>
              </a:r>
              <a:endParaRPr lang="en-US" sz="1100"/>
            </a:p>
          </xdr:txBody>
        </xdr:sp>
      </mc:Fallback>
    </mc:AlternateContent>
    <xdr:clientData/>
  </xdr:oneCellAnchor>
  <xdr:oneCellAnchor>
    <xdr:from>
      <xdr:col>4</xdr:col>
      <xdr:colOff>0</xdr:colOff>
      <xdr:row>53</xdr:row>
      <xdr:rowOff>212912</xdr:rowOff>
    </xdr:from>
    <xdr:ext cx="1793440" cy="383759"/>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500-00001C000000}"/>
                </a:ext>
              </a:extLst>
            </xdr:cNvPr>
            <xdr:cNvSpPr txBox="1"/>
          </xdr:nvSpPr>
          <xdr:spPr>
            <a:xfrm>
              <a:off x="2622176" y="18433677"/>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𝐿</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m:t>
                        </m:r>
                        <m:r>
                          <a:rPr lang="en-US" sz="1100" b="0" i="1">
                            <a:latin typeface="Cambria Math" panose="02040503050406030204" pitchFamily="18" charset="0"/>
                            <a:ea typeface="Cambria Math" panose="02040503050406030204" pitchFamily="18" charset="0"/>
                          </a:rPr>
                          <m:t>𝛼</m:t>
                        </m:r>
                      </m:den>
                    </m:f>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𝐿</m:t>
                            </m:r>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den>
                        </m:f>
                        <m:r>
                          <a:rPr lang="en-US" sz="1100" b="0" i="1">
                            <a:latin typeface="Cambria Math" panose="02040503050406030204" pitchFamily="18" charset="0"/>
                            <a:ea typeface="Cambria Math" panose="02040503050406030204" pitchFamily="18" charset="0"/>
                          </a:rPr>
                          <m:t>−1</m:t>
                        </m:r>
                      </m:e>
                    </m:d>
                    <m:r>
                      <a:rPr lang="en-US" sz="1100" b="0" i="1">
                        <a:latin typeface="Cambria Math" panose="02040503050406030204" pitchFamily="18" charset="0"/>
                        <a:ea typeface="Cambria Math" panose="02040503050406030204" pitchFamily="18" charset="0"/>
                      </a:rPr>
                      <m:t>+1</m:t>
                    </m:r>
                  </m:oMath>
                </m:oMathPara>
              </a14:m>
              <a:endParaRPr lang="en-US" sz="1100"/>
            </a:p>
          </xdr:txBody>
        </xdr:sp>
      </mc:Choice>
      <mc:Fallback xmlns="">
        <xdr:sp macro="" textlink="">
          <xdr:nvSpPr>
            <xdr:cNvPr id="28" name="TextBox 27">
              <a:extLst>
                <a:ext uri="{FF2B5EF4-FFF2-40B4-BE49-F238E27FC236}">
                  <a16:creationId xmlns:a16="http://schemas.microsoft.com/office/drawing/2014/main" id="{DD415942-B8AD-4889-997C-DABB42160D18}"/>
                </a:ext>
              </a:extLst>
            </xdr:cNvPr>
            <xdr:cNvSpPr txBox="1"/>
          </xdr:nvSpPr>
          <xdr:spPr>
            <a:xfrm>
              <a:off x="2622176" y="18433677"/>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𝑊_𝐿=1/(1−</a:t>
              </a:r>
              <a:r>
                <a:rPr lang="en-US" sz="1100" b="0" i="0">
                  <a:latin typeface="Cambria Math" panose="02040503050406030204" pitchFamily="18" charset="0"/>
                  <a:ea typeface="Cambria Math" panose="02040503050406030204" pitchFamily="18" charset="0"/>
                </a:rPr>
                <a:t>𝛼) (𝐿/𝑤_𝑙𝑎𝑦𝑒𝑟 −1)+1</a:t>
              </a:r>
              <a:endParaRPr lang="en-US" sz="1100"/>
            </a:p>
          </xdr:txBody>
        </xdr:sp>
      </mc:Fallback>
    </mc:AlternateContent>
    <xdr:clientData/>
  </xdr:oneCellAnchor>
  <xdr:oneCellAnchor>
    <xdr:from>
      <xdr:col>3</xdr:col>
      <xdr:colOff>246529</xdr:colOff>
      <xdr:row>59</xdr:row>
      <xdr:rowOff>190500</xdr:rowOff>
    </xdr:from>
    <xdr:ext cx="1579600" cy="374270"/>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2252382" y="21885088"/>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𝐴</m:t>
                        </m:r>
                      </m:e>
                      <m:sub>
                        <m:r>
                          <a:rPr lang="en-US" sz="1100" b="0" i="1">
                            <a:solidFill>
                              <a:schemeClr val="tx1"/>
                            </a:solidFill>
                            <a:effectLst/>
                            <a:latin typeface="Cambria Math" panose="02040503050406030204" pitchFamily="18" charset="0"/>
                            <a:ea typeface="Cambria Math" panose="02040503050406030204" pitchFamily="18" charset="0"/>
                            <a:cs typeface="+mn-cs"/>
                          </a:rPr>
                          <m:t>𝑐𝑜𝑛𝑠𝑡</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𝐿</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+4</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num>
                      <m:den>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den>
                    </m:f>
                  </m:oMath>
                </m:oMathPara>
              </a14:m>
              <a:endParaRPr lang="en-US" sz="1100"/>
            </a:p>
          </xdr:txBody>
        </xdr:sp>
      </mc:Choice>
      <mc:Fallback xmlns="">
        <xdr:sp macro="" textlink="">
          <xdr:nvSpPr>
            <xdr:cNvPr id="32" name="TextBox 31">
              <a:extLst>
                <a:ext uri="{FF2B5EF4-FFF2-40B4-BE49-F238E27FC236}">
                  <a16:creationId xmlns:a16="http://schemas.microsoft.com/office/drawing/2014/main" id="{949FAB27-BBCE-4F6C-8C39-DF8E8B5F0D66}"/>
                </a:ext>
              </a:extLst>
            </xdr:cNvPr>
            <xdr:cNvSpPr txBox="1"/>
          </xdr:nvSpPr>
          <xdr:spPr>
            <a:xfrm>
              <a:off x="2252382" y="21885088"/>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𝐴_</a:t>
              </a:r>
              <a:r>
                <a:rPr lang="en-US" sz="1100" b="0" i="0">
                  <a:solidFill>
                    <a:schemeClr val="tx1"/>
                  </a:solidFill>
                  <a:effectLst/>
                  <a:latin typeface="Cambria Math" panose="02040503050406030204" pitchFamily="18" charset="0"/>
                  <a:ea typeface="Cambria Math" panose="02040503050406030204" pitchFamily="18" charset="0"/>
                  <a:cs typeface="+mn-cs"/>
                </a:rPr>
                <a:t>𝑐𝑜𝑛𝑠𝑡</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(𝐿_𝑑𝑒𝑓𝑒𝑐𝑡+4𝑤_𝑙𝑎𝑦𝑒𝑟)/((1−𝛼)∗𝑤_𝑙𝑎𝑦𝑒𝑟 )</a:t>
              </a:r>
              <a:endParaRPr lang="en-US" sz="1100"/>
            </a:p>
          </xdr:txBody>
        </xdr:sp>
      </mc:Fallback>
    </mc:AlternateContent>
    <xdr:clientData/>
  </xdr:oneCellAnchor>
  <xdr:oneCellAnchor>
    <xdr:from>
      <xdr:col>3</xdr:col>
      <xdr:colOff>212911</xdr:colOff>
      <xdr:row>60</xdr:row>
      <xdr:rowOff>123265</xdr:rowOff>
    </xdr:from>
    <xdr:ext cx="4694170" cy="475964"/>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0500-000021000000}"/>
                </a:ext>
              </a:extLst>
            </xdr:cNvPr>
            <xdr:cNvSpPr txBox="1"/>
          </xdr:nvSpPr>
          <xdr:spPr>
            <a:xfrm>
              <a:off x="2218764" y="22579853"/>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12</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den>
                    </m:f>
                    <m:nary>
                      <m:naryPr>
                        <m:chr m:val="∑"/>
                        <m:ctrlPr>
                          <a:rPr lang="en-US" sz="1100" b="0" i="1">
                            <a:latin typeface="Cambria Math" panose="02040503050406030204" pitchFamily="18" charset="0"/>
                          </a:rPr>
                        </m:ctrlPr>
                      </m:naryPr>
                      <m:sub>
                        <m:r>
                          <m:rPr>
                            <m:brk m:alnAt="23"/>
                          </m:rPr>
                          <a:rPr lang="en-US" sz="1100" b="0" i="1">
                            <a:latin typeface="Cambria Math" panose="02040503050406030204" pitchFamily="18" charset="0"/>
                          </a:rPr>
                          <m:t>𝑖</m:t>
                        </m:r>
                        <m:r>
                          <a:rPr lang="en-US" sz="1100" b="0" i="1">
                            <a:latin typeface="Cambria Math" panose="02040503050406030204" pitchFamily="18" charset="0"/>
                          </a:rPr>
                          <m:t>=1</m:t>
                        </m:r>
                      </m:sub>
                      <m:sup>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𝑁</m:t>
                            </m:r>
                          </m:sub>
                        </m:sSub>
                      </m:sup>
                      <m:e>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𝑐𝑜𝑛𝑠𝑡</m:t>
                                </m:r>
                              </m:sub>
                            </m:sSub>
                            <m:rad>
                              <m:radPr>
                                <m:degHide m:val="on"/>
                                <m:ctrlPr>
                                  <a:rPr lang="en-US" sz="1100" b="0" i="1">
                                    <a:solidFill>
                                      <a:schemeClr val="tx1"/>
                                    </a:solidFill>
                                    <a:effectLst/>
                                    <a:latin typeface="Cambria Math" panose="02040503050406030204" pitchFamily="18" charset="0"/>
                                    <a:ea typeface="+mn-ea"/>
                                    <a:cs typeface="+mn-cs"/>
                                  </a:rPr>
                                </m:ctrlPr>
                              </m:radPr>
                              <m:deg/>
                              <m:e>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𝜋</m:t>
                                        </m:r>
                                        <m:d>
                                          <m:dPr>
                                            <m:begChr m:val="["/>
                                            <m:endChr m:val="]"/>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𝐷</m:t>
                                            </m:r>
                                            <m:r>
                                              <a:rPr lang="en-US" sz="1100" b="0" i="1">
                                                <a:solidFill>
                                                  <a:schemeClr val="tx1"/>
                                                </a:solidFill>
                                                <a:effectLst/>
                                                <a:latin typeface="Cambria Math" panose="02040503050406030204" pitchFamily="18" charset="0"/>
                                                <a:ea typeface="+mn-ea"/>
                                                <a:cs typeface="+mn-cs"/>
                                              </a:rPr>
                                              <m:t>+2∗</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𝑖</m:t>
                                            </m:r>
                                            <m:r>
                                              <a:rPr lang="en-US" sz="1100" b="0" i="1">
                                                <a:solidFill>
                                                  <a:schemeClr val="tx1"/>
                                                </a:solidFill>
                                                <a:effectLst/>
                                                <a:latin typeface="Cambria Math" panose="02040503050406030204" pitchFamily="18" charset="0"/>
                                                <a:ea typeface="+mn-ea"/>
                                                <a:cs typeface="+mn-cs"/>
                                              </a:rPr>
                                              <m:t>−1)</m:t>
                                            </m:r>
                                          </m:e>
                                        </m:d>
                                      </m:e>
                                    </m:d>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m:t>
                                </m:r>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e>
                                    </m:d>
                                  </m:e>
                                  <m:sup>
                                    <m:r>
                                      <a:rPr lang="en-US" sz="1100" b="0" i="1">
                                        <a:solidFill>
                                          <a:schemeClr val="tx1"/>
                                        </a:solidFill>
                                        <a:effectLst/>
                                        <a:latin typeface="Cambria Math" panose="02040503050406030204" pitchFamily="18" charset="0"/>
                                        <a:ea typeface="+mn-ea"/>
                                        <a:cs typeface="+mn-cs"/>
                                      </a:rPr>
                                      <m:t>2</m:t>
                                    </m:r>
                                  </m:sup>
                                </m:sSup>
                              </m:e>
                            </m:rad>
                          </m:e>
                        </m:d>
                      </m:e>
                    </m:nary>
                  </m:oMath>
                </m:oMathPara>
              </a14:m>
              <a:endParaRPr lang="en-US" sz="1100"/>
            </a:p>
          </xdr:txBody>
        </xdr:sp>
      </mc:Choice>
      <mc:Fallback xmlns="">
        <xdr:sp macro="" textlink="">
          <xdr:nvSpPr>
            <xdr:cNvPr id="33" name="TextBox 32">
              <a:extLst>
                <a:ext uri="{FF2B5EF4-FFF2-40B4-BE49-F238E27FC236}">
                  <a16:creationId xmlns:a16="http://schemas.microsoft.com/office/drawing/2014/main" id="{28311562-F0A3-4091-BCF2-6BFB7BD392C7}"/>
                </a:ext>
              </a:extLst>
            </xdr:cNvPr>
            <xdr:cNvSpPr txBox="1"/>
          </xdr:nvSpPr>
          <xdr:spPr>
            <a:xfrm>
              <a:off x="2218764" y="22579853"/>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=1/12∗1/2 ∑_(𝑖=1)^(𝑊_𝑁)</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𝐴_𝑐𝑜𝑛𝑠𝑡</a:t>
              </a:r>
              <a:r>
                <a:rPr lang="en-US" sz="1100" b="0" i="0">
                  <a:solidFill>
                    <a:schemeClr val="tx1"/>
                  </a:solidFill>
                  <a:effectLst/>
                  <a:latin typeface="Cambria Math" panose="02040503050406030204" pitchFamily="18" charset="0"/>
                  <a:ea typeface="+mn-ea"/>
                  <a:cs typeface="+mn-cs"/>
                </a:rPr>
                <a:t> √((𝜋[𝐷+2∗𝑡_𝑙𝑎𝑦𝑒𝑟∗(𝑖−1)])^2+((1−𝛼)∗𝑤_𝑙𝑎𝑦𝑒𝑟 )^2 )] </a:t>
              </a:r>
              <a:endParaRPr lang="en-US" sz="1100"/>
            </a:p>
          </xdr:txBody>
        </xdr:sp>
      </mc:Fallback>
    </mc:AlternateContent>
    <xdr:clientData/>
  </xdr:oneCellAnchor>
  <xdr:oneCellAnchor>
    <xdr:from>
      <xdr:col>8</xdr:col>
      <xdr:colOff>168089</xdr:colOff>
      <xdr:row>59</xdr:row>
      <xdr:rowOff>280147</xdr:rowOff>
    </xdr:from>
    <xdr:ext cx="401007" cy="176972"/>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500-000022000000}"/>
                </a:ext>
              </a:extLst>
            </xdr:cNvPr>
            <xdr:cNvSpPr txBox="1"/>
          </xdr:nvSpPr>
          <xdr:spPr>
            <a:xfrm>
              <a:off x="5367618" y="21974735"/>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oMath>
                </m:oMathPara>
              </a14:m>
              <a:endParaRPr lang="en-US" sz="1100"/>
            </a:p>
          </xdr:txBody>
        </xdr:sp>
      </mc:Choice>
      <mc:Fallback xmlns="">
        <xdr:sp macro="" textlink="">
          <xdr:nvSpPr>
            <xdr:cNvPr id="34" name="TextBox 33">
              <a:extLst>
                <a:ext uri="{FF2B5EF4-FFF2-40B4-BE49-F238E27FC236}">
                  <a16:creationId xmlns:a16="http://schemas.microsoft.com/office/drawing/2014/main" id="{0C66FD0F-4B6C-4C19-8F96-A55D5A7880BB}"/>
                </a:ext>
              </a:extLst>
            </xdr:cNvPr>
            <xdr:cNvSpPr txBox="1"/>
          </xdr:nvSpPr>
          <xdr:spPr>
            <a:xfrm>
              <a:off x="5367618" y="21974735"/>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endParaRPr lang="en-US" sz="1100"/>
            </a:p>
          </xdr:txBody>
        </xdr:sp>
      </mc:Fallback>
    </mc:AlternateContent>
    <xdr:clientData/>
  </xdr:oneCellAnchor>
  <xdr:oneCellAnchor>
    <xdr:from>
      <xdr:col>4</xdr:col>
      <xdr:colOff>0</xdr:colOff>
      <xdr:row>63</xdr:row>
      <xdr:rowOff>201706</xdr:rowOff>
    </xdr:from>
    <xdr:ext cx="705000" cy="349519"/>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2622176" y="25157206"/>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Cambria Math" panose="02040503050406030204" pitchFamily="18" charset="0"/>
                            <a:cs typeface="+mn-cs"/>
                          </a:rPr>
                          <m:t>𝑓𝑡</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𝑇</m:t>
                            </m:r>
                          </m:sub>
                        </m:sSub>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𝐿</m:t>
                            </m:r>
                          </m:sub>
                        </m:sSub>
                      </m:den>
                    </m:f>
                  </m:oMath>
                </m:oMathPara>
              </a14:m>
              <a:endParaRPr lang="en-US" sz="1100"/>
            </a:p>
          </xdr:txBody>
        </xdr:sp>
      </mc:Choice>
      <mc:Fallback xmlns="">
        <xdr:sp macro="" textlink="">
          <xdr:nvSpPr>
            <xdr:cNvPr id="35" name="TextBox 34">
              <a:extLst>
                <a:ext uri="{FF2B5EF4-FFF2-40B4-BE49-F238E27FC236}">
                  <a16:creationId xmlns:a16="http://schemas.microsoft.com/office/drawing/2014/main" id="{BBA5F3E6-F6B1-4704-8563-CF91F6B08AB1}"/>
                </a:ext>
              </a:extLst>
            </xdr:cNvPr>
            <xdr:cNvSpPr txBox="1"/>
          </xdr:nvSpPr>
          <xdr:spPr>
            <a:xfrm>
              <a:off x="2622176" y="25157206"/>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𝑇/𝑓𝑡</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𝛿_𝑇/𝑊_𝐿 </a:t>
              </a:r>
              <a:endParaRPr lang="en-US" sz="1100"/>
            </a:p>
          </xdr:txBody>
        </xdr:sp>
      </mc:Fallback>
    </mc:AlternateContent>
    <xdr:clientData/>
  </xdr:oneCellAnchor>
  <xdr:oneCellAnchor>
    <xdr:from>
      <xdr:col>4</xdr:col>
      <xdr:colOff>19050</xdr:colOff>
      <xdr:row>67</xdr:row>
      <xdr:rowOff>266476</xdr:rowOff>
    </xdr:from>
    <xdr:ext cx="972574" cy="350481"/>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2657475" y="27488926"/>
              <a:ext cx="972574" cy="350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𝑊𝑟𝑎𝑝</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𝑎𝑟𝑒𝑎</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b="0" i="1">
                                <a:solidFill>
                                  <a:schemeClr val="tx1"/>
                                </a:solidFill>
                                <a:effectLst/>
                                <a:latin typeface="Cambria Math" panose="02040503050406030204" pitchFamily="18" charset="0"/>
                                <a:ea typeface="+mn-ea"/>
                                <a:cs typeface="+mn-cs"/>
                              </a:rPr>
                              <m:t>𝑟𝑒𝑠𝑖𝑛</m:t>
                            </m:r>
                          </m:sub>
                        </m:sSub>
                        <m:r>
                          <m:rPr>
                            <m:nor/>
                          </m:rPr>
                          <a:rPr lang="en-US" i="0">
                            <a:effectLst/>
                          </a:rPr>
                          <m:t> </m:t>
                        </m:r>
                      </m:den>
                    </m:f>
                  </m:oMath>
                </m:oMathPara>
              </a14:m>
              <a:endParaRPr lang="en-US" sz="1100"/>
            </a:p>
          </xdr:txBody>
        </xdr:sp>
      </mc:Choice>
      <mc:Fallback xmlns="">
        <xdr:sp macro="" textlink="">
          <xdr:nvSpPr>
            <xdr:cNvPr id="37" name="TextBox 36">
              <a:extLst>
                <a:ext uri="{FF2B5EF4-FFF2-40B4-BE49-F238E27FC236}">
                  <a16:creationId xmlns:a16="http://schemas.microsoft.com/office/drawing/2014/main" id="{00000000-0008-0000-0500-000025000000}"/>
                </a:ext>
              </a:extLst>
            </xdr:cNvPr>
            <xdr:cNvSpPr txBox="1"/>
          </xdr:nvSpPr>
          <xdr:spPr>
            <a:xfrm>
              <a:off x="2657475" y="27488926"/>
              <a:ext cx="972574" cy="3504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𝑅_𝑊𝑟𝑎𝑝</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𝛿_𝑎𝑟𝑒𝑎/(</a:t>
              </a:r>
              <a:r>
                <a:rPr lang="en-US" sz="1100" i="0">
                  <a:solidFill>
                    <a:schemeClr val="tx1"/>
                  </a:solidFill>
                  <a:effectLst/>
                  <a:latin typeface="Cambria Math" panose="02040503050406030204" pitchFamily="18" charset="0"/>
                  <a:ea typeface="+mn-ea"/>
                  <a:cs typeface="+mn-cs"/>
                </a:rPr>
                <a:t>𝜌_</a:t>
              </a:r>
              <a:r>
                <a:rPr lang="en-US" sz="1100" b="0" i="0">
                  <a:solidFill>
                    <a:schemeClr val="tx1"/>
                  </a:solidFill>
                  <a:effectLst/>
                  <a:latin typeface="Cambria Math" panose="02040503050406030204" pitchFamily="18" charset="0"/>
                  <a:ea typeface="+mn-ea"/>
                  <a:cs typeface="+mn-cs"/>
                </a:rPr>
                <a:t>𝑟𝑒𝑠𝑖𝑛 "</a:t>
              </a:r>
              <a:r>
                <a:rPr lang="en-US" i="0">
                  <a:effectLst/>
                </a:rPr>
                <a:t> </a:t>
              </a:r>
              <a:r>
                <a:rPr lang="en-US" i="0">
                  <a:effectLst/>
                  <a:latin typeface="Cambria Math" panose="02040503050406030204" pitchFamily="18" charset="0"/>
                </a:rPr>
                <a:t>" </a:t>
              </a:r>
              <a:r>
                <a:rPr lang="en-US" sz="1100" b="0" i="0">
                  <a:effectLst/>
                  <a:latin typeface="Cambria Math" panose="02040503050406030204" pitchFamily="18" charset="0"/>
                </a:rPr>
                <a:t>)</a:t>
              </a:r>
              <a:endParaRPr lang="en-US" sz="1100"/>
            </a:p>
          </xdr:txBody>
        </xdr:sp>
      </mc:Fallback>
    </mc:AlternateContent>
    <xdr:clientData/>
  </xdr:oneCellAnchor>
  <xdr:oneCellAnchor>
    <xdr:from>
      <xdr:col>4</xdr:col>
      <xdr:colOff>19050</xdr:colOff>
      <xdr:row>66</xdr:row>
      <xdr:rowOff>258856</xdr:rowOff>
    </xdr:from>
    <xdr:ext cx="1197764" cy="344582"/>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2657475" y="28243306"/>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den>
                    </m:f>
                  </m:oMath>
                </m:oMathPara>
              </a14:m>
              <a:endParaRPr lang="en-US" sz="1100"/>
            </a:p>
          </xdr:txBody>
        </xdr:sp>
      </mc:Choice>
      <mc:Fallback xmlns="">
        <xdr:sp macro="" textlink="">
          <xdr:nvSpPr>
            <xdr:cNvPr id="39" name="TextBox 38">
              <a:extLst>
                <a:ext uri="{FF2B5EF4-FFF2-40B4-BE49-F238E27FC236}">
                  <a16:creationId xmlns:a16="http://schemas.microsoft.com/office/drawing/2014/main" id="{00000000-0008-0000-0500-000027000000}"/>
                </a:ext>
              </a:extLst>
            </xdr:cNvPr>
            <xdr:cNvSpPr txBox="1"/>
          </xdr:nvSpPr>
          <xdr:spPr>
            <a:xfrm>
              <a:off x="2657475" y="28243306"/>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𝑅_𝑡𝑜𝑡𝑎𝑙/𝑊_𝐿 </a:t>
              </a:r>
              <a:endParaRPr lang="en-US" sz="1100"/>
            </a:p>
          </xdr:txBody>
        </xdr:sp>
      </mc:Fallback>
    </mc:AlternateContent>
    <xdr:clientData/>
  </xdr:oneCellAnchor>
  <xdr:oneCellAnchor>
    <xdr:from>
      <xdr:col>4</xdr:col>
      <xdr:colOff>100853</xdr:colOff>
      <xdr:row>20</xdr:row>
      <xdr:rowOff>78441</xdr:rowOff>
    </xdr:from>
    <xdr:ext cx="455317" cy="18312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2723029" y="5939117"/>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1" name="TextBox 10">
              <a:extLst>
                <a:ext uri="{FF2B5EF4-FFF2-40B4-BE49-F238E27FC236}">
                  <a16:creationId xmlns:a16="http://schemas.microsoft.com/office/drawing/2014/main" id="{EF0A2FDC-D604-4A74-9E5E-CAC0DE7632E3}"/>
                </a:ext>
              </a:extLst>
            </xdr:cNvPr>
            <xdr:cNvSpPr txBox="1"/>
          </xdr:nvSpPr>
          <xdr:spPr>
            <a:xfrm>
              <a:off x="2723029" y="5939117"/>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605118</xdr:colOff>
      <xdr:row>56</xdr:row>
      <xdr:rowOff>145676</xdr:rowOff>
    </xdr:from>
    <xdr:ext cx="1363309" cy="544957"/>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2745442" y="19677529"/>
              <a:ext cx="1363309" cy="544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sub>
                    </m:sSub>
                    <m:r>
                      <a:rPr lang="en-US" sz="1100" b="0" i="0">
                        <a:solidFill>
                          <a:sysClr val="windowText" lastClr="000000"/>
                        </a:solidFill>
                        <a:latin typeface="Cambria Math" panose="02040503050406030204" pitchFamily="18" charset="0"/>
                        <a:ea typeface="Cambria Math" panose="02040503050406030204" pitchFamily="18" charset="0"/>
                      </a:rPr>
                      <m:t>= </m:t>
                    </m:r>
                    <m:r>
                      <a:rPr lang="en-US" sz="1100" i="1">
                        <a:solidFill>
                          <a:sysClr val="windowText" lastClr="000000"/>
                        </a:solidFill>
                        <a:latin typeface="Cambria Math" panose="02040503050406030204" pitchFamily="18" charset="0"/>
                        <a:ea typeface="Cambria Math" panose="02040503050406030204" pitchFamily="18" charset="0"/>
                      </a:rPr>
                      <m:t>𝜋</m:t>
                    </m:r>
                    <m:d>
                      <m:dPr>
                        <m:ctrlPr>
                          <a:rPr lang="en-US" sz="1100" b="0" i="1">
                            <a:solidFill>
                              <a:schemeClr val="tx1"/>
                            </a:solidFill>
                            <a:effectLst/>
                            <a:latin typeface="Cambria Math" panose="02040503050406030204" pitchFamily="18" charset="0"/>
                            <a:ea typeface="Cambria Math" panose="02040503050406030204" pitchFamily="18" charset="0"/>
                            <a:cs typeface="+mn-cs"/>
                          </a:rPr>
                        </m:ctrlPr>
                      </m:dPr>
                      <m:e>
                        <m:f>
                          <m:fPr>
                            <m:ctrlPr>
                              <a:rPr lang="en-US" sz="1100" b="0" i="1">
                                <a:solidFill>
                                  <a:schemeClr val="tx1"/>
                                </a:solidFill>
                                <a:effectLst/>
                                <a:latin typeface="Cambria Math" panose="02040503050406030204" pitchFamily="18" charset="0"/>
                                <a:ea typeface="Cambria Math" panose="02040503050406030204" pitchFamily="18" charset="0"/>
                                <a:cs typeface="+mn-cs"/>
                              </a:rPr>
                            </m:ctrlPr>
                          </m:fPr>
                          <m:num>
                            <m:f>
                              <m:fPr>
                                <m:ctrlPr>
                                  <a:rPr lang="en-US" sz="1100" b="0" i="1">
                                    <a:solidFill>
                                      <a:schemeClr val="tx1"/>
                                    </a:solidFill>
                                    <a:effectLst/>
                                    <a:latin typeface="Cambria Math" panose="02040503050406030204" pitchFamily="18" charset="0"/>
                                    <a:ea typeface="Cambria Math" panose="02040503050406030204" pitchFamily="18" charset="0"/>
                                    <a:cs typeface="+mn-cs"/>
                                  </a:rPr>
                                </m:ctrlPr>
                              </m:fPr>
                              <m:num>
                                <m:sSup>
                                  <m:sSupPr>
                                    <m:ctrlPr>
                                      <a:rPr lang="en-US" sz="1100" b="0" i="1">
                                        <a:solidFill>
                                          <a:schemeClr val="tx1"/>
                                        </a:solidFill>
                                        <a:effectLst/>
                                        <a:latin typeface="Cambria Math" panose="02040503050406030204" pitchFamily="18" charset="0"/>
                                        <a:ea typeface="Cambria Math" panose="02040503050406030204" pitchFamily="18" charset="0"/>
                                        <a:cs typeface="+mn-cs"/>
                                      </a:rPr>
                                    </m:ctrlPr>
                                  </m:sSupPr>
                                  <m:e>
                                    <m:r>
                                      <a:rPr lang="en-US" sz="1100" b="0" i="1">
                                        <a:solidFill>
                                          <a:schemeClr val="tx1"/>
                                        </a:solidFill>
                                        <a:effectLst/>
                                        <a:latin typeface="Cambria Math" panose="02040503050406030204" pitchFamily="18" charset="0"/>
                                        <a:ea typeface="Cambria Math" panose="02040503050406030204" pitchFamily="18" charset="0"/>
                                        <a:cs typeface="+mn-cs"/>
                                      </a:rPr>
                                      <m:t>𝐷</m:t>
                                    </m:r>
                                    <m:r>
                                      <a:rPr lang="en-US" sz="1100" b="0" i="1" baseline="-25000">
                                        <a:solidFill>
                                          <a:schemeClr val="tx1"/>
                                        </a:solidFill>
                                        <a:effectLst/>
                                        <a:latin typeface="Cambria Math" panose="02040503050406030204" pitchFamily="18" charset="0"/>
                                        <a:ea typeface="Cambria Math" panose="02040503050406030204" pitchFamily="18" charset="0"/>
                                        <a:cs typeface="+mn-cs"/>
                                      </a:rPr>
                                      <m:t>𝑅</m:t>
                                    </m:r>
                                  </m:e>
                                  <m:sup>
                                    <m:r>
                                      <a:rPr lang="en-US" sz="1100" i="0">
                                        <a:solidFill>
                                          <a:sysClr val="windowText" lastClr="000000"/>
                                        </a:solidFill>
                                        <a:latin typeface="Cambria Math" panose="02040503050406030204" pitchFamily="18" charset="0"/>
                                        <a:ea typeface="Cambria Math" panose="02040503050406030204" pitchFamily="18" charset="0"/>
                                      </a:rPr>
                                      <m:t>2</m:t>
                                    </m:r>
                                  </m:sup>
                                </m:sSup>
                              </m:num>
                              <m:den>
                                <m:r>
                                  <a:rPr lang="en-US" sz="1100" i="0">
                                    <a:solidFill>
                                      <a:sysClr val="windowText" lastClr="000000"/>
                                    </a:solidFill>
                                    <a:latin typeface="Cambria Math" panose="02040503050406030204" pitchFamily="18" charset="0"/>
                                    <a:ea typeface="Cambria Math" panose="02040503050406030204" pitchFamily="18" charset="0"/>
                                  </a:rPr>
                                  <m:t>4</m:t>
                                </m:r>
                              </m:den>
                            </m:f>
                            <m:r>
                              <a:rPr lang="en-US" sz="1100" i="0">
                                <a:solidFill>
                                  <a:sysClr val="windowText" lastClr="000000"/>
                                </a:solidFill>
                                <a:latin typeface="Cambria Math" panose="02040503050406030204" pitchFamily="18" charset="0"/>
                                <a:ea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𝐷</m:t>
                                    </m:r>
                                  </m:e>
                                  <m:sup>
                                    <m:r>
                                      <a:rPr lang="en-US" sz="1100" i="0">
                                        <a:solidFill>
                                          <a:sysClr val="windowText" lastClr="000000"/>
                                        </a:solidFill>
                                        <a:latin typeface="Cambria Math" panose="02040503050406030204" pitchFamily="18" charset="0"/>
                                        <a:ea typeface="Cambria Math" panose="02040503050406030204" pitchFamily="18" charset="0"/>
                                      </a:rPr>
                                      <m:t>2</m:t>
                                    </m:r>
                                  </m:sup>
                                </m:sSup>
                              </m:num>
                              <m:den>
                                <m:r>
                                  <a:rPr lang="en-US" sz="1100" i="0">
                                    <a:solidFill>
                                      <a:sysClr val="windowText" lastClr="000000"/>
                                    </a:solidFill>
                                    <a:latin typeface="Cambria Math" panose="02040503050406030204" pitchFamily="18" charset="0"/>
                                    <a:ea typeface="Cambria Math" panose="02040503050406030204" pitchFamily="18" charset="0"/>
                                  </a:rPr>
                                  <m:t>4</m:t>
                                </m:r>
                              </m:den>
                            </m:f>
                          </m:num>
                          <m:den>
                            <m:r>
                              <a:rPr lang="en-US" sz="1100" b="0" i="1">
                                <a:solidFill>
                                  <a:sysClr val="windowText" lastClr="000000"/>
                                </a:solidFill>
                                <a:latin typeface="Cambria Math" panose="02040503050406030204" pitchFamily="18" charset="0"/>
                                <a:ea typeface="Cambria Math" panose="02040503050406030204" pitchFamily="18" charset="0"/>
                              </a:rPr>
                              <m:t>𝑡</m:t>
                            </m:r>
                            <m:r>
                              <a:rPr lang="en-US" sz="1100" b="0" i="1" baseline="-25000">
                                <a:solidFill>
                                  <a:sysClr val="windowText" lastClr="000000"/>
                                </a:solidFill>
                                <a:latin typeface="Cambria Math" panose="02040503050406030204" pitchFamily="18" charset="0"/>
                                <a:ea typeface="Cambria Math" panose="02040503050406030204" pitchFamily="18" charset="0"/>
                              </a:rPr>
                              <m:t>𝑙𝑎𝑦𝑒𝑟</m:t>
                            </m:r>
                          </m:den>
                        </m:f>
                      </m:e>
                    </m:d>
                  </m:oMath>
                </m:oMathPara>
              </a14:m>
              <a:endParaRPr lang="en-US" sz="1100">
                <a:solidFill>
                  <a:sysClr val="windowText" lastClr="000000"/>
                </a:solidFill>
                <a:latin typeface="Cambria Math" panose="02040503050406030204" pitchFamily="18" charset="0"/>
                <a:ea typeface="Cambria Math" panose="02040503050406030204" pitchFamily="18" charset="0"/>
              </a:endParaRPr>
            </a:p>
          </xdr:txBody>
        </xdr:sp>
      </mc:Choice>
      <mc:Fallback xmlns="">
        <xdr:sp macro="" textlink="">
          <xdr:nvSpPr>
            <xdr:cNvPr id="21" name="TextBox 20">
              <a:extLst>
                <a:ext uri="{FF2B5EF4-FFF2-40B4-BE49-F238E27FC236}">
                  <a16:creationId xmlns:a16="http://schemas.microsoft.com/office/drawing/2014/main" id="{3C1F540C-8FEB-4B39-8425-8730243EDC9C}"/>
                </a:ext>
              </a:extLst>
            </xdr:cNvPr>
            <xdr:cNvSpPr txBox="1"/>
          </xdr:nvSpPr>
          <xdr:spPr>
            <a:xfrm>
              <a:off x="2745442" y="19677529"/>
              <a:ext cx="1363309" cy="5449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𝛿_1</a:t>
              </a:r>
              <a:r>
                <a:rPr lang="en-US" sz="1100" b="0" i="0">
                  <a:solidFill>
                    <a:sysClr val="windowText" lastClr="000000"/>
                  </a:solidFill>
                  <a:latin typeface="Cambria Math" panose="02040503050406030204" pitchFamily="18" charset="0"/>
                  <a:ea typeface="Cambria Math" panose="02040503050406030204" pitchFamily="18" charset="0"/>
                </a:rPr>
                <a:t>= </a:t>
              </a:r>
              <a:r>
                <a:rPr lang="en-US" sz="1100" i="0">
                  <a:solidFill>
                    <a:sysClr val="windowText" lastClr="000000"/>
                  </a:solidFill>
                  <a:latin typeface="Cambria Math" panose="02040503050406030204" pitchFamily="18" charset="0"/>
                  <a:ea typeface="Cambria Math" panose="02040503050406030204" pitchFamily="18" charset="0"/>
                </a:rPr>
                <a:t>𝜋((〖</a:t>
              </a:r>
              <a:r>
                <a:rPr lang="en-US" sz="1100" b="0" i="0">
                  <a:solidFill>
                    <a:schemeClr val="tx1"/>
                  </a:solidFill>
                  <a:effectLst/>
                  <a:latin typeface="Cambria Math" panose="02040503050406030204" pitchFamily="18" charset="0"/>
                  <a:ea typeface="Cambria Math" panose="02040503050406030204" pitchFamily="18" charset="0"/>
                  <a:cs typeface="+mn-cs"/>
                </a:rPr>
                <a:t>𝐷</a:t>
              </a:r>
              <a:r>
                <a:rPr lang="en-US" sz="1100" b="0" i="0" baseline="-25000">
                  <a:solidFill>
                    <a:schemeClr val="tx1"/>
                  </a:solidFill>
                  <a:effectLst/>
                  <a:latin typeface="Cambria Math" panose="02040503050406030204" pitchFamily="18" charset="0"/>
                  <a:ea typeface="Cambria Math" panose="02040503050406030204" pitchFamily="18" charset="0"/>
                  <a:cs typeface="+mn-cs"/>
                </a:rPr>
                <a:t>𝑅</a:t>
              </a:r>
              <a:r>
                <a:rPr lang="en-US" sz="1100" b="0" i="0" baseline="-25000">
                  <a:solidFill>
                    <a:sysClr val="windowText" lastClr="000000"/>
                  </a:solidFill>
                  <a:effectLst/>
                  <a:latin typeface="Cambria Math" panose="02040503050406030204" pitchFamily="18" charset="0"/>
                  <a:ea typeface="Cambria Math" panose="02040503050406030204" pitchFamily="18" charset="0"/>
                  <a:cs typeface="+mn-cs"/>
                </a:rPr>
                <a:t>〗^</a:t>
              </a:r>
              <a:r>
                <a:rPr lang="en-US" sz="1100" i="0">
                  <a:solidFill>
                    <a:sysClr val="windowText" lastClr="000000"/>
                  </a:solidFill>
                  <a:latin typeface="Cambria Math" panose="02040503050406030204" pitchFamily="18" charset="0"/>
                  <a:ea typeface="Cambria Math" panose="02040503050406030204" pitchFamily="18" charset="0"/>
                </a:rPr>
                <a:t>2/4−</a:t>
              </a:r>
              <a:r>
                <a:rPr lang="en-US" sz="1100" b="0" i="0">
                  <a:solidFill>
                    <a:schemeClr val="tx1"/>
                  </a:solidFill>
                  <a:effectLst/>
                  <a:latin typeface="Cambria Math" panose="02040503050406030204" pitchFamily="18" charset="0"/>
                  <a:ea typeface="+mn-ea"/>
                  <a:cs typeface="+mn-cs"/>
                </a:rPr>
                <a:t>𝐷</a:t>
              </a:r>
              <a:r>
                <a:rPr lang="en-US" sz="1100" b="0" i="0">
                  <a:solidFill>
                    <a:sysClr val="windowText" lastClr="000000"/>
                  </a:solidFill>
                  <a:effectLst/>
                  <a:latin typeface="Cambria Math" panose="02040503050406030204" pitchFamily="18" charset="0"/>
                  <a:ea typeface="Cambria Math" panose="02040503050406030204" pitchFamily="18" charset="0"/>
                  <a:cs typeface="+mn-cs"/>
                </a:rPr>
                <a:t>^</a:t>
              </a:r>
              <a:r>
                <a:rPr lang="en-US" sz="1100" i="0">
                  <a:solidFill>
                    <a:sysClr val="windowText" lastClr="000000"/>
                  </a:solidFill>
                  <a:latin typeface="Cambria Math" panose="02040503050406030204" pitchFamily="18" charset="0"/>
                  <a:ea typeface="Cambria Math" panose="02040503050406030204" pitchFamily="18" charset="0"/>
                </a:rPr>
                <a:t>2/4)/</a:t>
              </a:r>
              <a:r>
                <a:rPr lang="en-US" sz="1100" b="0" i="0">
                  <a:solidFill>
                    <a:sysClr val="windowText" lastClr="000000"/>
                  </a:solidFill>
                  <a:latin typeface="Cambria Math" panose="02040503050406030204" pitchFamily="18" charset="0"/>
                  <a:ea typeface="Cambria Math" panose="02040503050406030204" pitchFamily="18" charset="0"/>
                </a:rPr>
                <a:t>𝑡</a:t>
              </a:r>
              <a:r>
                <a:rPr lang="en-US" sz="1100" b="0" i="0" baseline="-25000">
                  <a:solidFill>
                    <a:sysClr val="windowText" lastClr="000000"/>
                  </a:solidFill>
                  <a:latin typeface="Cambria Math" panose="02040503050406030204" pitchFamily="18" charset="0"/>
                  <a:ea typeface="Cambria Math" panose="02040503050406030204" pitchFamily="18" charset="0"/>
                </a:rPr>
                <a:t>𝑙𝑎𝑦𝑒𝑟)</a:t>
              </a:r>
              <a:endParaRPr lang="en-US" sz="1100">
                <a:solidFill>
                  <a:sysClr val="windowText" lastClr="000000"/>
                </a:solidFill>
                <a:latin typeface="Cambria Math" panose="02040503050406030204" pitchFamily="18" charset="0"/>
                <a:ea typeface="Cambria Math" panose="02040503050406030204" pitchFamily="18" charset="0"/>
              </a:endParaRPr>
            </a:p>
          </xdr:txBody>
        </xdr:sp>
      </mc:Fallback>
    </mc:AlternateContent>
    <xdr:clientData/>
  </xdr:oneCellAnchor>
  <xdr:oneCellAnchor>
    <xdr:from>
      <xdr:col>4</xdr:col>
      <xdr:colOff>0</xdr:colOff>
      <xdr:row>37</xdr:row>
      <xdr:rowOff>78442</xdr:rowOff>
    </xdr:from>
    <xdr:ext cx="182999" cy="172227"/>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500-000016000000}"/>
                </a:ext>
              </a:extLst>
            </xdr:cNvPr>
            <xdr:cNvSpPr txBox="1"/>
          </xdr:nvSpPr>
          <xdr:spPr>
            <a:xfrm>
              <a:off x="2812676" y="11654118"/>
              <a:ext cx="182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rPr>
                      <m:t>𝐷</m:t>
                    </m:r>
                    <m:r>
                      <a:rPr lang="en-US" sz="1100" b="0" i="1" baseline="-25000">
                        <a:latin typeface="Cambria Math" panose="02040503050406030204" pitchFamily="18" charset="0"/>
                      </a:rPr>
                      <m:t>𝑅</m:t>
                    </m:r>
                  </m:oMath>
                </m:oMathPara>
              </a14:m>
              <a:endParaRPr lang="en-US" sz="1100" baseline="-25000"/>
            </a:p>
          </xdr:txBody>
        </xdr:sp>
      </mc:Choice>
      <mc:Fallback xmlns="">
        <xdr:sp macro="" textlink="">
          <xdr:nvSpPr>
            <xdr:cNvPr id="22" name="TextBox 21">
              <a:extLst>
                <a:ext uri="{FF2B5EF4-FFF2-40B4-BE49-F238E27FC236}">
                  <a16:creationId xmlns:a16="http://schemas.microsoft.com/office/drawing/2014/main" id="{F6FDFDBB-0FA1-4687-B8EC-6EEE3190D770}"/>
                </a:ext>
              </a:extLst>
            </xdr:cNvPr>
            <xdr:cNvSpPr txBox="1"/>
          </xdr:nvSpPr>
          <xdr:spPr>
            <a:xfrm>
              <a:off x="2812676" y="11654118"/>
              <a:ext cx="1829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rPr>
                <a:t>𝐷</a:t>
              </a:r>
              <a:r>
                <a:rPr lang="en-US" sz="1100" b="0" i="0" baseline="-25000">
                  <a:latin typeface="Cambria Math" panose="02040503050406030204" pitchFamily="18" charset="0"/>
                </a:rPr>
                <a:t>𝑅</a:t>
              </a:r>
              <a:endParaRPr lang="en-US" sz="1100" baseline="-25000"/>
            </a:p>
          </xdr:txBody>
        </xdr:sp>
      </mc:Fallback>
    </mc:AlternateContent>
    <xdr:clientData/>
  </xdr:oneCellAnchor>
  <xdr:oneCellAnchor>
    <xdr:from>
      <xdr:col>4</xdr:col>
      <xdr:colOff>28903</xdr:colOff>
      <xdr:row>65</xdr:row>
      <xdr:rowOff>180351</xdr:rowOff>
    </xdr:from>
    <xdr:ext cx="2923877" cy="380361"/>
    <mc:AlternateContent xmlns:mc="http://schemas.openxmlformats.org/markup-compatibility/2006" xmlns:a14="http://schemas.microsoft.com/office/drawing/2010/main">
      <mc:Choice Requires="a14">
        <xdr:sp macro="" textlink="">
          <xdr:nvSpPr>
            <xdr:cNvPr id="29" name="TextBox 22">
              <a:extLst>
                <a:ext uri="{FF2B5EF4-FFF2-40B4-BE49-F238E27FC236}">
                  <a16:creationId xmlns:a16="http://schemas.microsoft.com/office/drawing/2014/main" id="{00000000-0008-0000-0500-000017000000}"/>
                </a:ext>
                <a:ext uri="{147F2762-F138-4A5C-976F-8EAC2B608ADB}">
                  <a16:predDERef xmlns:a16="http://schemas.microsoft.com/office/drawing/2014/main" pred="{00000000-0008-0000-0500-000016000000}"/>
                </a:ext>
              </a:extLst>
            </xdr:cNvPr>
            <xdr:cNvSpPr txBox="1"/>
          </xdr:nvSpPr>
          <xdr:spPr>
            <a:xfrm>
              <a:off x="2667328" y="25878801"/>
              <a:ext cx="292387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solidFill>
                              <a:sysClr val="windowText" lastClr="000000"/>
                            </a:solidFill>
                            <a:latin typeface="Cambria Math" panose="02040503050406030204" pitchFamily="18" charset="0"/>
                          </a:rPr>
                        </m:ctrlPr>
                      </m:sSubPr>
                      <m:e>
                        <m:r>
                          <a:rPr lang="en-US" sz="1100" i="1">
                            <a:solidFill>
                              <a:sysClr val="windowText" lastClr="000000"/>
                            </a:solidFill>
                            <a:latin typeface="Cambria Math" panose="02040503050406030204" pitchFamily="18" charset="0"/>
                          </a:rPr>
                          <m:t>𝑅</m:t>
                        </m:r>
                      </m:e>
                      <m:sub>
                        <m:r>
                          <a:rPr lang="en-US" sz="1100" i="1">
                            <a:solidFill>
                              <a:sysClr val="windowText" lastClr="000000"/>
                            </a:solidFill>
                            <a:latin typeface="Cambria Math" panose="02040503050406030204" pitchFamily="18" charset="0"/>
                          </a:rPr>
                          <m:t>𝑝</m:t>
                        </m:r>
                        <m:r>
                          <a:rPr lang="en-US" sz="1100" b="0" i="1">
                            <a:solidFill>
                              <a:sysClr val="windowText" lastClr="000000"/>
                            </a:solidFill>
                            <a:latin typeface="Cambria Math" panose="02040503050406030204" pitchFamily="18" charset="0"/>
                          </a:rPr>
                          <m:t>𝑟𝑖𝑚𝑒𝑟</m:t>
                        </m:r>
                      </m:sub>
                    </m:sSub>
                    <m:r>
                      <a:rPr lang="en-US" sz="1100" i="0">
                        <a:solidFill>
                          <a:sysClr val="windowText" lastClr="000000"/>
                        </a:solidFill>
                        <a:latin typeface="Cambria Math" panose="02040503050406030204" pitchFamily="18" charset="0"/>
                      </a:rPr>
                      <m:t>=</m:t>
                    </m:r>
                    <m:d>
                      <m:dPr>
                        <m:ctrlPr>
                          <a:rPr lang="en-US" sz="1100" b="0" i="1">
                            <a:solidFill>
                              <a:sysClr val="windowText" lastClr="000000"/>
                            </a:solidFill>
                            <a:latin typeface="Cambria Math" panose="02040503050406030204" pitchFamily="18" charset="0"/>
                          </a:rPr>
                        </m:ctrlPr>
                      </m:dPr>
                      <m:e>
                        <m:f>
                          <m:fPr>
                            <m:ctrlPr>
                              <a:rPr lang="en-US" sz="1100" b="0" i="1">
                                <a:solidFill>
                                  <a:sysClr val="windowText" lastClr="000000"/>
                                </a:solidFill>
                                <a:latin typeface="Cambria Math" panose="02040503050406030204" pitchFamily="18" charset="0"/>
                              </a:rPr>
                            </m:ctrlPr>
                          </m:fPr>
                          <m:num>
                            <m:r>
                              <a:rPr lang="en-US" sz="1100" b="0" i="1">
                                <a:solidFill>
                                  <a:sysClr val="windowText" lastClr="000000"/>
                                </a:solidFill>
                                <a:latin typeface="Cambria Math" panose="02040503050406030204" pitchFamily="18" charset="0"/>
                              </a:rPr>
                              <m:t>(</m:t>
                            </m:r>
                            <m:d>
                              <m:dPr>
                                <m:ctrlPr>
                                  <a:rPr lang="en-US" sz="1100" i="1">
                                    <a:solidFill>
                                      <a:sysClr val="windowText" lastClr="000000"/>
                                    </a:solidFill>
                                    <a:latin typeface="Cambria Math" panose="02040503050406030204" pitchFamily="18" charset="0"/>
                                  </a:rPr>
                                </m:ctrlPr>
                              </m:dPr>
                              <m:e>
                                <m:r>
                                  <a:rPr lang="en-US" sz="1100" i="1">
                                    <a:solidFill>
                                      <a:sysClr val="windowText" lastClr="000000"/>
                                    </a:solidFill>
                                    <a:latin typeface="Cambria Math" panose="02040503050406030204" pitchFamily="18" charset="0"/>
                                  </a:rPr>
                                  <m:t>𝜋</m:t>
                                </m:r>
                                <m:r>
                                  <a:rPr lang="en-US" sz="1100" b="0" i="1">
                                    <a:solidFill>
                                      <a:sysClr val="windowText" lastClr="000000"/>
                                    </a:solidFill>
                                    <a:latin typeface="Cambria Math" panose="02040503050406030204" pitchFamily="18" charset="0"/>
                                  </a:rPr>
                                  <m:t>(</m:t>
                                </m:r>
                                <m:r>
                                  <a:rPr lang="en-US" sz="1100" i="1">
                                    <a:solidFill>
                                      <a:sysClr val="windowText" lastClr="000000"/>
                                    </a:solidFill>
                                    <a:latin typeface="Cambria Math" panose="02040503050406030204" pitchFamily="18" charset="0"/>
                                  </a:rPr>
                                  <m:t>𝐷</m:t>
                                </m:r>
                                <m:r>
                                  <a:rPr lang="en-US" sz="1100" i="0">
                                    <a:solidFill>
                                      <a:schemeClr val="tx1"/>
                                    </a:solidFill>
                                    <a:effectLst/>
                                    <a:latin typeface="Cambria Math" panose="02040503050406030204" pitchFamily="18" charset="0"/>
                                    <a:ea typeface="+mn-ea"/>
                                    <a:cs typeface="+mn-cs"/>
                                  </a:rPr>
                                  <m:t>+0.</m:t>
                                </m:r>
                                <m:r>
                                  <a:rPr lang="en-US" sz="1100" b="0" i="0">
                                    <a:solidFill>
                                      <a:schemeClr val="tx1"/>
                                    </a:solidFill>
                                    <a:effectLst/>
                                    <a:latin typeface="Cambria Math" panose="02040503050406030204" pitchFamily="18" charset="0"/>
                                    <a:ea typeface="+mn-ea"/>
                                    <a:cs typeface="+mn-cs"/>
                                  </a:rPr>
                                  <m:t>025"</m:t>
                                </m:r>
                              </m:e>
                            </m:d>
                            <m:r>
                              <a:rPr lang="en-US" sz="1100" i="0">
                                <a:solidFill>
                                  <a:sysClr val="windowText" lastClr="000000"/>
                                </a:solidFill>
                                <a:latin typeface="Cambria Math" panose="02040503050406030204" pitchFamily="18" charset="0"/>
                              </a:rPr>
                              <m:t>−</m:t>
                            </m:r>
                            <m:d>
                              <m:dPr>
                                <m:ctrlPr>
                                  <a:rPr lang="en-US" sz="1100" i="1">
                                    <a:solidFill>
                                      <a:sysClr val="windowText" lastClr="000000"/>
                                    </a:solidFill>
                                    <a:latin typeface="Cambria Math" panose="02040503050406030204" pitchFamily="18" charset="0"/>
                                  </a:rPr>
                                </m:ctrlPr>
                              </m:dPr>
                              <m:e>
                                <m:r>
                                  <a:rPr lang="en-US" sz="1100" i="1">
                                    <a:solidFill>
                                      <a:sysClr val="windowText" lastClr="000000"/>
                                    </a:solidFill>
                                    <a:latin typeface="Cambria Math" panose="02040503050406030204" pitchFamily="18" charset="0"/>
                                  </a:rPr>
                                  <m:t>𝜋</m:t>
                                </m:r>
                                <m:r>
                                  <a:rPr lang="en-US" sz="1100" b="0" i="1">
                                    <a:solidFill>
                                      <a:sysClr val="windowText" lastClr="000000"/>
                                    </a:solidFill>
                                    <a:latin typeface="Cambria Math" panose="02040503050406030204" pitchFamily="18" charset="0"/>
                                  </a:rPr>
                                  <m:t>𝐷</m:t>
                                </m:r>
                              </m:e>
                            </m:d>
                            <m:r>
                              <a:rPr lang="en-US" sz="1100" b="0" i="1">
                                <a:solidFill>
                                  <a:sysClr val="windowText" lastClr="000000"/>
                                </a:solidFill>
                                <a:latin typeface="Cambria Math" panose="02040503050406030204" pitchFamily="18" charset="0"/>
                              </a:rPr>
                              <m:t>)∗(</m:t>
                            </m:r>
                            <m:r>
                              <a:rPr lang="en-US" sz="1100" b="0" i="1">
                                <a:solidFill>
                                  <a:sysClr val="windowText" lastClr="000000"/>
                                </a:solidFill>
                                <a:latin typeface="Cambria Math" panose="02040503050406030204" pitchFamily="18" charset="0"/>
                              </a:rPr>
                              <m:t>𝐿</m:t>
                            </m:r>
                            <m:r>
                              <a:rPr lang="en-US" sz="1100" b="0" i="1">
                                <a:solidFill>
                                  <a:sysClr val="windowText" lastClr="000000"/>
                                </a:solidFill>
                                <a:latin typeface="Cambria Math" panose="02040503050406030204" pitchFamily="18" charset="0"/>
                              </a:rPr>
                              <m:t>+4)</m:t>
                            </m:r>
                          </m:num>
                          <m:den>
                            <m:r>
                              <a:rPr lang="en-US" sz="1100" i="0">
                                <a:solidFill>
                                  <a:sysClr val="windowText" lastClr="000000"/>
                                </a:solidFill>
                                <a:latin typeface="Cambria Math" panose="02040503050406030204" pitchFamily="18" charset="0"/>
                              </a:rPr>
                              <m:t>57.75</m:t>
                            </m:r>
                            <m:r>
                              <a:rPr lang="en-US" sz="1100" b="0" i="1">
                                <a:solidFill>
                                  <a:sysClr val="windowText" lastClr="000000"/>
                                </a:solidFill>
                                <a:latin typeface="Cambria Math" panose="02040503050406030204" pitchFamily="18" charset="0"/>
                              </a:rPr>
                              <m:t> </m:t>
                            </m:r>
                            <m:r>
                              <a:rPr lang="en-US" sz="1100" b="0" i="1">
                                <a:solidFill>
                                  <a:sysClr val="windowText" lastClr="000000"/>
                                </a:solidFill>
                                <a:latin typeface="Cambria Math" panose="02040503050406030204" pitchFamily="18" charset="0"/>
                              </a:rPr>
                              <m:t>𝑖𝑛</m:t>
                            </m:r>
                            <m:r>
                              <a:rPr lang="en-US" sz="1100" b="0" i="1" baseline="30000">
                                <a:solidFill>
                                  <a:sysClr val="windowText" lastClr="000000"/>
                                </a:solidFill>
                                <a:latin typeface="Cambria Math" panose="02040503050406030204" pitchFamily="18" charset="0"/>
                              </a:rPr>
                              <m:t>3</m:t>
                            </m:r>
                          </m:den>
                        </m:f>
                      </m:e>
                    </m:d>
                  </m:oMath>
                </m:oMathPara>
              </a14:m>
              <a:endParaRPr lang="en-US" sz="1100">
                <a:solidFill>
                  <a:sysClr val="windowText" lastClr="000000"/>
                </a:solidFill>
                <a:latin typeface="Cambria" panose="02040503050406030204" pitchFamily="18" charset="0"/>
                <a:ea typeface="Cambria" panose="02040503050406030204" pitchFamily="18" charset="0"/>
              </a:endParaRPr>
            </a:p>
          </xdr:txBody>
        </xdr:sp>
      </mc:Choice>
      <mc:Fallback xmlns="">
        <xdr:sp macro="" textlink="">
          <xdr:nvSpPr>
            <xdr:cNvPr id="23" name="TextBox 22">
              <a:extLst>
                <a:ext uri="{FF2B5EF4-FFF2-40B4-BE49-F238E27FC236}">
                  <a16:creationId xmlns:a16="http://schemas.microsoft.com/office/drawing/2014/main" id="{00000000-0008-0000-0500-000017000000}"/>
                </a:ext>
                <a:ext uri="{147F2762-F138-4A5C-976F-8EAC2B608ADB}">
                  <a16:predDERef xmlns:a16="http://schemas.microsoft.com/office/drawing/2014/main" pred="{00000000-0008-0000-0500-000016000000}"/>
                </a:ext>
              </a:extLst>
            </xdr:cNvPr>
            <xdr:cNvSpPr txBox="1"/>
          </xdr:nvSpPr>
          <xdr:spPr>
            <a:xfrm>
              <a:off x="2667328" y="25878801"/>
              <a:ext cx="2923877" cy="3803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solidFill>
                    <a:sysClr val="windowText" lastClr="000000"/>
                  </a:solidFill>
                  <a:latin typeface="Cambria Math" panose="02040503050406030204" pitchFamily="18" charset="0"/>
                </a:rPr>
                <a:t>𝑅_𝑝</a:t>
              </a:r>
              <a:r>
                <a:rPr lang="en-US" sz="1100" b="0" i="0">
                  <a:solidFill>
                    <a:sysClr val="windowText" lastClr="000000"/>
                  </a:solidFill>
                  <a:latin typeface="Cambria Math" panose="02040503050406030204" pitchFamily="18" charset="0"/>
                </a:rPr>
                <a:t>𝑟𝑖𝑚𝑒𝑟</a:t>
              </a:r>
              <a:r>
                <a:rPr lang="en-US" sz="1100" i="0">
                  <a:solidFill>
                    <a:sysClr val="windowText" lastClr="000000"/>
                  </a:solidFill>
                  <a:latin typeface="Cambria Math" panose="02040503050406030204" pitchFamily="18" charset="0"/>
                </a:rPr>
                <a:t>=((</a:t>
              </a:r>
              <a:r>
                <a:rPr lang="en-US" sz="1100" b="0" i="0">
                  <a:solidFill>
                    <a:sysClr val="windowText" lastClr="000000"/>
                  </a:solidFill>
                  <a:latin typeface="Cambria Math" panose="02040503050406030204" pitchFamily="18" charset="0"/>
                </a:rPr>
                <a:t>((</a:t>
              </a:r>
              <a:r>
                <a:rPr lang="en-US" sz="1100" i="0">
                  <a:solidFill>
                    <a:sysClr val="windowText" lastClr="000000"/>
                  </a:solidFill>
                  <a:latin typeface="Cambria Math" panose="02040503050406030204" pitchFamily="18" charset="0"/>
                </a:rPr>
                <a:t>𝜋</a:t>
              </a:r>
              <a:r>
                <a:rPr lang="en-US" sz="1100" b="0" i="0">
                  <a:solidFill>
                    <a:sysClr val="windowText" lastClr="000000"/>
                  </a:solidFill>
                  <a:latin typeface="Cambria Math" panose="02040503050406030204" pitchFamily="18" charset="0"/>
                </a:rPr>
                <a:t>(</a:t>
              </a:r>
              <a:r>
                <a:rPr lang="en-US" sz="1100" i="0">
                  <a:solidFill>
                    <a:sysClr val="windowText" lastClr="000000"/>
                  </a:solidFill>
                  <a:latin typeface="Cambria Math" panose="02040503050406030204" pitchFamily="18" charset="0"/>
                </a:rPr>
                <a:t>𝐷</a:t>
              </a:r>
              <a:r>
                <a:rPr lang="en-US" sz="1100" i="0">
                  <a:solidFill>
                    <a:schemeClr val="tx1"/>
                  </a:solidFill>
                  <a:effectLst/>
                  <a:latin typeface="Cambria Math" panose="02040503050406030204" pitchFamily="18" charset="0"/>
                  <a:ea typeface="+mn-ea"/>
                  <a:cs typeface="+mn-cs"/>
                </a:rPr>
                <a:t>+0.</a:t>
              </a:r>
              <a:r>
                <a:rPr lang="en-US" sz="1100" b="0" i="0">
                  <a:solidFill>
                    <a:schemeClr val="tx1"/>
                  </a:solidFill>
                  <a:effectLst/>
                  <a:latin typeface="Cambria Math" panose="02040503050406030204" pitchFamily="18" charset="0"/>
                  <a:ea typeface="+mn-ea"/>
                  <a:cs typeface="+mn-cs"/>
                </a:rPr>
                <a:t>025")</a:t>
              </a:r>
              <a:r>
                <a:rPr lang="en-US" sz="1100" i="0">
                  <a:solidFill>
                    <a:sysClr val="windowText" lastClr="000000"/>
                  </a:solidFill>
                  <a:latin typeface="Cambria Math" panose="02040503050406030204" pitchFamily="18" charset="0"/>
                </a:rPr>
                <a:t>−(𝜋</a:t>
              </a:r>
              <a:r>
                <a:rPr lang="en-US" sz="1100" b="0" i="0">
                  <a:solidFill>
                    <a:sysClr val="windowText" lastClr="000000"/>
                  </a:solidFill>
                  <a:latin typeface="Cambria Math" panose="02040503050406030204" pitchFamily="18" charset="0"/>
                </a:rPr>
                <a:t>𝐷))∗(𝐿+4))/(</a:t>
              </a:r>
              <a:r>
                <a:rPr lang="en-US" sz="1100" i="0">
                  <a:solidFill>
                    <a:sysClr val="windowText" lastClr="000000"/>
                  </a:solidFill>
                  <a:latin typeface="Cambria Math" panose="02040503050406030204" pitchFamily="18" charset="0"/>
                </a:rPr>
                <a:t>57.75</a:t>
              </a:r>
              <a:r>
                <a:rPr lang="en-US" sz="1100" b="0" i="0">
                  <a:solidFill>
                    <a:sysClr val="windowText" lastClr="000000"/>
                  </a:solidFill>
                  <a:latin typeface="Cambria Math" panose="02040503050406030204" pitchFamily="18" charset="0"/>
                </a:rPr>
                <a:t> 𝑖𝑛</a:t>
              </a:r>
              <a:r>
                <a:rPr lang="en-US" sz="1100" b="0" i="0" baseline="30000">
                  <a:solidFill>
                    <a:sysClr val="windowText" lastClr="000000"/>
                  </a:solidFill>
                  <a:latin typeface="Cambria Math" panose="02040503050406030204" pitchFamily="18" charset="0"/>
                </a:rPr>
                <a:t>3))</a:t>
              </a:r>
              <a:endParaRPr lang="en-US" sz="1100">
                <a:solidFill>
                  <a:sysClr val="windowText" lastClr="000000"/>
                </a:solidFill>
                <a:latin typeface="Cambria" panose="02040503050406030204" pitchFamily="18" charset="0"/>
                <a:ea typeface="Cambria" panose="02040503050406030204" pitchFamily="18" charset="0"/>
              </a:endParaRPr>
            </a:p>
          </xdr:txBody>
        </xdr:sp>
      </mc:Fallback>
    </mc:AlternateContent>
    <xdr:clientData/>
  </xdr:oneCellAnchor>
  <xdr:oneCellAnchor>
    <xdr:from>
      <xdr:col>4</xdr:col>
      <xdr:colOff>30032</xdr:colOff>
      <xdr:row>43</xdr:row>
      <xdr:rowOff>55805</xdr:rowOff>
    </xdr:from>
    <xdr:ext cx="490519" cy="182614"/>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2838002" y="14248055"/>
              <a:ext cx="490519"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𝑝𝑟𝑖𝑚𝑒𝑟</m:t>
                        </m:r>
                      </m:sub>
                    </m:sSub>
                  </m:oMath>
                </m:oMathPara>
              </a14:m>
              <a:endParaRPr lang="en-US" sz="1100"/>
            </a:p>
          </xdr:txBody>
        </xdr:sp>
      </mc:Choice>
      <mc:Fallback xmlns="">
        <xdr:sp macro="" textlink="">
          <xdr:nvSpPr>
            <xdr:cNvPr id="24" name="TextBox 23">
              <a:extLst>
                <a:ext uri="{FF2B5EF4-FFF2-40B4-BE49-F238E27FC236}">
                  <a16:creationId xmlns:a16="http://schemas.microsoft.com/office/drawing/2014/main" id="{2952BF8C-A953-4834-904A-52191B6DF6E8}"/>
                </a:ext>
              </a:extLst>
            </xdr:cNvPr>
            <xdr:cNvSpPr txBox="1"/>
          </xdr:nvSpPr>
          <xdr:spPr>
            <a:xfrm>
              <a:off x="2838002" y="14248055"/>
              <a:ext cx="490519"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𝑅_𝑝𝑟𝑖𝑚𝑒𝑟</a:t>
              </a:r>
              <a:endParaRPr lang="en-US" sz="1100"/>
            </a:p>
          </xdr:txBody>
        </xdr:sp>
      </mc:Fallback>
    </mc:AlternateContent>
    <xdr:clientData/>
  </xdr:oneCellAnchor>
  <xdr:oneCellAnchor>
    <xdr:from>
      <xdr:col>3</xdr:col>
      <xdr:colOff>590550</xdr:colOff>
      <xdr:row>64</xdr:row>
      <xdr:rowOff>271829</xdr:rowOff>
    </xdr:from>
    <xdr:ext cx="1204546" cy="172227"/>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8CB78FCE-7227-01D3-4740-9FBBA7E85727}"/>
                </a:ext>
              </a:extLst>
            </xdr:cNvPr>
            <xdr:cNvSpPr txBox="1"/>
          </xdr:nvSpPr>
          <xdr:spPr>
            <a:xfrm>
              <a:off x="2605454" y="25249310"/>
              <a:ext cx="12045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rPr>
                          <m:t>𝐴𝑟𝑒𝑎</m:t>
                        </m:r>
                      </m:sub>
                    </m:sSub>
                    <m:r>
                      <a:rPr lang="en-US" sz="1100" b="0" i="1">
                        <a:latin typeface="Cambria Math" panose="02040503050406030204" pitchFamily="18" charset="0"/>
                      </a:rPr>
                      <m:t>= </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rPr>
                          <m:t>𝑇</m:t>
                        </m:r>
                      </m:sub>
                    </m:sSub>
                    <m:r>
                      <a:rPr lang="en-US" sz="1100" b="0" i="1">
                        <a:latin typeface="Cambria Math" panose="02040503050406030204" pitchFamily="18" charset="0"/>
                      </a:rPr>
                      <m:t>∗1 </m:t>
                    </m:r>
                    <m:r>
                      <a:rPr lang="en-US" sz="1100" b="0" i="1">
                        <a:latin typeface="Cambria Math" panose="02040503050406030204" pitchFamily="18" charset="0"/>
                      </a:rPr>
                      <m:t>𝑓𝑡</m:t>
                    </m:r>
                  </m:oMath>
                </m:oMathPara>
              </a14:m>
              <a:endParaRPr lang="en-US" sz="1100"/>
            </a:p>
          </xdr:txBody>
        </xdr:sp>
      </mc:Choice>
      <mc:Fallback xmlns="">
        <xdr:sp macro="" textlink="">
          <xdr:nvSpPr>
            <xdr:cNvPr id="30" name="TextBox 29">
              <a:extLst>
                <a:ext uri="{FF2B5EF4-FFF2-40B4-BE49-F238E27FC236}">
                  <a16:creationId xmlns:a16="http://schemas.microsoft.com/office/drawing/2014/main" id="{8CB78FCE-7227-01D3-4740-9FBBA7E85727}"/>
                </a:ext>
              </a:extLst>
            </xdr:cNvPr>
            <xdr:cNvSpPr txBox="1"/>
          </xdr:nvSpPr>
          <xdr:spPr>
            <a:xfrm>
              <a:off x="2605454" y="25249310"/>
              <a:ext cx="120454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r>
                <a:rPr lang="en-US" sz="1100" i="0">
                  <a:latin typeface="Cambria Math" panose="02040503050406030204" pitchFamily="18" charset="0"/>
                  <a:ea typeface="Cambria Math" panose="02040503050406030204" pitchFamily="18" charset="0"/>
                </a:rPr>
                <a:t>𝛿_</a:t>
              </a:r>
              <a:r>
                <a:rPr lang="en-US" sz="1100" b="0" i="0">
                  <a:latin typeface="Cambria Math" panose="02040503050406030204" pitchFamily="18" charset="0"/>
                </a:rPr>
                <a:t>𝐴𝑟𝑒𝑎= </a:t>
              </a:r>
              <a:r>
                <a:rPr lang="en-US" sz="1100" b="0" i="0">
                  <a:latin typeface="Cambria Math" panose="02040503050406030204" pitchFamily="18" charset="0"/>
                  <a:ea typeface="Cambria Math" panose="02040503050406030204" pitchFamily="18" charset="0"/>
                </a:rPr>
                <a:t>𝛿_</a:t>
              </a:r>
              <a:r>
                <a:rPr lang="en-US" sz="1100" b="0" i="0">
                  <a:latin typeface="Cambria Math" panose="02040503050406030204" pitchFamily="18" charset="0"/>
                </a:rPr>
                <a:t>𝑇∗1 𝑓𝑡</a:t>
              </a:r>
              <a:endParaRPr lang="en-US" sz="1100"/>
            </a:p>
          </xdr:txBody>
        </xdr:sp>
      </mc:Fallback>
    </mc:AlternateContent>
    <xdr:clientData/>
  </xdr:oneCellAnchor>
  <xdr:oneCellAnchor>
    <xdr:from>
      <xdr:col>3</xdr:col>
      <xdr:colOff>600807</xdr:colOff>
      <xdr:row>50</xdr:row>
      <xdr:rowOff>168520</xdr:rowOff>
    </xdr:from>
    <xdr:ext cx="2764859" cy="377604"/>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9FD33F3F-EC3F-4050-BDA5-0F82FE27EA81}"/>
                </a:ext>
              </a:extLst>
            </xdr:cNvPr>
            <xdr:cNvSpPr txBox="1"/>
          </xdr:nvSpPr>
          <xdr:spPr>
            <a:xfrm>
              <a:off x="2615711" y="16690732"/>
              <a:ext cx="2764859"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solidFill>
                          <a:schemeClr val="tx1"/>
                        </a:solidFill>
                        <a:effectLst/>
                        <a:latin typeface="Cambria Math" panose="02040503050406030204" pitchFamily="18" charset="0"/>
                        <a:ea typeface="+mn-ea"/>
                        <a:cs typeface="+mn-cs"/>
                      </a:rPr>
                      <m:t>𝑇𝑒𝑐h𝑛𝑖𝑞𝑢𝑒</m:t>
                    </m:r>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panose="02040503050406030204" pitchFamily="18" charset="0"/>
                              </a:rPr>
                              <m:t>𝐿𝑎𝑦𝑒𝑟</m:t>
                            </m:r>
                            <m:r>
                              <a:rPr lang="en-US" sz="1100" b="0" i="1">
                                <a:latin typeface="Cambria Math" panose="02040503050406030204" pitchFamily="18" charset="0"/>
                              </a:rPr>
                              <m:t> </m:t>
                            </m:r>
                            <m:r>
                              <a:rPr lang="en-US" sz="1100" b="0" i="1">
                                <a:latin typeface="Cambria Math" panose="02040503050406030204" pitchFamily="18" charset="0"/>
                              </a:rPr>
                              <m:t>𝑜𝑣𝑒𝑟</m:t>
                            </m:r>
                            <m:r>
                              <a:rPr lang="en-US" sz="1100" b="0" i="1">
                                <a:latin typeface="Cambria Math" panose="02040503050406030204" pitchFamily="18" charset="0"/>
                              </a:rPr>
                              <m:t> </m:t>
                            </m:r>
                            <m:r>
                              <a:rPr lang="en-US" sz="1100" b="0" i="1">
                                <a:latin typeface="Cambria Math" panose="02040503050406030204" pitchFamily="18" charset="0"/>
                              </a:rPr>
                              <m:t>𝐿𝑎𝑦𝑒𝑟</m:t>
                            </m:r>
                            <m:r>
                              <a:rPr lang="en-US" sz="1100" b="0" i="1">
                                <a:latin typeface="Cambria Math" panose="02040503050406030204" pitchFamily="18" charset="0"/>
                              </a:rPr>
                              <m:t>,  </m:t>
                            </m:r>
                            <m:r>
                              <m:rPr>
                                <m:nor/>
                              </m:rPr>
                              <a:rPr lang="en-US" sz="1100" b="0" i="0">
                                <a:latin typeface="Cambria Math" panose="02040503050406030204" pitchFamily="18" charset="0"/>
                              </a:rPr>
                              <m:t>L</m:t>
                            </m:r>
                            <m:r>
                              <a:rPr lang="en-US" sz="1100" b="0" i="1">
                                <a:latin typeface="Cambria Math" panose="02040503050406030204" pitchFamily="18" charset="0"/>
                                <a:ea typeface="Cambria Math" panose="02040503050406030204" pitchFamily="18" charset="0"/>
                              </a:rPr>
                              <m:t>≤12</m:t>
                            </m:r>
                          </m:e>
                          <m:e>
                            <m:r>
                              <a:rPr lang="en-US" sz="1100" b="0" i="1">
                                <a:latin typeface="Cambria Math" panose="02040503050406030204" pitchFamily="18" charset="0"/>
                              </a:rPr>
                              <m:t>𝑆𝑝𝑖𝑟𝑎𝑙</m:t>
                            </m:r>
                            <m:r>
                              <a:rPr lang="en-US" sz="1100" b="0" i="1">
                                <a:latin typeface="Cambria Math" panose="02040503050406030204" pitchFamily="18" charset="0"/>
                              </a:rPr>
                              <m:t>,  </m:t>
                            </m:r>
                            <m:r>
                              <m:rPr>
                                <m:nor/>
                              </m:rPr>
                              <a:rPr lang="en-US" sz="1100" b="0" i="0">
                                <a:latin typeface="Cambria Math" panose="02040503050406030204" pitchFamily="18" charset="0"/>
                              </a:rPr>
                              <m:t>                       </m:t>
                            </m:r>
                            <m:r>
                              <a:rPr lang="en-US" sz="1100" b="0" i="1">
                                <a:latin typeface="Cambria Math" panose="02040503050406030204" pitchFamily="18" charset="0"/>
                              </a:rPr>
                              <m:t>𝐿</m:t>
                            </m:r>
                            <m:r>
                              <a:rPr lang="en-US" sz="1100" b="0" i="1">
                                <a:latin typeface="Cambria Math" panose="02040503050406030204" pitchFamily="18" charset="0"/>
                                <a:ea typeface="Cambria Math" panose="02040503050406030204" pitchFamily="18" charset="0"/>
                              </a:rPr>
                              <m:t>&gt;12</m:t>
                            </m:r>
                          </m:e>
                        </m:eqArr>
                      </m:e>
                    </m:d>
                  </m:oMath>
                </m:oMathPara>
              </a14:m>
              <a:endParaRPr lang="en-US" sz="1100"/>
            </a:p>
          </xdr:txBody>
        </xdr:sp>
      </mc:Choice>
      <mc:Fallback xmlns="">
        <xdr:sp macro="" textlink="">
          <xdr:nvSpPr>
            <xdr:cNvPr id="43" name="TextBox 42">
              <a:extLst>
                <a:ext uri="{FF2B5EF4-FFF2-40B4-BE49-F238E27FC236}">
                  <a16:creationId xmlns:a16="http://schemas.microsoft.com/office/drawing/2014/main" id="{9FD33F3F-EC3F-4050-BDA5-0F82FE27EA81}"/>
                </a:ext>
              </a:extLst>
            </xdr:cNvPr>
            <xdr:cNvSpPr txBox="1"/>
          </xdr:nvSpPr>
          <xdr:spPr>
            <a:xfrm>
              <a:off x="2615711" y="16690732"/>
              <a:ext cx="2764859"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𝑇𝑒𝑐ℎ𝑛𝑖𝑞𝑢𝑒</a:t>
              </a:r>
              <a:r>
                <a:rPr lang="en-US" sz="1100" b="0" i="0">
                  <a:latin typeface="Cambria Math" panose="02040503050406030204" pitchFamily="18" charset="0"/>
                </a:rPr>
                <a:t>={█(𝐿𝑎𝑦𝑒𝑟 𝑜𝑣𝑒𝑟 𝐿𝑎𝑦𝑒𝑟,  "L</a:t>
              </a:r>
              <a:r>
                <a:rPr lang="en-US" sz="1100" b="0" i="0">
                  <a:latin typeface="Cambria Math" panose="02040503050406030204" pitchFamily="18" charset="0"/>
                  <a:ea typeface="Cambria Math" panose="02040503050406030204" pitchFamily="18" charset="0"/>
                </a:rPr>
                <a:t>" ≤12@</a:t>
              </a:r>
              <a:r>
                <a:rPr lang="en-US" sz="1100" b="0" i="0">
                  <a:latin typeface="Cambria Math" panose="02040503050406030204" pitchFamily="18" charset="0"/>
                </a:rPr>
                <a:t>𝑆𝑝𝑖𝑟𝑎𝑙,  "                       " 𝐿</a:t>
              </a:r>
              <a:r>
                <a:rPr lang="en-US" sz="1100" b="0" i="0">
                  <a:latin typeface="Cambria Math" panose="02040503050406030204" pitchFamily="18" charset="0"/>
                  <a:ea typeface="Cambria Math" panose="02040503050406030204" pitchFamily="18" charset="0"/>
                </a:rPr>
                <a:t>&gt;12)┤</a:t>
              </a:r>
              <a:endParaRPr lang="en-US" sz="1100"/>
            </a:p>
          </xdr:txBody>
        </xdr:sp>
      </mc:Fallback>
    </mc:AlternateContent>
    <xdr:clientData/>
  </xdr:oneCellAnchor>
  <xdr:oneCellAnchor>
    <xdr:from>
      <xdr:col>4</xdr:col>
      <xdr:colOff>9525</xdr:colOff>
      <xdr:row>68</xdr:row>
      <xdr:rowOff>247650</xdr:rowOff>
    </xdr:from>
    <xdr:ext cx="1215076" cy="316946"/>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599F9A7F-5C11-42F4-87AA-2440D521C484}"/>
                </a:ext>
              </a:extLst>
            </xdr:cNvPr>
            <xdr:cNvSpPr txBox="1"/>
          </xdr:nvSpPr>
          <xdr:spPr>
            <a:xfrm>
              <a:off x="2647950" y="28232100"/>
              <a:ext cx="1215076" cy="316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𝐿𝑒𝑛𝑔𝑡h</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m:t>
                        </m:r>
                        <m:r>
                          <m:rPr>
                            <m:sty m:val="p"/>
                          </m:rPr>
                          <a:rPr lang="el-GR" sz="1100" b="0" i="1">
                            <a:latin typeface="Cambria Math" panose="02040503050406030204" pitchFamily="18" charset="0"/>
                          </a:rPr>
                          <m:t>π</m:t>
                        </m:r>
                        <m:r>
                          <a:rPr lang="en-US" sz="1100" b="0" i="1">
                            <a:latin typeface="Cambria Math" panose="02040503050406030204" pitchFamily="18" charset="0"/>
                          </a:rPr>
                          <m:t>𝐷</m:t>
                        </m:r>
                      </m:num>
                      <m:den>
                        <m:r>
                          <a:rPr lang="en-US" sz="110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2</m:t>
                        </m:r>
                        <m:r>
                          <m:rPr>
                            <m:nor/>
                          </m:rPr>
                          <a:rPr lang="en-US" i="0">
                            <a:effectLst/>
                          </a:rPr>
                          <m:t> </m:t>
                        </m:r>
                      </m:den>
                    </m:f>
                  </m:oMath>
                </m:oMathPara>
              </a14:m>
              <a:endParaRPr lang="en-US" sz="1100"/>
            </a:p>
          </xdr:txBody>
        </xdr:sp>
      </mc:Choice>
      <mc:Fallback xmlns="">
        <xdr:sp macro="" textlink="">
          <xdr:nvSpPr>
            <xdr:cNvPr id="5" name="TextBox 4">
              <a:extLst>
                <a:ext uri="{FF2B5EF4-FFF2-40B4-BE49-F238E27FC236}">
                  <a16:creationId xmlns:a16="http://schemas.microsoft.com/office/drawing/2014/main" id="{599F9A7F-5C11-42F4-87AA-2440D521C484}"/>
                </a:ext>
              </a:extLst>
            </xdr:cNvPr>
            <xdr:cNvSpPr txBox="1"/>
          </xdr:nvSpPr>
          <xdr:spPr>
            <a:xfrm>
              <a:off x="2647950" y="28232100"/>
              <a:ext cx="1215076" cy="3169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〖𝐼𝑊〗_(𝑝𝑒𝑟 𝐿𝑒𝑛𝑔𝑡ℎ)</a:t>
              </a:r>
              <a:r>
                <a:rPr lang="en-US" sz="1100" b="0" i="0">
                  <a:latin typeface="Cambria Math" panose="02040503050406030204" pitchFamily="18" charset="0"/>
                </a:rPr>
                <a:t>=2</a:t>
              </a:r>
              <a:r>
                <a:rPr lang="el-GR" sz="1100" b="0" i="0">
                  <a:latin typeface="Cambria Math" panose="02040503050406030204" pitchFamily="18" charset="0"/>
                </a:rPr>
                <a:t>π</a:t>
              </a:r>
              <a:r>
                <a:rPr lang="en-US" sz="1100" b="0" i="0">
                  <a:latin typeface="Cambria Math" panose="02040503050406030204" pitchFamily="18" charset="0"/>
                </a:rPr>
                <a:t>𝐷/</a:t>
              </a:r>
              <a:r>
                <a:rPr lang="en-US" sz="1100" i="0">
                  <a:solidFill>
                    <a:schemeClr val="tx1"/>
                  </a:solidFill>
                  <a:effectLst/>
                  <a:latin typeface="Cambria Math" panose="02040503050406030204" pitchFamily="18" charset="0"/>
                  <a:ea typeface="+mn-ea"/>
                  <a:cs typeface="+mn-cs"/>
                </a:rPr>
                <a:t>1</a:t>
              </a:r>
              <a:r>
                <a:rPr lang="en-US" sz="1100" b="0" i="0">
                  <a:solidFill>
                    <a:schemeClr val="tx1"/>
                  </a:solidFill>
                  <a:effectLst/>
                  <a:latin typeface="Cambria Math" panose="02040503050406030204" pitchFamily="18" charset="0"/>
                  <a:ea typeface="+mn-ea"/>
                  <a:cs typeface="+mn-cs"/>
                </a:rPr>
                <a:t>2"</a:t>
              </a:r>
              <a:r>
                <a:rPr lang="en-US" i="0">
                  <a:effectLst/>
                </a:rPr>
                <a:t> </a:t>
              </a:r>
              <a:r>
                <a:rPr lang="en-US" i="0">
                  <a:effectLst/>
                  <a:latin typeface="Cambria Math" panose="02040503050406030204" pitchFamily="18" charset="0"/>
                </a:rPr>
                <a:t>" </a:t>
              </a:r>
              <a:endParaRPr lang="en-US" sz="1100"/>
            </a:p>
          </xdr:txBody>
        </xdr:sp>
      </mc:Fallback>
    </mc:AlternateContent>
    <xdr:clientData/>
  </xdr:oneCellAnchor>
  <xdr:oneCellAnchor>
    <xdr:from>
      <xdr:col>4</xdr:col>
      <xdr:colOff>0</xdr:colOff>
      <xdr:row>69</xdr:row>
      <xdr:rowOff>304800</xdr:rowOff>
    </xdr:from>
    <xdr:ext cx="1956048" cy="185628"/>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D4651FE9-3332-4997-8D94-A074F76C4EDA}"/>
                </a:ext>
              </a:extLst>
            </xdr:cNvPr>
            <xdr:cNvSpPr txBox="1"/>
          </xdr:nvSpPr>
          <xdr:spPr>
            <a:xfrm>
              <a:off x="2638425" y="29051250"/>
              <a:ext cx="1956048" cy="185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𝑇𝑜𝑡𝑎𝑙</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𝐿𝑒𝑛𝑔𝑡h</m:t>
                        </m:r>
                      </m:sub>
                    </m:sSub>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Cambria Math" panose="02040503050406030204" pitchFamily="18" charset="0"/>
                        <a:cs typeface="+mn-cs"/>
                      </a:rPr>
                      <m:t>+1)</m:t>
                    </m:r>
                  </m:oMath>
                </m:oMathPara>
              </a14:m>
              <a:endParaRPr lang="en-US" sz="1100">
                <a:latin typeface="Cambria Math" panose="02040503050406030204" pitchFamily="18" charset="0"/>
                <a:ea typeface="Cambria Math" panose="02040503050406030204" pitchFamily="18" charset="0"/>
              </a:endParaRPr>
            </a:p>
          </xdr:txBody>
        </xdr:sp>
      </mc:Choice>
      <mc:Fallback xmlns="">
        <xdr:sp macro="" textlink="">
          <xdr:nvSpPr>
            <xdr:cNvPr id="23" name="TextBox 22">
              <a:extLst>
                <a:ext uri="{FF2B5EF4-FFF2-40B4-BE49-F238E27FC236}">
                  <a16:creationId xmlns:a16="http://schemas.microsoft.com/office/drawing/2014/main" id="{D4651FE9-3332-4997-8D94-A074F76C4EDA}"/>
                </a:ext>
              </a:extLst>
            </xdr:cNvPr>
            <xdr:cNvSpPr txBox="1"/>
          </xdr:nvSpPr>
          <xdr:spPr>
            <a:xfrm>
              <a:off x="2638425" y="29051250"/>
              <a:ext cx="1956048" cy="185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〖𝐼𝑊〗_𝑇𝑜𝑡𝑎𝑙</a:t>
              </a:r>
              <a:r>
                <a:rPr lang="en-US" sz="1100" b="0" i="0">
                  <a:latin typeface="Cambria Math" panose="02040503050406030204" pitchFamily="18" charset="0"/>
                </a:rPr>
                <a:t>=</a:t>
              </a:r>
              <a:r>
                <a:rPr lang="en-US" sz="1100" b="0" i="0">
                  <a:solidFill>
                    <a:schemeClr val="tx1"/>
                  </a:solidFill>
                  <a:effectLst/>
                  <a:latin typeface="+mn-lt"/>
                  <a:ea typeface="+mn-ea"/>
                  <a:cs typeface="+mn-cs"/>
                </a:rPr>
                <a:t>〖𝐼𝑊〗_(𝑝𝑒𝑟 𝐿𝑒𝑛𝑔𝑡ℎ)</a:t>
              </a:r>
              <a:r>
                <a:rPr lang="en-US" sz="1100" b="0" i="0">
                  <a:solidFill>
                    <a:schemeClr val="tx1"/>
                  </a:solidFill>
                  <a:effectLst/>
                  <a:latin typeface="Cambria Math" panose="02040503050406030204" pitchFamily="18" charset="0"/>
                  <a:ea typeface="+mn-ea"/>
                  <a:cs typeface="+mn-cs"/>
                </a:rPr>
                <a:t>  ∗(𝐿</a:t>
              </a:r>
              <a:r>
                <a:rPr lang="en-US" sz="1100" b="0" i="0">
                  <a:solidFill>
                    <a:schemeClr val="tx1"/>
                  </a:solidFill>
                  <a:effectLst/>
                  <a:latin typeface="Cambria Math" panose="02040503050406030204" pitchFamily="18" charset="0"/>
                  <a:ea typeface="Cambria Math" panose="02040503050406030204" pitchFamily="18" charset="0"/>
                  <a:cs typeface="+mn-cs"/>
                </a:rPr>
                <a:t>+1)</a:t>
              </a:r>
              <a:endParaRPr lang="en-US" sz="1100">
                <a:latin typeface="Cambria Math" panose="02040503050406030204" pitchFamily="18" charset="0"/>
                <a:ea typeface="Cambria Math" panose="02040503050406030204" pitchFamily="18" charset="0"/>
              </a:endParaRPr>
            </a:p>
          </xdr:txBody>
        </xdr:sp>
      </mc:Fallback>
    </mc:AlternateContent>
    <xdr:clientData/>
  </xdr:oneCellAnchor>
  <xdr:oneCellAnchor>
    <xdr:from>
      <xdr:col>4</xdr:col>
      <xdr:colOff>0</xdr:colOff>
      <xdr:row>70</xdr:row>
      <xdr:rowOff>304800</xdr:rowOff>
    </xdr:from>
    <xdr:ext cx="1331903" cy="165366"/>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90677190-0BEC-4D74-8FD6-8F8F419D5C48}"/>
                </a:ext>
              </a:extLst>
            </xdr:cNvPr>
            <xdr:cNvSpPr txBox="1"/>
          </xdr:nvSpPr>
          <xdr:spPr>
            <a:xfrm>
              <a:off x="2638425" y="29813250"/>
              <a:ext cx="133190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𝐼𝑊</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𝐼𝑊</m:t>
                        </m:r>
                      </m:e>
                      <m:sub>
                        <m:r>
                          <a:rPr lang="en-US" sz="1100" b="0" i="1">
                            <a:solidFill>
                              <a:schemeClr val="tx1"/>
                            </a:solidFill>
                            <a:effectLst/>
                            <a:latin typeface="Cambria Math" panose="02040503050406030204" pitchFamily="18" charset="0"/>
                            <a:ea typeface="+mn-ea"/>
                            <a:cs typeface="+mn-cs"/>
                          </a:rPr>
                          <m:t>𝑇𝑜𝑡𝑎𝑙</m:t>
                        </m:r>
                      </m:sub>
                    </m:sSub>
                    <m:r>
                      <a:rPr lang="en-US" sz="1100" b="0" i="1">
                        <a:solidFill>
                          <a:schemeClr val="tx1"/>
                        </a:solidFill>
                        <a:effectLst/>
                        <a:latin typeface="Cambria Math" panose="02040503050406030204" pitchFamily="18" charset="0"/>
                        <a:ea typeface="+mn-ea"/>
                        <a:cs typeface="+mn-cs"/>
                      </a:rPr>
                      <m:t> ∗0.06</m:t>
                    </m:r>
                    <m:r>
                      <a:rPr lang="en-US" sz="1100" b="0" i="1">
                        <a:latin typeface="Cambria Math" panose="02040503050406030204" pitchFamily="18" charset="0"/>
                      </a:rPr>
                      <m:t> </m:t>
                    </m:r>
                  </m:oMath>
                </m:oMathPara>
              </a14:m>
              <a:endParaRPr lang="en-US" sz="1100" b="0">
                <a:latin typeface="Cambria Math" panose="02040503050406030204" pitchFamily="18" charset="0"/>
              </a:endParaRPr>
            </a:p>
          </xdr:txBody>
        </xdr:sp>
      </mc:Choice>
      <mc:Fallback xmlns="">
        <xdr:sp macro="" textlink="">
          <xdr:nvSpPr>
            <xdr:cNvPr id="36" name="TextBox 35">
              <a:extLst>
                <a:ext uri="{FF2B5EF4-FFF2-40B4-BE49-F238E27FC236}">
                  <a16:creationId xmlns:a16="http://schemas.microsoft.com/office/drawing/2014/main" id="{90677190-0BEC-4D74-8FD6-8F8F419D5C48}"/>
                </a:ext>
              </a:extLst>
            </xdr:cNvPr>
            <xdr:cNvSpPr txBox="1"/>
          </xdr:nvSpPr>
          <xdr:spPr>
            <a:xfrm>
              <a:off x="2638425" y="29813250"/>
              <a:ext cx="1331903" cy="165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𝑅_𝐼𝑊</a:t>
              </a:r>
              <a:r>
                <a:rPr lang="en-US" sz="1100" b="0" i="0">
                  <a:latin typeface="Cambria Math" panose="02040503050406030204" pitchFamily="18" charset="0"/>
                </a:rPr>
                <a:t>=</a:t>
              </a:r>
              <a:r>
                <a:rPr lang="en-US" sz="1100" b="0" i="0">
                  <a:solidFill>
                    <a:schemeClr val="tx1"/>
                  </a:solidFill>
                  <a:effectLst/>
                  <a:latin typeface="+mn-lt"/>
                  <a:ea typeface="+mn-ea"/>
                  <a:cs typeface="+mn-cs"/>
                </a:rPr>
                <a:t>〖𝐼𝑊〗_𝑇𝑜𝑡𝑎𝑙</a:t>
              </a:r>
              <a:r>
                <a:rPr lang="en-US" sz="1100" b="0" i="0">
                  <a:solidFill>
                    <a:schemeClr val="tx1"/>
                  </a:solidFill>
                  <a:effectLst/>
                  <a:latin typeface="Cambria Math" panose="02040503050406030204" pitchFamily="18" charset="0"/>
                  <a:ea typeface="+mn-ea"/>
                  <a:cs typeface="+mn-cs"/>
                </a:rPr>
                <a:t>  ∗0.06</a:t>
              </a:r>
              <a:r>
                <a:rPr lang="en-US" sz="1100" b="0" i="0">
                  <a:latin typeface="Cambria Math" panose="02040503050406030204" pitchFamily="18" charset="0"/>
                </a:rPr>
                <a:t> </a:t>
              </a:r>
              <a:endParaRPr lang="en-US" sz="1100" b="0">
                <a:latin typeface="Cambria Math" panose="02040503050406030204" pitchFamily="18" charset="0"/>
              </a:endParaRPr>
            </a:p>
          </xdr:txBody>
        </xdr:sp>
      </mc:Fallback>
    </mc:AlternateContent>
    <xdr:clientData/>
  </xdr:oneCellAnchor>
  <xdr:oneCellAnchor>
    <xdr:from>
      <xdr:col>4</xdr:col>
      <xdr:colOff>236220</xdr:colOff>
      <xdr:row>12</xdr:row>
      <xdr:rowOff>83820</xdr:rowOff>
    </xdr:from>
    <xdr:ext cx="109261" cy="172227"/>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7FF8A128-2FA8-4B9E-ADC2-721C81C5FF4D}"/>
                </a:ext>
              </a:extLst>
            </xdr:cNvPr>
            <xdr:cNvSpPr txBox="1"/>
          </xdr:nvSpPr>
          <xdr:spPr>
            <a:xfrm>
              <a:off x="3046095" y="3093720"/>
              <a:ext cx="1092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𝑆</m:t>
                    </m:r>
                  </m:oMath>
                </m:oMathPara>
              </a14:m>
              <a:endParaRPr lang="en-US" sz="1100"/>
            </a:p>
          </xdr:txBody>
        </xdr:sp>
      </mc:Choice>
      <mc:Fallback xmlns="">
        <xdr:sp macro="" textlink="">
          <xdr:nvSpPr>
            <xdr:cNvPr id="38" name="TextBox 37">
              <a:extLst>
                <a:ext uri="{FF2B5EF4-FFF2-40B4-BE49-F238E27FC236}">
                  <a16:creationId xmlns:a16="http://schemas.microsoft.com/office/drawing/2014/main" id="{7FF8A128-2FA8-4B9E-ADC2-721C81C5FF4D}"/>
                </a:ext>
              </a:extLst>
            </xdr:cNvPr>
            <xdr:cNvSpPr txBox="1"/>
          </xdr:nvSpPr>
          <xdr:spPr>
            <a:xfrm>
              <a:off x="3046095" y="3093720"/>
              <a:ext cx="10926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𝑆</a:t>
              </a:r>
              <a:endParaRPr lang="en-US" sz="1100"/>
            </a:p>
          </xdr:txBody>
        </xdr:sp>
      </mc:Fallback>
    </mc:AlternateContent>
    <xdr:clientData/>
  </xdr:oneCellAnchor>
</xdr:wsDr>
</file>

<file path=xl/drawings/drawing7.xml><?xml version="1.0" encoding="utf-8"?>
<xdr:wsDr xmlns:xdr="http://schemas.openxmlformats.org/drawingml/2006/spreadsheetDrawing" xmlns:a="http://schemas.openxmlformats.org/drawingml/2006/main">
  <xdr:twoCellAnchor>
    <xdr:from>
      <xdr:col>0</xdr:col>
      <xdr:colOff>-114300</xdr:colOff>
      <xdr:row>0</xdr:row>
      <xdr:rowOff>-95250</xdr:rowOff>
    </xdr:from>
    <xdr:to>
      <xdr:col>0</xdr:col>
      <xdr:colOff>-114300</xdr:colOff>
      <xdr:row>0</xdr:row>
      <xdr:rowOff>-95250</xdr:rowOff>
    </xdr:to>
    <xdr:graphicFrame macro="">
      <xdr:nvGraphicFramePr>
        <xdr:cNvPr id="3" name="Chart 2">
          <a:extLst>
            <a:ext uri="{FF2B5EF4-FFF2-40B4-BE49-F238E27FC236}">
              <a16:creationId xmlns:a16="http://schemas.microsoft.com/office/drawing/2014/main" id="{76E27DB1-56F2-4C79-BC6A-EE24DC7B81F9}"/>
            </a:ext>
            <a:ext uri="{147F2762-F138-4A5C-976F-8EAC2B608ADB}">
              <a16:predDERef xmlns:a16="http://schemas.microsoft.com/office/drawing/2014/main" pred="{3F37E21F-C60B-4CAD-BE86-48CA9321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142875</xdr:colOff>
      <xdr:row>4</xdr:row>
      <xdr:rowOff>95250</xdr:rowOff>
    </xdr:from>
    <xdr:to>
      <xdr:col>5</xdr:col>
      <xdr:colOff>390604</xdr:colOff>
      <xdr:row>6</xdr:row>
      <xdr:rowOff>114335</xdr:rowOff>
    </xdr:to>
    <xdr:pic>
      <xdr:nvPicPr>
        <xdr:cNvPr id="2" name="Picture 1">
          <a:extLst>
            <a:ext uri="{FF2B5EF4-FFF2-40B4-BE49-F238E27FC236}">
              <a16:creationId xmlns:a16="http://schemas.microsoft.com/office/drawing/2014/main" id="{F80949B4-2BAD-4037-8461-0D5068968CBA}"/>
            </a:ext>
            <a:ext uri="{147F2762-F138-4A5C-976F-8EAC2B608ADB}">
              <a16:predDERef xmlns:a16="http://schemas.microsoft.com/office/drawing/2014/main" pred="{76E27DB1-56F2-4C79-BC6A-EE24DC7B81F9}"/>
            </a:ext>
          </a:extLst>
        </xdr:cNvPr>
        <xdr:cNvPicPr>
          <a:picLocks noChangeAspect="1"/>
        </xdr:cNvPicPr>
      </xdr:nvPicPr>
      <xdr:blipFill>
        <a:blip xmlns:r="http://schemas.openxmlformats.org/officeDocument/2006/relationships" r:embed="rId1"/>
        <a:stretch>
          <a:fillRect/>
        </a:stretch>
      </xdr:blipFill>
      <xdr:spPr>
        <a:xfrm>
          <a:off x="7267575" y="19040475"/>
          <a:ext cx="857329" cy="40008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466725</xdr:colOff>
          <xdr:row>24</xdr:row>
          <xdr:rowOff>57150</xdr:rowOff>
        </xdr:from>
        <xdr:to>
          <xdr:col>9</xdr:col>
          <xdr:colOff>28575</xdr:colOff>
          <xdr:row>25</xdr:row>
          <xdr:rowOff>180975</xdr:rowOff>
        </xdr:to>
        <xdr:sp macro="" textlink="">
          <xdr:nvSpPr>
            <xdr:cNvPr id="361473" name="ExportSingle" hidden="1">
              <a:extLst>
                <a:ext uri="{63B3BB69-23CF-44E3-9099-C40C66FF867C}">
                  <a14:compatExt spid="_x0000_s361473"/>
                </a:ext>
                <a:ext uri="{FF2B5EF4-FFF2-40B4-BE49-F238E27FC236}">
                  <a16:creationId xmlns:a16="http://schemas.microsoft.com/office/drawing/2014/main" id="{00000000-0008-0000-1300-00000184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3</xdr:col>
      <xdr:colOff>304800</xdr:colOff>
      <xdr:row>18</xdr:row>
      <xdr:rowOff>242047</xdr:rowOff>
    </xdr:from>
    <xdr:ext cx="183768" cy="172227"/>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2638425" y="3979657"/>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2" name="TextBox 1">
              <a:extLst>
                <a:ext uri="{FF2B5EF4-FFF2-40B4-BE49-F238E27FC236}">
                  <a16:creationId xmlns:a16="http://schemas.microsoft.com/office/drawing/2014/main" id="{DAD1FEDD-CA2A-4F48-9369-00D19ADA5DB8}"/>
                </a:ext>
              </a:extLst>
            </xdr:cNvPr>
            <xdr:cNvSpPr txBox="1"/>
          </xdr:nvSpPr>
          <xdr:spPr>
            <a:xfrm>
              <a:off x="2638425" y="3979657"/>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3</xdr:col>
      <xdr:colOff>314325</xdr:colOff>
      <xdr:row>19</xdr:row>
      <xdr:rowOff>242047</xdr:rowOff>
    </xdr:from>
    <xdr:ext cx="113557" cy="17222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2646045" y="4227307"/>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3" name="TextBox 2">
              <a:extLst>
                <a:ext uri="{FF2B5EF4-FFF2-40B4-BE49-F238E27FC236}">
                  <a16:creationId xmlns:a16="http://schemas.microsoft.com/office/drawing/2014/main" id="{25D86C30-058B-4EEF-A086-9E187713968F}"/>
                </a:ext>
              </a:extLst>
            </xdr:cNvPr>
            <xdr:cNvSpPr txBox="1"/>
          </xdr:nvSpPr>
          <xdr:spPr>
            <a:xfrm>
              <a:off x="2646045" y="4227307"/>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3</xdr:col>
      <xdr:colOff>333375</xdr:colOff>
      <xdr:row>10</xdr:row>
      <xdr:rowOff>24093</xdr:rowOff>
    </xdr:from>
    <xdr:ext cx="122790" cy="1722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2665095" y="2458683"/>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4" name="TextBox 3">
              <a:extLst>
                <a:ext uri="{FF2B5EF4-FFF2-40B4-BE49-F238E27FC236}">
                  <a16:creationId xmlns:a16="http://schemas.microsoft.com/office/drawing/2014/main" id="{6C7CE532-24C2-4559-9266-3403993EB571}"/>
                </a:ext>
              </a:extLst>
            </xdr:cNvPr>
            <xdr:cNvSpPr txBox="1"/>
          </xdr:nvSpPr>
          <xdr:spPr>
            <a:xfrm>
              <a:off x="2665095" y="2458683"/>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3</xdr:col>
      <xdr:colOff>266700</xdr:colOff>
      <xdr:row>8</xdr:row>
      <xdr:rowOff>43143</xdr:rowOff>
    </xdr:from>
    <xdr:ext cx="290401"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600325" y="1982433"/>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5" name="TextBox 4">
              <a:extLst>
                <a:ext uri="{FF2B5EF4-FFF2-40B4-BE49-F238E27FC236}">
                  <a16:creationId xmlns:a16="http://schemas.microsoft.com/office/drawing/2014/main" id="{B41BA963-FD70-4714-85C9-061D08F708B7}"/>
                </a:ext>
              </a:extLst>
            </xdr:cNvPr>
            <xdr:cNvSpPr txBox="1"/>
          </xdr:nvSpPr>
          <xdr:spPr>
            <a:xfrm>
              <a:off x="2600325" y="1982433"/>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3</xdr:col>
      <xdr:colOff>352425</xdr:colOff>
      <xdr:row>7</xdr:row>
      <xdr:rowOff>24093</xdr:rowOff>
    </xdr:from>
    <xdr:ext cx="99899"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600-000006000000}"/>
                </a:ext>
              </a:extLst>
            </xdr:cNvPr>
            <xdr:cNvSpPr txBox="1"/>
          </xdr:nvSpPr>
          <xdr:spPr>
            <a:xfrm>
              <a:off x="2684145" y="1715733"/>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𝑠</m:t>
                    </m:r>
                  </m:oMath>
                </m:oMathPara>
              </a14:m>
              <a:endParaRPr lang="en-US" sz="1100"/>
            </a:p>
          </xdr:txBody>
        </xdr:sp>
      </mc:Choice>
      <mc:Fallback xmlns="">
        <xdr:sp macro="" textlink="">
          <xdr:nvSpPr>
            <xdr:cNvPr id="6" name="TextBox 5">
              <a:extLst>
                <a:ext uri="{FF2B5EF4-FFF2-40B4-BE49-F238E27FC236}">
                  <a16:creationId xmlns:a16="http://schemas.microsoft.com/office/drawing/2014/main" id="{F58D0CFE-6665-4D63-9A0F-8DEEF4D8FD5B}"/>
                </a:ext>
              </a:extLst>
            </xdr:cNvPr>
            <xdr:cNvSpPr txBox="1"/>
          </xdr:nvSpPr>
          <xdr:spPr>
            <a:xfrm>
              <a:off x="2684145" y="1715733"/>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𝑠</a:t>
              </a:r>
              <a:endParaRPr lang="en-US" sz="1100"/>
            </a:p>
          </xdr:txBody>
        </xdr:sp>
      </mc:Fallback>
    </mc:AlternateContent>
    <xdr:clientData/>
  </xdr:oneCellAnchor>
  <xdr:oneCellAnchor>
    <xdr:from>
      <xdr:col>3</xdr:col>
      <xdr:colOff>352425</xdr:colOff>
      <xdr:row>4</xdr:row>
      <xdr:rowOff>24093</xdr:rowOff>
    </xdr:from>
    <xdr:ext cx="90986"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600-000007000000}"/>
                </a:ext>
              </a:extLst>
            </xdr:cNvPr>
            <xdr:cNvSpPr txBox="1"/>
          </xdr:nvSpPr>
          <xdr:spPr>
            <a:xfrm>
              <a:off x="2684145" y="972783"/>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7" name="TextBox 6">
              <a:extLst>
                <a:ext uri="{FF2B5EF4-FFF2-40B4-BE49-F238E27FC236}">
                  <a16:creationId xmlns:a16="http://schemas.microsoft.com/office/drawing/2014/main" id="{A12DFFC2-21EA-4173-8333-7AE4A16A7CD3}"/>
                </a:ext>
              </a:extLst>
            </xdr:cNvPr>
            <xdr:cNvSpPr txBox="1"/>
          </xdr:nvSpPr>
          <xdr:spPr>
            <a:xfrm>
              <a:off x="2684145" y="972783"/>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3</xdr:col>
      <xdr:colOff>323850</xdr:colOff>
      <xdr:row>3</xdr:row>
      <xdr:rowOff>33618</xdr:rowOff>
    </xdr:from>
    <xdr:ext cx="133626"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600-000008000000}"/>
                </a:ext>
              </a:extLst>
            </xdr:cNvPr>
            <xdr:cNvSpPr txBox="1"/>
          </xdr:nvSpPr>
          <xdr:spPr>
            <a:xfrm>
              <a:off x="2657475" y="742278"/>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8" name="TextBox 7">
              <a:extLst>
                <a:ext uri="{FF2B5EF4-FFF2-40B4-BE49-F238E27FC236}">
                  <a16:creationId xmlns:a16="http://schemas.microsoft.com/office/drawing/2014/main" id="{B08114C9-E93A-4DAD-8267-8A13E5A7FA0D}"/>
                </a:ext>
              </a:extLst>
            </xdr:cNvPr>
            <xdr:cNvSpPr txBox="1"/>
          </xdr:nvSpPr>
          <xdr:spPr>
            <a:xfrm>
              <a:off x="2657475" y="742278"/>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3</xdr:col>
      <xdr:colOff>342900</xdr:colOff>
      <xdr:row>5</xdr:row>
      <xdr:rowOff>24093</xdr:rowOff>
    </xdr:from>
    <xdr:ext cx="118879"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2676525" y="1220433"/>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9" name="TextBox 8">
              <a:extLst>
                <a:ext uri="{FF2B5EF4-FFF2-40B4-BE49-F238E27FC236}">
                  <a16:creationId xmlns:a16="http://schemas.microsoft.com/office/drawing/2014/main" id="{4539E499-56F2-45E1-82D2-346077575DFF}"/>
                </a:ext>
              </a:extLst>
            </xdr:cNvPr>
            <xdr:cNvSpPr txBox="1"/>
          </xdr:nvSpPr>
          <xdr:spPr>
            <a:xfrm>
              <a:off x="2676525" y="1220433"/>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xdr:from>
          <xdr:col>6</xdr:col>
          <xdr:colOff>18602</xdr:colOff>
          <xdr:row>29</xdr:row>
          <xdr:rowOff>18602</xdr:rowOff>
        </xdr:from>
        <xdr:to>
          <xdr:col>11</xdr:col>
          <xdr:colOff>141307</xdr:colOff>
          <xdr:row>43</xdr:row>
          <xdr:rowOff>175485</xdr:rowOff>
        </xdr:to>
        <xdr:pic>
          <xdr:nvPicPr>
            <xdr:cNvPr id="10" name="Picture 15">
              <a:extLst>
                <a:ext uri="{FF2B5EF4-FFF2-40B4-BE49-F238E27FC236}">
                  <a16:creationId xmlns:a16="http://schemas.microsoft.com/office/drawing/2014/main" id="{00000000-0008-0000-0600-00000A000000}"/>
                </a:ext>
              </a:extLst>
            </xdr:cNvPr>
            <xdr:cNvPicPr>
              <a:picLocks noChangeAspect="1" noChangeArrowheads="1"/>
              <a:extLst>
                <a:ext uri="{84589F7E-364E-4C9E-8A38-B11213B215E9}">
                  <a14:cameraTool cellRange="InstallationDiagram" spid="_x0000_s362381"/>
                </a:ext>
              </a:extLst>
            </xdr:cNvPicPr>
          </xdr:nvPicPr>
          <xdr:blipFill>
            <a:blip xmlns:r="http://schemas.openxmlformats.org/officeDocument/2006/relationships" r:embed="rId1"/>
            <a:srcRect/>
            <a:stretch>
              <a:fillRect/>
            </a:stretch>
          </xdr:blipFill>
          <xdr:spPr bwMode="auto">
            <a:xfrm>
              <a:off x="4915573" y="5767220"/>
              <a:ext cx="3305175" cy="381000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156882</xdr:colOff>
      <xdr:row>12</xdr:row>
      <xdr:rowOff>6724</xdr:rowOff>
    </xdr:from>
    <xdr:ext cx="455317" cy="18312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2486697" y="2847079"/>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1" name="TextBox 10">
              <a:extLst>
                <a:ext uri="{FF2B5EF4-FFF2-40B4-BE49-F238E27FC236}">
                  <a16:creationId xmlns:a16="http://schemas.microsoft.com/office/drawing/2014/main" id="{15CFBAD8-1AA4-4657-BEE1-AB5A67644D6B}"/>
                </a:ext>
              </a:extLst>
            </xdr:cNvPr>
            <xdr:cNvSpPr txBox="1"/>
          </xdr:nvSpPr>
          <xdr:spPr>
            <a:xfrm>
              <a:off x="2486697" y="2847079"/>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3</xdr:col>
      <xdr:colOff>156883</xdr:colOff>
      <xdr:row>12</xdr:row>
      <xdr:rowOff>242048</xdr:rowOff>
    </xdr:from>
    <xdr:ext cx="452111" cy="1831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2486698" y="3084308"/>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2" name="TextBox 11">
              <a:extLst>
                <a:ext uri="{FF2B5EF4-FFF2-40B4-BE49-F238E27FC236}">
                  <a16:creationId xmlns:a16="http://schemas.microsoft.com/office/drawing/2014/main" id="{33712C79-C634-44D2-B303-04306C80730A}"/>
                </a:ext>
              </a:extLst>
            </xdr:cNvPr>
            <xdr:cNvSpPr txBox="1"/>
          </xdr:nvSpPr>
          <xdr:spPr>
            <a:xfrm>
              <a:off x="2486698" y="3084308"/>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3</xdr:col>
      <xdr:colOff>145677</xdr:colOff>
      <xdr:row>14</xdr:row>
      <xdr:rowOff>11206</xdr:rowOff>
    </xdr:from>
    <xdr:ext cx="451534" cy="1831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2477397" y="3343051"/>
              <a:ext cx="4515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𝜃</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13" name="TextBox 12">
              <a:extLst>
                <a:ext uri="{FF2B5EF4-FFF2-40B4-BE49-F238E27FC236}">
                  <a16:creationId xmlns:a16="http://schemas.microsoft.com/office/drawing/2014/main" id="{F5EF8372-1C56-447C-9829-1BDE3C81D51E}"/>
                </a:ext>
              </a:extLst>
            </xdr:cNvPr>
            <xdr:cNvSpPr txBox="1"/>
          </xdr:nvSpPr>
          <xdr:spPr>
            <a:xfrm>
              <a:off x="2477397" y="3343051"/>
              <a:ext cx="4515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𝜃_</a:t>
              </a:r>
              <a:r>
                <a:rPr lang="en-US" sz="1100" b="0" i="0">
                  <a:latin typeface="Cambria Math" panose="02040503050406030204" pitchFamily="18" charset="0"/>
                </a:rPr>
                <a:t>𝑑𝑒𝑓𝑒𝑐𝑡</a:t>
              </a:r>
              <a:endParaRPr lang="en-US" sz="1100"/>
            </a:p>
          </xdr:txBody>
        </xdr:sp>
      </mc:Fallback>
    </mc:AlternateContent>
    <xdr:clientData/>
  </xdr:oneCellAnchor>
</xdr:wsDr>
</file>

<file path=xl/drawings/drawing10.xml><?xml version="1.0" encoding="utf-8"?>
<xdr:wsDr xmlns:xdr="http://schemas.openxmlformats.org/drawingml/2006/spreadsheetDrawing" xmlns:a="http://schemas.openxmlformats.org/drawingml/2006/main">
  <xdr:oneCellAnchor>
    <xdr:from>
      <xdr:col>11</xdr:col>
      <xdr:colOff>533400</xdr:colOff>
      <xdr:row>86</xdr:row>
      <xdr:rowOff>0</xdr:rowOff>
    </xdr:from>
    <xdr:ext cx="65" cy="172227"/>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8134350" y="4054792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4</xdr:col>
      <xdr:colOff>0</xdr:colOff>
      <xdr:row>63</xdr:row>
      <xdr:rowOff>235973</xdr:rowOff>
    </xdr:from>
    <xdr:ext cx="1948482" cy="183127"/>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2809875" y="25479128"/>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r>
                      <a:rPr lang="en-US" sz="1100" b="0" i="1">
                        <a:latin typeface="Cambria Math" panose="02040503050406030204" pitchFamily="18" charset="0"/>
                      </a:rPr>
                      <m:t>=2</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2</m:t>
                        </m:r>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oMath>
                </m:oMathPara>
              </a14:m>
              <a:endParaRPr lang="en-US" sz="1100"/>
            </a:p>
          </xdr:txBody>
        </xdr:sp>
      </mc:Choice>
      <mc:Fallback xmlns="">
        <xdr:sp macro="" textlink="">
          <xdr:nvSpPr>
            <xdr:cNvPr id="3" name="TextBox 2">
              <a:extLst>
                <a:ext uri="{FF2B5EF4-FFF2-40B4-BE49-F238E27FC236}">
                  <a16:creationId xmlns:a16="http://schemas.microsoft.com/office/drawing/2014/main" id="{0E702796-B7B3-4D1D-8B79-BE25116C8D62}"/>
                </a:ext>
              </a:extLst>
            </xdr:cNvPr>
            <xdr:cNvSpPr txBox="1"/>
          </xdr:nvSpPr>
          <xdr:spPr>
            <a:xfrm>
              <a:off x="2809875" y="25479128"/>
              <a:ext cx="1948482"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𝐿=2𝐿_𝑜𝑣𝑒𝑟+𝐿_𝑑𝑒𝑓𝑒𝑐𝑡+〖2𝐿〗_𝑡𝑎𝑝𝑒𝑟</a:t>
              </a:r>
              <a:endParaRPr lang="en-US" sz="1100"/>
            </a:p>
          </xdr:txBody>
        </xdr:sp>
      </mc:Fallback>
    </mc:AlternateContent>
    <xdr:clientData/>
  </xdr:oneCellAnchor>
  <xdr:oneCellAnchor>
    <xdr:from>
      <xdr:col>4</xdr:col>
      <xdr:colOff>219075</xdr:colOff>
      <xdr:row>26</xdr:row>
      <xdr:rowOff>66675</xdr:rowOff>
    </xdr:from>
    <xdr:ext cx="261225" cy="17697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3027045" y="7875270"/>
              <a:ext cx="261225"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𝑐</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h</m:t>
                        </m:r>
                      </m:sub>
                    </m:sSub>
                  </m:oMath>
                </m:oMathPara>
              </a14:m>
              <a:endParaRPr lang="en-US" sz="1100"/>
            </a:p>
          </xdr:txBody>
        </xdr:sp>
      </mc:Choice>
      <mc:Fallback xmlns="">
        <xdr:sp macro="" textlink="">
          <xdr:nvSpPr>
            <xdr:cNvPr id="4" name="TextBox 3">
              <a:extLst>
                <a:ext uri="{FF2B5EF4-FFF2-40B4-BE49-F238E27FC236}">
                  <a16:creationId xmlns:a16="http://schemas.microsoft.com/office/drawing/2014/main" id="{E2D4D81E-741F-49C3-B613-34BE5572F7E7}"/>
                </a:ext>
              </a:extLst>
            </xdr:cNvPr>
            <xdr:cNvSpPr txBox="1"/>
          </xdr:nvSpPr>
          <xdr:spPr>
            <a:xfrm>
              <a:off x="3027045" y="7875270"/>
              <a:ext cx="261225"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𝐸_(𝑐,ℎ)</a:t>
              </a:r>
              <a:endParaRPr lang="en-US" sz="1100"/>
            </a:p>
          </xdr:txBody>
        </xdr:sp>
      </mc:Fallback>
    </mc:AlternateContent>
    <xdr:clientData/>
  </xdr:oneCellAnchor>
  <xdr:oneCellAnchor>
    <xdr:from>
      <xdr:col>4</xdr:col>
      <xdr:colOff>219075</xdr:colOff>
      <xdr:row>28</xdr:row>
      <xdr:rowOff>66675</xdr:rowOff>
    </xdr:from>
    <xdr:ext cx="154658" cy="172227"/>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3027045" y="856107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𝜀</m:t>
                        </m:r>
                      </m:e>
                      <m:sub>
                        <m:r>
                          <a:rPr lang="en-US" sz="1100" b="0" i="1">
                            <a:latin typeface="Cambria Math" panose="02040503050406030204" pitchFamily="18" charset="0"/>
                            <a:ea typeface="Cambria Math" panose="02040503050406030204" pitchFamily="18" charset="0"/>
                          </a:rPr>
                          <m:t>𝑐</m:t>
                        </m:r>
                      </m:sub>
                    </m:sSub>
                  </m:oMath>
                </m:oMathPara>
              </a14:m>
              <a:endParaRPr lang="en-US" sz="1100"/>
            </a:p>
          </xdr:txBody>
        </xdr:sp>
      </mc:Choice>
      <mc:Fallback xmlns="">
        <xdr:sp macro="" textlink="">
          <xdr:nvSpPr>
            <xdr:cNvPr id="5" name="TextBox 4">
              <a:extLst>
                <a:ext uri="{FF2B5EF4-FFF2-40B4-BE49-F238E27FC236}">
                  <a16:creationId xmlns:a16="http://schemas.microsoft.com/office/drawing/2014/main" id="{5BCC1FD3-3DCA-4AE7-BA8B-F61030482400}"/>
                </a:ext>
              </a:extLst>
            </xdr:cNvPr>
            <xdr:cNvSpPr txBox="1"/>
          </xdr:nvSpPr>
          <xdr:spPr>
            <a:xfrm>
              <a:off x="3027045" y="8561070"/>
              <a:ext cx="15465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𝜀_</a:t>
              </a:r>
              <a:r>
                <a:rPr lang="en-US" sz="1100" b="0" i="0">
                  <a:latin typeface="Cambria Math" panose="02040503050406030204" pitchFamily="18" charset="0"/>
                  <a:ea typeface="Cambria Math" panose="02040503050406030204" pitchFamily="18" charset="0"/>
                </a:rPr>
                <a:t>𝑐</a:t>
              </a:r>
              <a:endParaRPr lang="en-US" sz="1100"/>
            </a:p>
          </xdr:txBody>
        </xdr:sp>
      </mc:Fallback>
    </mc:AlternateContent>
    <xdr:clientData/>
  </xdr:oneCellAnchor>
  <xdr:oneCellAnchor>
    <xdr:from>
      <xdr:col>4</xdr:col>
      <xdr:colOff>228600</xdr:colOff>
      <xdr:row>17</xdr:row>
      <xdr:rowOff>85725</xdr:rowOff>
    </xdr:from>
    <xdr:ext cx="170175"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3038475" y="480822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6" name="TextBox 5">
              <a:extLst>
                <a:ext uri="{FF2B5EF4-FFF2-40B4-BE49-F238E27FC236}">
                  <a16:creationId xmlns:a16="http://schemas.microsoft.com/office/drawing/2014/main" id="{55EE9081-551C-413E-804F-E3CA7ABA2E9A}"/>
                </a:ext>
              </a:extLst>
            </xdr:cNvPr>
            <xdr:cNvSpPr txBox="1"/>
          </xdr:nvSpPr>
          <xdr:spPr>
            <a:xfrm>
              <a:off x="3038475" y="4808220"/>
              <a:ext cx="1701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𝐸_𝑠</a:t>
              </a:r>
              <a:endParaRPr lang="en-US" sz="1100"/>
            </a:p>
          </xdr:txBody>
        </xdr:sp>
      </mc:Fallback>
    </mc:AlternateContent>
    <xdr:clientData/>
  </xdr:oneCellAnchor>
  <xdr:oneCellAnchor>
    <xdr:from>
      <xdr:col>4</xdr:col>
      <xdr:colOff>228600</xdr:colOff>
      <xdr:row>29</xdr:row>
      <xdr:rowOff>76200</xdr:rowOff>
    </xdr:from>
    <xdr:ext cx="183768" cy="172227"/>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3038475" y="8915400"/>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𝑠</m:t>
                        </m:r>
                      </m:e>
                      <m:sub>
                        <m:r>
                          <a:rPr lang="en-US" sz="1100" b="0" i="1">
                            <a:latin typeface="Cambria Math" panose="02040503050406030204" pitchFamily="18" charset="0"/>
                            <a:ea typeface="Cambria Math" panose="02040503050406030204" pitchFamily="18" charset="0"/>
                          </a:rPr>
                          <m:t>𝑙𝑡</m:t>
                        </m:r>
                      </m:sub>
                    </m:sSub>
                  </m:oMath>
                </m:oMathPara>
              </a14:m>
              <a:endParaRPr lang="en-US" sz="1100"/>
            </a:p>
          </xdr:txBody>
        </xdr:sp>
      </mc:Choice>
      <mc:Fallback xmlns="">
        <xdr:sp macro="" textlink="">
          <xdr:nvSpPr>
            <xdr:cNvPr id="7" name="TextBox 6">
              <a:extLst>
                <a:ext uri="{FF2B5EF4-FFF2-40B4-BE49-F238E27FC236}">
                  <a16:creationId xmlns:a16="http://schemas.microsoft.com/office/drawing/2014/main" id="{5B78BE1E-4208-4CC5-9E72-7E953575F82C}"/>
                </a:ext>
              </a:extLst>
            </xdr:cNvPr>
            <xdr:cNvSpPr txBox="1"/>
          </xdr:nvSpPr>
          <xdr:spPr>
            <a:xfrm>
              <a:off x="3038475" y="8915400"/>
              <a:ext cx="18376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𝑠_𝑙𝑡</a:t>
              </a:r>
              <a:endParaRPr lang="en-US" sz="1100"/>
            </a:p>
          </xdr:txBody>
        </xdr:sp>
      </mc:Fallback>
    </mc:AlternateContent>
    <xdr:clientData/>
  </xdr:oneCellAnchor>
  <xdr:oneCellAnchor>
    <xdr:from>
      <xdr:col>4</xdr:col>
      <xdr:colOff>238125</xdr:colOff>
      <xdr:row>34</xdr:row>
      <xdr:rowOff>66675</xdr:rowOff>
    </xdr:from>
    <xdr:ext cx="113557" cy="172227"/>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3046095" y="1061847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𝑓</m:t>
                    </m:r>
                  </m:oMath>
                </m:oMathPara>
              </a14:m>
              <a:endParaRPr lang="en-US" sz="1100"/>
            </a:p>
          </xdr:txBody>
        </xdr:sp>
      </mc:Choice>
      <mc:Fallback xmlns="">
        <xdr:sp macro="" textlink="">
          <xdr:nvSpPr>
            <xdr:cNvPr id="8" name="TextBox 7">
              <a:extLst>
                <a:ext uri="{FF2B5EF4-FFF2-40B4-BE49-F238E27FC236}">
                  <a16:creationId xmlns:a16="http://schemas.microsoft.com/office/drawing/2014/main" id="{C460076C-993F-4641-B339-441F2280DAE3}"/>
                </a:ext>
              </a:extLst>
            </xdr:cNvPr>
            <xdr:cNvSpPr txBox="1"/>
          </xdr:nvSpPr>
          <xdr:spPr>
            <a:xfrm>
              <a:off x="3046095" y="10618470"/>
              <a:ext cx="11355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a:t>
              </a:r>
              <a:endParaRPr lang="en-US" sz="1100"/>
            </a:p>
          </xdr:txBody>
        </xdr:sp>
      </mc:Fallback>
    </mc:AlternateContent>
    <xdr:clientData/>
  </xdr:oneCellAnchor>
  <xdr:oneCellAnchor>
    <xdr:from>
      <xdr:col>4</xdr:col>
      <xdr:colOff>257175</xdr:colOff>
      <xdr:row>9</xdr:row>
      <xdr:rowOff>85725</xdr:rowOff>
    </xdr:from>
    <xdr:ext cx="133626" cy="172227"/>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3065145" y="206502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𝐷</m:t>
                    </m:r>
                  </m:oMath>
                </m:oMathPara>
              </a14:m>
              <a:endParaRPr lang="en-US" sz="1100"/>
            </a:p>
          </xdr:txBody>
        </xdr:sp>
      </mc:Choice>
      <mc:Fallback xmlns="">
        <xdr:sp macro="" textlink="">
          <xdr:nvSpPr>
            <xdr:cNvPr id="9" name="TextBox 8">
              <a:extLst>
                <a:ext uri="{FF2B5EF4-FFF2-40B4-BE49-F238E27FC236}">
                  <a16:creationId xmlns:a16="http://schemas.microsoft.com/office/drawing/2014/main" id="{7A2BC366-E9AF-4137-BA19-F81FCFCD0354}"/>
                </a:ext>
              </a:extLst>
            </xdr:cNvPr>
            <xdr:cNvSpPr txBox="1"/>
          </xdr:nvSpPr>
          <xdr:spPr>
            <a:xfrm>
              <a:off x="3065145" y="2065020"/>
              <a:ext cx="13362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𝐷</a:t>
              </a:r>
              <a:endParaRPr lang="en-US" sz="1100"/>
            </a:p>
          </xdr:txBody>
        </xdr:sp>
      </mc:Fallback>
    </mc:AlternateContent>
    <xdr:clientData/>
  </xdr:oneCellAnchor>
  <xdr:oneCellAnchor>
    <xdr:from>
      <xdr:col>4</xdr:col>
      <xdr:colOff>247650</xdr:colOff>
      <xdr:row>10</xdr:row>
      <xdr:rowOff>76200</xdr:rowOff>
    </xdr:from>
    <xdr:ext cx="90986" cy="172227"/>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3057525" y="240030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𝑡</m:t>
                    </m:r>
                  </m:oMath>
                </m:oMathPara>
              </a14:m>
              <a:endParaRPr lang="en-US" sz="1100"/>
            </a:p>
          </xdr:txBody>
        </xdr:sp>
      </mc:Choice>
      <mc:Fallback xmlns="">
        <xdr:sp macro="" textlink="">
          <xdr:nvSpPr>
            <xdr:cNvPr id="10" name="TextBox 9">
              <a:extLst>
                <a:ext uri="{FF2B5EF4-FFF2-40B4-BE49-F238E27FC236}">
                  <a16:creationId xmlns:a16="http://schemas.microsoft.com/office/drawing/2014/main" id="{DC9A5EE3-F75C-44CF-AC3F-C9DA1BE81F8E}"/>
                </a:ext>
              </a:extLst>
            </xdr:cNvPr>
            <xdr:cNvSpPr txBox="1"/>
          </xdr:nvSpPr>
          <xdr:spPr>
            <a:xfrm>
              <a:off x="3057525" y="2400300"/>
              <a:ext cx="9098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a:t>
              </a:r>
              <a:endParaRPr lang="en-US" sz="1100"/>
            </a:p>
          </xdr:txBody>
        </xdr:sp>
      </mc:Fallback>
    </mc:AlternateContent>
    <xdr:clientData/>
  </xdr:oneCellAnchor>
  <xdr:oneCellAnchor>
    <xdr:from>
      <xdr:col>4</xdr:col>
      <xdr:colOff>276225</xdr:colOff>
      <xdr:row>12</xdr:row>
      <xdr:rowOff>66675</xdr:rowOff>
    </xdr:from>
    <xdr:ext cx="99899" cy="172227"/>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3084195" y="3074670"/>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𝑠</m:t>
                    </m:r>
                  </m:oMath>
                </m:oMathPara>
              </a14:m>
              <a:endParaRPr lang="en-US" sz="1100"/>
            </a:p>
          </xdr:txBody>
        </xdr:sp>
      </mc:Choice>
      <mc:Fallback xmlns="">
        <xdr:sp macro="" textlink="">
          <xdr:nvSpPr>
            <xdr:cNvPr id="11" name="TextBox 10">
              <a:extLst>
                <a:ext uri="{FF2B5EF4-FFF2-40B4-BE49-F238E27FC236}">
                  <a16:creationId xmlns:a16="http://schemas.microsoft.com/office/drawing/2014/main" id="{FF15E5E4-C3D4-4DDA-9C04-F0010ADF8583}"/>
                </a:ext>
              </a:extLst>
            </xdr:cNvPr>
            <xdr:cNvSpPr txBox="1"/>
          </xdr:nvSpPr>
          <xdr:spPr>
            <a:xfrm>
              <a:off x="3084195" y="3074670"/>
              <a:ext cx="9989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𝑠</a:t>
              </a:r>
              <a:endParaRPr lang="en-US" sz="1100"/>
            </a:p>
          </xdr:txBody>
        </xdr:sp>
      </mc:Fallback>
    </mc:AlternateContent>
    <xdr:clientData/>
  </xdr:oneCellAnchor>
  <xdr:oneCellAnchor>
    <xdr:from>
      <xdr:col>4</xdr:col>
      <xdr:colOff>266700</xdr:colOff>
      <xdr:row>15</xdr:row>
      <xdr:rowOff>66675</xdr:rowOff>
    </xdr:from>
    <xdr:ext cx="122790" cy="172227"/>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3076575" y="410337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oMath>
                </m:oMathPara>
              </a14:m>
              <a:endParaRPr lang="en-US" sz="1100"/>
            </a:p>
          </xdr:txBody>
        </xdr:sp>
      </mc:Choice>
      <mc:Fallback xmlns="">
        <xdr:sp macro="" textlink="">
          <xdr:nvSpPr>
            <xdr:cNvPr id="12" name="TextBox 11">
              <a:extLst>
                <a:ext uri="{FF2B5EF4-FFF2-40B4-BE49-F238E27FC236}">
                  <a16:creationId xmlns:a16="http://schemas.microsoft.com/office/drawing/2014/main" id="{4AADE803-44EB-4D7E-BB6E-535DCBAC7521}"/>
                </a:ext>
              </a:extLst>
            </xdr:cNvPr>
            <xdr:cNvSpPr txBox="1"/>
          </xdr:nvSpPr>
          <xdr:spPr>
            <a:xfrm>
              <a:off x="3076575" y="4103370"/>
              <a:ext cx="12279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a:t>
              </a:r>
              <a:endParaRPr lang="en-US" sz="1100"/>
            </a:p>
          </xdr:txBody>
        </xdr:sp>
      </mc:Fallback>
    </mc:AlternateContent>
    <xdr:clientData/>
  </xdr:oneCellAnchor>
  <xdr:oneCellAnchor>
    <xdr:from>
      <xdr:col>4</xdr:col>
      <xdr:colOff>161925</xdr:colOff>
      <xdr:row>13</xdr:row>
      <xdr:rowOff>85725</xdr:rowOff>
    </xdr:from>
    <xdr:ext cx="290401" cy="172227"/>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2969895" y="343662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𝑈𝑇𝑆</m:t>
                    </m:r>
                  </m:oMath>
                </m:oMathPara>
              </a14:m>
              <a:endParaRPr lang="en-US" sz="1100"/>
            </a:p>
          </xdr:txBody>
        </xdr:sp>
      </mc:Choice>
      <mc:Fallback xmlns="">
        <xdr:sp macro="" textlink="">
          <xdr:nvSpPr>
            <xdr:cNvPr id="13" name="TextBox 12">
              <a:extLst>
                <a:ext uri="{FF2B5EF4-FFF2-40B4-BE49-F238E27FC236}">
                  <a16:creationId xmlns:a16="http://schemas.microsoft.com/office/drawing/2014/main" id="{DF996311-8E8C-4C84-8D43-AC6ABA669122}"/>
                </a:ext>
              </a:extLst>
            </xdr:cNvPr>
            <xdr:cNvSpPr txBox="1"/>
          </xdr:nvSpPr>
          <xdr:spPr>
            <a:xfrm>
              <a:off x="2969895" y="3436620"/>
              <a:ext cx="29040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𝑈𝑇𝑆</a:t>
              </a:r>
              <a:endParaRPr lang="en-US" sz="1100"/>
            </a:p>
          </xdr:txBody>
        </xdr:sp>
      </mc:Fallback>
    </mc:AlternateContent>
    <xdr:clientData/>
  </xdr:oneCellAnchor>
  <xdr:oneCellAnchor>
    <xdr:from>
      <xdr:col>3</xdr:col>
      <xdr:colOff>609376</xdr:colOff>
      <xdr:row>66</xdr:row>
      <xdr:rowOff>267036</xdr:rowOff>
    </xdr:from>
    <xdr:ext cx="949041" cy="172227"/>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2752501" y="27232311"/>
              <a:ext cx="9490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𝑎</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h</m:t>
                        </m:r>
                      </m:sub>
                    </m:sSub>
                  </m:oMath>
                </m:oMathPara>
              </a14:m>
              <a:endParaRPr lang="en-US" sz="1100"/>
            </a:p>
          </xdr:txBody>
        </xdr:sp>
      </mc:Choice>
      <mc:Fallback xmlns="">
        <xdr:sp macro="" textlink="">
          <xdr:nvSpPr>
            <xdr:cNvPr id="14" name="TextBox 13">
              <a:extLst>
                <a:ext uri="{FF2B5EF4-FFF2-40B4-BE49-F238E27FC236}">
                  <a16:creationId xmlns:a16="http://schemas.microsoft.com/office/drawing/2014/main" id="{9CF2B48C-C6A3-4B4D-9B57-12F9AEAD4F30}"/>
                </a:ext>
              </a:extLst>
            </xdr:cNvPr>
            <xdr:cNvSpPr txBox="1"/>
          </xdr:nvSpPr>
          <xdr:spPr>
            <a:xfrm>
              <a:off x="2752501" y="27232311"/>
              <a:ext cx="949041"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𝑊_𝑁=𝑊_𝑎+𝑊_ℎ</a:t>
              </a:r>
              <a:endParaRPr lang="en-US" sz="1100"/>
            </a:p>
          </xdr:txBody>
        </xdr:sp>
      </mc:Fallback>
    </mc:AlternateContent>
    <xdr:clientData/>
  </xdr:oneCellAnchor>
  <xdr:oneCellAnchor>
    <xdr:from>
      <xdr:col>4</xdr:col>
      <xdr:colOff>144780</xdr:colOff>
      <xdr:row>30</xdr:row>
      <xdr:rowOff>45720</xdr:rowOff>
    </xdr:from>
    <xdr:ext cx="370743" cy="182935"/>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2952750" y="9229725"/>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𝑡</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15" name="TextBox 14">
              <a:extLst>
                <a:ext uri="{FF2B5EF4-FFF2-40B4-BE49-F238E27FC236}">
                  <a16:creationId xmlns:a16="http://schemas.microsoft.com/office/drawing/2014/main" id="{CA7B930F-D55E-4B75-BC52-FF9CD337BAAB}"/>
                </a:ext>
              </a:extLst>
            </xdr:cNvPr>
            <xdr:cNvSpPr txBox="1"/>
          </xdr:nvSpPr>
          <xdr:spPr>
            <a:xfrm>
              <a:off x="2952750" y="9229725"/>
              <a:ext cx="37074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𝑡_𝑙𝑎𝑦𝑒𝑟</a:t>
              </a:r>
              <a:endParaRPr lang="en-US" sz="1100"/>
            </a:p>
          </xdr:txBody>
        </xdr:sp>
      </mc:Fallback>
    </mc:AlternateContent>
    <xdr:clientData/>
  </xdr:oneCellAnchor>
  <xdr:oneCellAnchor>
    <xdr:from>
      <xdr:col>4</xdr:col>
      <xdr:colOff>28575</xdr:colOff>
      <xdr:row>63</xdr:row>
      <xdr:rowOff>468630</xdr:rowOff>
    </xdr:from>
    <xdr:ext cx="662682" cy="182614"/>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2836545" y="25707975"/>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𝑡𝑎𝑝𝑒𝑟</m:t>
                        </m:r>
                      </m:sub>
                    </m:sSub>
                    <m:r>
                      <a:rPr lang="en-US" sz="1100" b="0" i="1">
                        <a:latin typeface="Cambria Math" panose="02040503050406030204" pitchFamily="18" charset="0"/>
                      </a:rPr>
                      <m:t>=0</m:t>
                    </m:r>
                  </m:oMath>
                </m:oMathPara>
              </a14:m>
              <a:endParaRPr lang="en-US" sz="1100"/>
            </a:p>
          </xdr:txBody>
        </xdr:sp>
      </mc:Choice>
      <mc:Fallback xmlns="">
        <xdr:sp macro="" textlink="">
          <xdr:nvSpPr>
            <xdr:cNvPr id="16" name="TextBox 15">
              <a:extLst>
                <a:ext uri="{FF2B5EF4-FFF2-40B4-BE49-F238E27FC236}">
                  <a16:creationId xmlns:a16="http://schemas.microsoft.com/office/drawing/2014/main" id="{28824677-4740-4A42-8ACF-43F0A79DBBFF}"/>
                </a:ext>
              </a:extLst>
            </xdr:cNvPr>
            <xdr:cNvSpPr txBox="1"/>
          </xdr:nvSpPr>
          <xdr:spPr>
            <a:xfrm>
              <a:off x="2836545" y="25707975"/>
              <a:ext cx="662682"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𝐿_𝑡𝑎𝑝𝑒𝑟=0</a:t>
              </a:r>
              <a:endParaRPr lang="en-US" sz="1100"/>
            </a:p>
          </xdr:txBody>
        </xdr:sp>
      </mc:Fallback>
    </mc:AlternateContent>
    <xdr:clientData/>
  </xdr:oneCellAnchor>
  <xdr:oneCellAnchor>
    <xdr:from>
      <xdr:col>4</xdr:col>
      <xdr:colOff>0</xdr:colOff>
      <xdr:row>62</xdr:row>
      <xdr:rowOff>320040</xdr:rowOff>
    </xdr:from>
    <xdr:ext cx="1122936" cy="204993"/>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2809875" y="24803100"/>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𝑜𝑣𝑒𝑟</m:t>
                        </m:r>
                      </m:sub>
                    </m:sSub>
                    <m:r>
                      <a:rPr lang="en-US" sz="1100" b="0" i="1">
                        <a:latin typeface="Cambria Math" panose="02040503050406030204" pitchFamily="18" charset="0"/>
                      </a:rPr>
                      <m:t>=2.5</m:t>
                    </m:r>
                    <m:rad>
                      <m:radPr>
                        <m:degHide m:val="on"/>
                        <m:ctrlPr>
                          <a:rPr lang="en-US" sz="1100" b="0" i="1">
                            <a:latin typeface="Cambria Math" panose="02040503050406030204" pitchFamily="18" charset="0"/>
                          </a:rPr>
                        </m:ctrlPr>
                      </m:radPr>
                      <m:deg/>
                      <m:e>
                        <m:r>
                          <a:rPr lang="en-US" sz="1100" b="0" i="1">
                            <a:latin typeface="Cambria Math" panose="02040503050406030204" pitchFamily="18" charset="0"/>
                          </a:rPr>
                          <m:t>𝐷𝑡</m:t>
                        </m:r>
                        <m:r>
                          <a:rPr lang="en-US" sz="1100" b="0" i="1">
                            <a:latin typeface="Cambria Math" panose="02040503050406030204" pitchFamily="18" charset="0"/>
                          </a:rPr>
                          <m:t>/2</m:t>
                        </m:r>
                      </m:e>
                    </m:rad>
                  </m:oMath>
                </m:oMathPara>
              </a14:m>
              <a:endParaRPr lang="en-US" sz="1100"/>
            </a:p>
          </xdr:txBody>
        </xdr:sp>
      </mc:Choice>
      <mc:Fallback xmlns="">
        <xdr:sp macro="" textlink="">
          <xdr:nvSpPr>
            <xdr:cNvPr id="17" name="TextBox 16">
              <a:extLst>
                <a:ext uri="{FF2B5EF4-FFF2-40B4-BE49-F238E27FC236}">
                  <a16:creationId xmlns:a16="http://schemas.microsoft.com/office/drawing/2014/main" id="{971AC86B-4930-494B-81C2-D32943AA4013}"/>
                </a:ext>
              </a:extLst>
            </xdr:cNvPr>
            <xdr:cNvSpPr txBox="1"/>
          </xdr:nvSpPr>
          <xdr:spPr>
            <a:xfrm>
              <a:off x="2809875" y="24803100"/>
              <a:ext cx="1122936" cy="20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𝐿_𝑜𝑣𝑒𝑟=2.5√(𝐷𝑡/2)</a:t>
              </a:r>
              <a:endParaRPr lang="en-US" sz="1100"/>
            </a:p>
          </xdr:txBody>
        </xdr:sp>
      </mc:Fallback>
    </mc:AlternateContent>
    <xdr:clientData/>
  </xdr:oneCellAnchor>
  <xdr:oneCellAnchor>
    <xdr:from>
      <xdr:col>5</xdr:col>
      <xdr:colOff>106680</xdr:colOff>
      <xdr:row>14</xdr:row>
      <xdr:rowOff>335280</xdr:rowOff>
    </xdr:from>
    <xdr:ext cx="1239378" cy="316882"/>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700-000012000000}"/>
                </a:ext>
              </a:extLst>
            </xdr:cNvPr>
            <xdr:cNvSpPr txBox="1"/>
          </xdr:nvSpPr>
          <xdr:spPr>
            <a:xfrm>
              <a:off x="3552825" y="4029075"/>
              <a:ext cx="123937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𝑃</m:t>
                    </m:r>
                    <m:r>
                      <a:rPr lang="en-US" sz="1100" b="0" i="1">
                        <a:latin typeface="Cambria Math" panose="02040503050406030204" pitchFamily="18" charset="0"/>
                      </a:rPr>
                      <m:t>=</m:t>
                    </m:r>
                    <m:d>
                      <m:dPr>
                        <m:ctrlPr>
                          <a:rPr lang="en-US" sz="1100" b="0" i="1">
                            <a:latin typeface="Cambria Math" panose="02040503050406030204" pitchFamily="18" charset="0"/>
                          </a:rPr>
                        </m:ctrlPr>
                      </m:dPr>
                      <m:e>
                        <m:r>
                          <a:rPr lang="en-US" sz="1100" b="0" i="1">
                            <a:latin typeface="Cambria Math" panose="02040503050406030204" pitchFamily="18" charset="0"/>
                          </a:rPr>
                          <m:t>%</m:t>
                        </m:r>
                        <m:r>
                          <a:rPr lang="en-US" sz="1100" b="0" i="1">
                            <a:latin typeface="Cambria Math" panose="02040503050406030204" pitchFamily="18" charset="0"/>
                          </a:rPr>
                          <m:t>𝑆𝑀𝑌𝑆</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2</m:t>
                        </m:r>
                        <m:r>
                          <a:rPr lang="en-US" sz="1100" b="0" i="1">
                            <a:latin typeface="Cambria Math" panose="02040503050406030204" pitchFamily="18" charset="0"/>
                          </a:rPr>
                          <m:t>𝑠𝑡</m:t>
                        </m:r>
                      </m:num>
                      <m:den>
                        <m:r>
                          <a:rPr lang="en-US" sz="1100" b="0" i="1">
                            <a:latin typeface="Cambria Math" panose="02040503050406030204" pitchFamily="18" charset="0"/>
                          </a:rPr>
                          <m:t>𝐷</m:t>
                        </m:r>
                      </m:den>
                    </m:f>
                  </m:oMath>
                </m:oMathPara>
              </a14:m>
              <a:endParaRPr lang="en-US" sz="1100"/>
            </a:p>
          </xdr:txBody>
        </xdr:sp>
      </mc:Choice>
      <mc:Fallback xmlns="">
        <xdr:sp macro="" textlink="">
          <xdr:nvSpPr>
            <xdr:cNvPr id="18" name="TextBox 17">
              <a:extLst>
                <a:ext uri="{FF2B5EF4-FFF2-40B4-BE49-F238E27FC236}">
                  <a16:creationId xmlns:a16="http://schemas.microsoft.com/office/drawing/2014/main" id="{C19AC7A0-0DBE-4E2D-AD36-9CC4023C7E9A}"/>
                </a:ext>
              </a:extLst>
            </xdr:cNvPr>
            <xdr:cNvSpPr txBox="1"/>
          </xdr:nvSpPr>
          <xdr:spPr>
            <a:xfrm>
              <a:off x="3552825" y="4029075"/>
              <a:ext cx="1239378" cy="3168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𝑃=(%𝑆𝑀𝑌𝑆)∗2𝑠𝑡/𝐷</a:t>
              </a:r>
              <a:endParaRPr lang="en-US" sz="1100"/>
            </a:p>
          </xdr:txBody>
        </xdr:sp>
      </mc:Fallback>
    </mc:AlternateContent>
    <xdr:clientData/>
  </xdr:oneCellAnchor>
  <xdr:oneCellAnchor>
    <xdr:from>
      <xdr:col>4</xdr:col>
      <xdr:colOff>38100</xdr:colOff>
      <xdr:row>44</xdr:row>
      <xdr:rowOff>85725</xdr:rowOff>
    </xdr:from>
    <xdr:ext cx="350930" cy="172227"/>
    <mc:AlternateContent xmlns:mc="http://schemas.openxmlformats.org/markup-compatibility/2006" xmlns:a14="http://schemas.microsoft.com/office/drawing/2010/main">
      <mc:Choice Requires="a14">
        <xdr:sp macro="" textlink="">
          <xdr:nvSpPr>
            <xdr:cNvPr id="19" name="TextBox 18">
              <a:extLst>
                <a:ext uri="{FF2B5EF4-FFF2-40B4-BE49-F238E27FC236}">
                  <a16:creationId xmlns:a16="http://schemas.microsoft.com/office/drawing/2014/main" id="{00000000-0008-0000-0700-000013000000}"/>
                </a:ext>
              </a:extLst>
            </xdr:cNvPr>
            <xdr:cNvSpPr txBox="1"/>
          </xdr:nvSpPr>
          <xdr:spPr>
            <a:xfrm>
              <a:off x="2847975" y="13933170"/>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mn-ea"/>
                            <a:cs typeface="+mn-cs"/>
                          </a:rPr>
                          <m:t>𝑎𝑟𝑒𝑎</m:t>
                        </m:r>
                      </m:sub>
                    </m:sSub>
                  </m:oMath>
                </m:oMathPara>
              </a14:m>
              <a:endParaRPr lang="en-US" sz="1100"/>
            </a:p>
          </xdr:txBody>
        </xdr:sp>
      </mc:Choice>
      <mc:Fallback xmlns="">
        <xdr:sp macro="" textlink="">
          <xdr:nvSpPr>
            <xdr:cNvPr id="19" name="TextBox 18">
              <a:extLst>
                <a:ext uri="{FF2B5EF4-FFF2-40B4-BE49-F238E27FC236}">
                  <a16:creationId xmlns:a16="http://schemas.microsoft.com/office/drawing/2014/main" id="{54F3A1D8-BE30-449F-89E5-3E8073C81CE8}"/>
                </a:ext>
              </a:extLst>
            </xdr:cNvPr>
            <xdr:cNvSpPr txBox="1"/>
          </xdr:nvSpPr>
          <xdr:spPr>
            <a:xfrm>
              <a:off x="2847975" y="13933170"/>
              <a:ext cx="350930"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_𝑎𝑟𝑒𝑎</a:t>
              </a:r>
              <a:endParaRPr lang="en-US" sz="1100"/>
            </a:p>
          </xdr:txBody>
        </xdr:sp>
      </mc:Fallback>
    </mc:AlternateContent>
    <xdr:clientData/>
  </xdr:oneCellAnchor>
  <xdr:oneCellAnchor>
    <xdr:from>
      <xdr:col>4</xdr:col>
      <xdr:colOff>38100</xdr:colOff>
      <xdr:row>45</xdr:row>
      <xdr:rowOff>76200</xdr:rowOff>
    </xdr:from>
    <xdr:ext cx="665247" cy="183320"/>
    <mc:AlternateContent xmlns:mc="http://schemas.openxmlformats.org/markup-compatibility/2006" xmlns:a14="http://schemas.microsoft.com/office/drawing/2010/main">
      <mc:Choice Requires="a14">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847975" y="14268450"/>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oMath>
                </m:oMathPara>
              </a14:m>
              <a:endParaRPr lang="en-US" sz="1100"/>
            </a:p>
          </xdr:txBody>
        </xdr:sp>
      </mc:Choice>
      <mc:Fallback xmlns="">
        <xdr:sp macro="" textlink="">
          <xdr:nvSpPr>
            <xdr:cNvPr id="20" name="TextBox 19">
              <a:extLst>
                <a:ext uri="{FF2B5EF4-FFF2-40B4-BE49-F238E27FC236}">
                  <a16:creationId xmlns:a16="http://schemas.microsoft.com/office/drawing/2014/main" id="{8417E580-F4A3-4F10-A551-9966A02B4C60}"/>
                </a:ext>
              </a:extLst>
            </xdr:cNvPr>
            <xdr:cNvSpPr txBox="1"/>
          </xdr:nvSpPr>
          <xdr:spPr>
            <a:xfrm>
              <a:off x="2847975" y="14268450"/>
              <a:ext cx="665247" cy="1833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endParaRPr lang="en-US" sz="1100"/>
            </a:p>
          </xdr:txBody>
        </xdr:sp>
      </mc:Fallback>
    </mc:AlternateContent>
    <xdr:clientData/>
  </xdr:oneCellAnchor>
  <xdr:oneCellAnchor>
    <xdr:from>
      <xdr:col>4</xdr:col>
      <xdr:colOff>38100</xdr:colOff>
      <xdr:row>46</xdr:row>
      <xdr:rowOff>66675</xdr:rowOff>
    </xdr:from>
    <xdr:ext cx="380617" cy="172227"/>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0700-000015000000}"/>
                </a:ext>
              </a:extLst>
            </xdr:cNvPr>
            <xdr:cNvSpPr txBox="1"/>
          </xdr:nvSpPr>
          <xdr:spPr>
            <a:xfrm>
              <a:off x="2847975" y="14599920"/>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21" name="TextBox 20">
              <a:extLst>
                <a:ext uri="{FF2B5EF4-FFF2-40B4-BE49-F238E27FC236}">
                  <a16:creationId xmlns:a16="http://schemas.microsoft.com/office/drawing/2014/main" id="{C9B73A51-3488-45FD-9D53-0E774B8C9AA7}"/>
                </a:ext>
              </a:extLst>
            </xdr:cNvPr>
            <xdr:cNvSpPr txBox="1"/>
          </xdr:nvSpPr>
          <xdr:spPr>
            <a:xfrm>
              <a:off x="2847975" y="14599920"/>
              <a:ext cx="38061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endParaRPr lang="en-US" sz="1100"/>
            </a:p>
          </xdr:txBody>
        </xdr:sp>
      </mc:Fallback>
    </mc:AlternateContent>
    <xdr:clientData/>
  </xdr:oneCellAnchor>
  <xdr:oneCellAnchor>
    <xdr:from>
      <xdr:col>4</xdr:col>
      <xdr:colOff>57150</xdr:colOff>
      <xdr:row>43</xdr:row>
      <xdr:rowOff>95250</xdr:rowOff>
    </xdr:from>
    <xdr:ext cx="109774" cy="172227"/>
    <mc:AlternateContent xmlns:mc="http://schemas.openxmlformats.org/markup-compatibility/2006" xmlns:a14="http://schemas.microsoft.com/office/drawing/2010/main">
      <mc:Choice Requires="a14">
        <xdr:sp macro="" textlink="">
          <xdr:nvSpPr>
            <xdr:cNvPr id="22" name="TextBox 21">
              <a:extLst>
                <a:ext uri="{FF2B5EF4-FFF2-40B4-BE49-F238E27FC236}">
                  <a16:creationId xmlns:a16="http://schemas.microsoft.com/office/drawing/2014/main" id="{00000000-0008-0000-0700-000016000000}"/>
                </a:ext>
              </a:extLst>
            </xdr:cNvPr>
            <xdr:cNvSpPr txBox="1"/>
          </xdr:nvSpPr>
          <xdr:spPr>
            <a:xfrm>
              <a:off x="2867025" y="1360170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𝐿</m:t>
                    </m:r>
                  </m:oMath>
                </m:oMathPara>
              </a14:m>
              <a:endParaRPr lang="en-US" sz="1100"/>
            </a:p>
          </xdr:txBody>
        </xdr:sp>
      </mc:Choice>
      <mc:Fallback xmlns="">
        <xdr:sp macro="" textlink="">
          <xdr:nvSpPr>
            <xdr:cNvPr id="22" name="TextBox 21">
              <a:extLst>
                <a:ext uri="{FF2B5EF4-FFF2-40B4-BE49-F238E27FC236}">
                  <a16:creationId xmlns:a16="http://schemas.microsoft.com/office/drawing/2014/main" id="{31458589-9C5E-48B4-811D-03AC18084761}"/>
                </a:ext>
              </a:extLst>
            </xdr:cNvPr>
            <xdr:cNvSpPr txBox="1"/>
          </xdr:nvSpPr>
          <xdr:spPr>
            <a:xfrm>
              <a:off x="2867025" y="13601700"/>
              <a:ext cx="10977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a:t>
              </a:r>
              <a:endParaRPr lang="en-US" sz="1100"/>
            </a:p>
          </xdr:txBody>
        </xdr:sp>
      </mc:Fallback>
    </mc:AlternateContent>
    <xdr:clientData/>
  </xdr:oneCellAnchor>
  <xdr:oneCellAnchor>
    <xdr:from>
      <xdr:col>4</xdr:col>
      <xdr:colOff>57150</xdr:colOff>
      <xdr:row>42</xdr:row>
      <xdr:rowOff>66675</xdr:rowOff>
    </xdr:from>
    <xdr:ext cx="210827" cy="183127"/>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2867025" y="13228320"/>
              <a:ext cx="21082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mn-ea"/>
                            <a:cs typeface="+mn-cs"/>
                          </a:rPr>
                          <m:t>𝑓𝑡</m:t>
                        </m:r>
                      </m:sub>
                    </m:sSub>
                  </m:oMath>
                </m:oMathPara>
              </a14:m>
              <a:endParaRPr lang="en-US" sz="1100"/>
            </a:p>
          </xdr:txBody>
        </xdr:sp>
      </mc:Choice>
      <mc:Fallback xmlns="">
        <xdr:sp macro="" textlink="">
          <xdr:nvSpPr>
            <xdr:cNvPr id="23" name="TextBox 22">
              <a:extLst>
                <a:ext uri="{FF2B5EF4-FFF2-40B4-BE49-F238E27FC236}">
                  <a16:creationId xmlns:a16="http://schemas.microsoft.com/office/drawing/2014/main" id="{0CF70510-FCC2-4B67-BC2D-3880C5456525}"/>
                </a:ext>
              </a:extLst>
            </xdr:cNvPr>
            <xdr:cNvSpPr txBox="1"/>
          </xdr:nvSpPr>
          <xdr:spPr>
            <a:xfrm>
              <a:off x="2867025" y="13228320"/>
              <a:ext cx="21082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_𝑓𝑡</a:t>
              </a:r>
              <a:endParaRPr lang="en-US" sz="1100"/>
            </a:p>
          </xdr:txBody>
        </xdr:sp>
      </mc:Fallback>
    </mc:AlternateContent>
    <xdr:clientData/>
  </xdr:oneCellAnchor>
  <xdr:oneCellAnchor>
    <xdr:from>
      <xdr:col>4</xdr:col>
      <xdr:colOff>247650</xdr:colOff>
      <xdr:row>18</xdr:row>
      <xdr:rowOff>66675</xdr:rowOff>
    </xdr:from>
    <xdr:ext cx="118879" cy="172227"/>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3057525" y="513207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𝑇</m:t>
                    </m:r>
                  </m:oMath>
                </m:oMathPara>
              </a14:m>
              <a:endParaRPr lang="en-US" sz="1100"/>
            </a:p>
          </xdr:txBody>
        </xdr:sp>
      </mc:Choice>
      <mc:Fallback xmlns="">
        <xdr:sp macro="" textlink="">
          <xdr:nvSpPr>
            <xdr:cNvPr id="24" name="TextBox 23">
              <a:extLst>
                <a:ext uri="{FF2B5EF4-FFF2-40B4-BE49-F238E27FC236}">
                  <a16:creationId xmlns:a16="http://schemas.microsoft.com/office/drawing/2014/main" id="{98F16DC1-3DDA-48A1-BBCF-D7F89EAD9475}"/>
                </a:ext>
              </a:extLst>
            </xdr:cNvPr>
            <xdr:cNvSpPr txBox="1"/>
          </xdr:nvSpPr>
          <xdr:spPr>
            <a:xfrm>
              <a:off x="3057525" y="5132070"/>
              <a:ext cx="118879"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𝑇</a:t>
              </a:r>
              <a:endParaRPr lang="en-US" sz="1100"/>
            </a:p>
          </xdr:txBody>
        </xdr:sp>
      </mc:Fallback>
    </mc:AlternateContent>
    <xdr:clientData/>
  </xdr:oneCellAnchor>
  <xdr:oneCellAnchor>
    <xdr:from>
      <xdr:col>4</xdr:col>
      <xdr:colOff>0</xdr:colOff>
      <xdr:row>68</xdr:row>
      <xdr:rowOff>266700</xdr:rowOff>
    </xdr:from>
    <xdr:ext cx="2366930" cy="194733"/>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0700-000019000000}"/>
                </a:ext>
              </a:extLst>
            </xdr:cNvPr>
            <xdr:cNvSpPr txBox="1"/>
          </xdr:nvSpPr>
          <xdr:spPr>
            <a:xfrm>
              <a:off x="2809875" y="28755975"/>
              <a:ext cx="2366930"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𝑟𝑒𝑝𝑎𝑖𝑟</m:t>
                        </m:r>
                      </m:sub>
                    </m:sSub>
                    <m:r>
                      <a:rPr lang="en-US" sz="1100" b="0" i="1">
                        <a:latin typeface="Cambria Math" panose="02040503050406030204" pitchFamily="18" charset="0"/>
                      </a:rPr>
                      <m:t>=</m:t>
                    </m:r>
                    <m:r>
                      <m:rPr>
                        <m:nor/>
                      </m:rPr>
                      <a:rPr lang="en-US" sz="1100" b="0" i="0">
                        <a:latin typeface="Cambria Math" panose="02040503050406030204" pitchFamily="18" charset="0"/>
                      </a:rPr>
                      <m:t>CEILING</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e>
                    </m:d>
                  </m:oMath>
                </m:oMathPara>
              </a14:m>
              <a:endParaRPr lang="en-US" sz="1100"/>
            </a:p>
          </xdr:txBody>
        </xdr:sp>
      </mc:Choice>
      <mc:Fallback xmlns="">
        <xdr:sp macro="" textlink="">
          <xdr:nvSpPr>
            <xdr:cNvPr id="25" name="TextBox 24">
              <a:extLst>
                <a:ext uri="{FF2B5EF4-FFF2-40B4-BE49-F238E27FC236}">
                  <a16:creationId xmlns:a16="http://schemas.microsoft.com/office/drawing/2014/main" id="{8465749C-4338-477E-AB74-83ACADA474BF}"/>
                </a:ext>
              </a:extLst>
            </xdr:cNvPr>
            <xdr:cNvSpPr txBox="1"/>
          </xdr:nvSpPr>
          <xdr:spPr>
            <a:xfrm>
              <a:off x="2809875" y="28755975"/>
              <a:ext cx="2366930" cy="1947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𝑡_𝑟𝑒𝑝𝑎𝑖𝑟="CEILING" (</a:t>
              </a:r>
              <a:r>
                <a:rPr lang="en-US" sz="1100" b="0" i="0">
                  <a:solidFill>
                    <a:schemeClr val="tx1"/>
                  </a:solidFill>
                  <a:effectLst/>
                  <a:latin typeface="Cambria Math" panose="02040503050406030204" pitchFamily="18" charset="0"/>
                  <a:ea typeface="+mn-ea"/>
                  <a:cs typeface="+mn-cs"/>
                </a:rPr>
                <a:t>𝑊_𝑁∗𝑡_𝑙𝑎𝑦𝑒𝑟, 〖  𝑡〗_𝑙𝑎𝑦𝑒𝑟 )</a:t>
              </a:r>
              <a:endParaRPr lang="en-US" sz="1100"/>
            </a:p>
          </xdr:txBody>
        </xdr:sp>
      </mc:Fallback>
    </mc:AlternateContent>
    <xdr:clientData/>
  </xdr:oneCellAnchor>
  <xdr:oneCellAnchor>
    <xdr:from>
      <xdr:col>4</xdr:col>
      <xdr:colOff>47625</xdr:colOff>
      <xdr:row>41</xdr:row>
      <xdr:rowOff>76200</xdr:rowOff>
    </xdr:from>
    <xdr:ext cx="424667" cy="182614"/>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0700-00001A000000}"/>
                </a:ext>
              </a:extLst>
            </xdr:cNvPr>
            <xdr:cNvSpPr txBox="1"/>
          </xdr:nvSpPr>
          <xdr:spPr>
            <a:xfrm>
              <a:off x="2855595" y="12896850"/>
              <a:ext cx="424667"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𝑡</m:t>
                        </m:r>
                      </m:e>
                      <m:sub>
                        <m:r>
                          <a:rPr lang="en-US" sz="1100" b="0" i="1">
                            <a:latin typeface="Cambria Math" panose="02040503050406030204" pitchFamily="18" charset="0"/>
                          </a:rPr>
                          <m:t>𝑟𝑒𝑝𝑎𝑖𝑟</m:t>
                        </m:r>
                      </m:sub>
                    </m:sSub>
                  </m:oMath>
                </m:oMathPara>
              </a14:m>
              <a:endParaRPr lang="en-US" sz="1100"/>
            </a:p>
          </xdr:txBody>
        </xdr:sp>
      </mc:Choice>
      <mc:Fallback xmlns="">
        <xdr:sp macro="" textlink="">
          <xdr:nvSpPr>
            <xdr:cNvPr id="26" name="TextBox 25">
              <a:extLst>
                <a:ext uri="{FF2B5EF4-FFF2-40B4-BE49-F238E27FC236}">
                  <a16:creationId xmlns:a16="http://schemas.microsoft.com/office/drawing/2014/main" id="{F56D1C61-46F0-4648-A913-D50A9E019BC9}"/>
                </a:ext>
              </a:extLst>
            </xdr:cNvPr>
            <xdr:cNvSpPr txBox="1"/>
          </xdr:nvSpPr>
          <xdr:spPr>
            <a:xfrm>
              <a:off x="2855595" y="12896850"/>
              <a:ext cx="424667" cy="18261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𝑡_𝑟𝑒𝑝𝑎𝑖𝑟</a:t>
              </a:r>
              <a:endParaRPr lang="en-US" sz="1100"/>
            </a:p>
          </xdr:txBody>
        </xdr:sp>
      </mc:Fallback>
    </mc:AlternateContent>
    <xdr:clientData/>
  </xdr:oneCellAnchor>
  <xdr:oneCellAnchor>
    <xdr:from>
      <xdr:col>4</xdr:col>
      <xdr:colOff>0</xdr:colOff>
      <xdr:row>39</xdr:row>
      <xdr:rowOff>95250</xdr:rowOff>
    </xdr:from>
    <xdr:ext cx="494045" cy="183127"/>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0700-00001B000000}"/>
                </a:ext>
              </a:extLst>
            </xdr:cNvPr>
            <xdr:cNvSpPr txBox="1"/>
          </xdr:nvSpPr>
          <xdr:spPr>
            <a:xfrm>
              <a:off x="2809875" y="12230100"/>
              <a:ext cx="49404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𝑁</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𝑝𝑒𝑟𝑓</m:t>
                        </m:r>
                      </m:sub>
                    </m:sSub>
                  </m:oMath>
                </m:oMathPara>
              </a14:m>
              <a:endParaRPr lang="en-US" sz="1100"/>
            </a:p>
          </xdr:txBody>
        </xdr:sp>
      </mc:Choice>
      <mc:Fallback xmlns="">
        <xdr:sp macro="" textlink="">
          <xdr:nvSpPr>
            <xdr:cNvPr id="27" name="TextBox 26">
              <a:extLst>
                <a:ext uri="{FF2B5EF4-FFF2-40B4-BE49-F238E27FC236}">
                  <a16:creationId xmlns:a16="http://schemas.microsoft.com/office/drawing/2014/main" id="{9C23FDCA-21FC-45A3-AD4F-0451565F6319}"/>
                </a:ext>
              </a:extLst>
            </xdr:cNvPr>
            <xdr:cNvSpPr txBox="1"/>
          </xdr:nvSpPr>
          <xdr:spPr>
            <a:xfrm>
              <a:off x="2809875" y="12230100"/>
              <a:ext cx="494045"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𝑊_(𝑁,𝑝𝑒𝑟𝑓)</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11</xdr:col>
          <xdr:colOff>600075</xdr:colOff>
          <xdr:row>1</xdr:row>
          <xdr:rowOff>409575</xdr:rowOff>
        </xdr:from>
        <xdr:to>
          <xdr:col>17</xdr:col>
          <xdr:colOff>0</xdr:colOff>
          <xdr:row>5</xdr:row>
          <xdr:rowOff>57150</xdr:rowOff>
        </xdr:to>
        <xdr:sp macro="" textlink="">
          <xdr:nvSpPr>
            <xdr:cNvPr id="363521" name="ExportSingle" hidden="1">
              <a:extLst>
                <a:ext uri="{63B3BB69-23CF-44E3-9099-C40C66FF867C}">
                  <a14:compatExt spid="_x0000_s363521"/>
                </a:ext>
                <a:ext uri="{FF2B5EF4-FFF2-40B4-BE49-F238E27FC236}">
                  <a16:creationId xmlns:a16="http://schemas.microsoft.com/office/drawing/2014/main" id="{00000000-0008-0000-1400-0000018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oneCellAnchor>
    <xdr:from>
      <xdr:col>4</xdr:col>
      <xdr:colOff>113179</xdr:colOff>
      <xdr:row>19</xdr:row>
      <xdr:rowOff>74519</xdr:rowOff>
    </xdr:from>
    <xdr:ext cx="455317" cy="183127"/>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2923054" y="5484719"/>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28" name="TextBox 27">
              <a:extLst>
                <a:ext uri="{FF2B5EF4-FFF2-40B4-BE49-F238E27FC236}">
                  <a16:creationId xmlns:a16="http://schemas.microsoft.com/office/drawing/2014/main" id="{8C313DC7-9DA5-432B-97AD-16F60C845E0E}"/>
                </a:ext>
              </a:extLst>
            </xdr:cNvPr>
            <xdr:cNvSpPr txBox="1"/>
          </xdr:nvSpPr>
          <xdr:spPr>
            <a:xfrm>
              <a:off x="2923054" y="5484719"/>
              <a:ext cx="455317"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ℎ_𝑑𝑒𝑓𝑒𝑐𝑡</a:t>
              </a:r>
              <a:endParaRPr lang="en-US" sz="1100"/>
            </a:p>
          </xdr:txBody>
        </xdr:sp>
      </mc:Fallback>
    </mc:AlternateContent>
    <xdr:clientData/>
  </xdr:oneCellAnchor>
  <xdr:oneCellAnchor>
    <xdr:from>
      <xdr:col>4</xdr:col>
      <xdr:colOff>106680</xdr:colOff>
      <xdr:row>20</xdr:row>
      <xdr:rowOff>83820</xdr:rowOff>
    </xdr:from>
    <xdr:ext cx="452111" cy="183127"/>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0700-00001D000000}"/>
                </a:ext>
              </a:extLst>
            </xdr:cNvPr>
            <xdr:cNvSpPr txBox="1"/>
          </xdr:nvSpPr>
          <xdr:spPr>
            <a:xfrm>
              <a:off x="2914650" y="583882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29" name="TextBox 28">
              <a:extLst>
                <a:ext uri="{FF2B5EF4-FFF2-40B4-BE49-F238E27FC236}">
                  <a16:creationId xmlns:a16="http://schemas.microsoft.com/office/drawing/2014/main" id="{38BC164F-5C5F-4BB4-AB11-873CA59E85E9}"/>
                </a:ext>
              </a:extLst>
            </xdr:cNvPr>
            <xdr:cNvSpPr txBox="1"/>
          </xdr:nvSpPr>
          <xdr:spPr>
            <a:xfrm>
              <a:off x="2914650" y="5838825"/>
              <a:ext cx="452111"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𝐿_𝑑𝑒𝑓𝑒𝑐𝑡</a:t>
              </a:r>
              <a:endParaRPr lang="en-US" sz="1100"/>
            </a:p>
          </xdr:txBody>
        </xdr:sp>
      </mc:Fallback>
    </mc:AlternateContent>
    <xdr:clientData/>
  </xdr:oneCellAnchor>
  <xdr:oneCellAnchor>
    <xdr:from>
      <xdr:col>4</xdr:col>
      <xdr:colOff>134471</xdr:colOff>
      <xdr:row>32</xdr:row>
      <xdr:rowOff>78441</xdr:rowOff>
    </xdr:from>
    <xdr:ext cx="377732" cy="172227"/>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0700-00001E000000}"/>
                </a:ext>
              </a:extLst>
            </xdr:cNvPr>
            <xdr:cNvSpPr txBox="1"/>
          </xdr:nvSpPr>
          <xdr:spPr>
            <a:xfrm>
              <a:off x="2944346" y="9942531"/>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𝜌</m:t>
                        </m:r>
                      </m:e>
                      <m:sub>
                        <m:r>
                          <a:rPr lang="en-US" sz="1100" b="0" i="1">
                            <a:latin typeface="Cambria Math" panose="02040503050406030204" pitchFamily="18" charset="0"/>
                            <a:ea typeface="Cambria Math" panose="02040503050406030204" pitchFamily="18" charset="0"/>
                          </a:rPr>
                          <m:t>𝑟𝑒𝑠𝑖𝑛</m:t>
                        </m:r>
                      </m:sub>
                    </m:sSub>
                  </m:oMath>
                </m:oMathPara>
              </a14:m>
              <a:endParaRPr lang="en-US" sz="1100"/>
            </a:p>
          </xdr:txBody>
        </xdr:sp>
      </mc:Choice>
      <mc:Fallback xmlns="">
        <xdr:sp macro="" textlink="">
          <xdr:nvSpPr>
            <xdr:cNvPr id="30" name="TextBox 29">
              <a:extLst>
                <a:ext uri="{FF2B5EF4-FFF2-40B4-BE49-F238E27FC236}">
                  <a16:creationId xmlns:a16="http://schemas.microsoft.com/office/drawing/2014/main" id="{EBF4A2DA-B33E-4061-B8C3-F811A99F2219}"/>
                </a:ext>
              </a:extLst>
            </xdr:cNvPr>
            <xdr:cNvSpPr txBox="1"/>
          </xdr:nvSpPr>
          <xdr:spPr>
            <a:xfrm>
              <a:off x="2944346" y="9942531"/>
              <a:ext cx="377732"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i="0">
                  <a:latin typeface="Cambria Math" panose="02040503050406030204" pitchFamily="18" charset="0"/>
                  <a:ea typeface="Cambria Math" panose="02040503050406030204" pitchFamily="18" charset="0"/>
                </a:rPr>
                <a:t>𝜌_</a:t>
              </a:r>
              <a:r>
                <a:rPr lang="en-US" sz="1100" b="0" i="0">
                  <a:latin typeface="Cambria Math" panose="02040503050406030204" pitchFamily="18" charset="0"/>
                  <a:ea typeface="Cambria Math" panose="02040503050406030204" pitchFamily="18" charset="0"/>
                </a:rPr>
                <a:t>𝑟𝑒𝑠𝑖𝑛</a:t>
              </a:r>
              <a:endParaRPr lang="en-US" sz="1100"/>
            </a:p>
          </xdr:txBody>
        </xdr:sp>
      </mc:Fallback>
    </mc:AlternateContent>
    <xdr:clientData/>
  </xdr:oneCellAnchor>
  <xdr:oneCellAnchor>
    <xdr:from>
      <xdr:col>4</xdr:col>
      <xdr:colOff>134471</xdr:colOff>
      <xdr:row>31</xdr:row>
      <xdr:rowOff>89647</xdr:rowOff>
    </xdr:from>
    <xdr:ext cx="416653" cy="182935"/>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2944346" y="9618457"/>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oMath>
                </m:oMathPara>
              </a14:m>
              <a:endParaRPr lang="en-US" sz="1100"/>
            </a:p>
          </xdr:txBody>
        </xdr:sp>
      </mc:Choice>
      <mc:Fallback xmlns="">
        <xdr:sp macro="" textlink="">
          <xdr:nvSpPr>
            <xdr:cNvPr id="31" name="TextBox 30">
              <a:extLst>
                <a:ext uri="{FF2B5EF4-FFF2-40B4-BE49-F238E27FC236}">
                  <a16:creationId xmlns:a16="http://schemas.microsoft.com/office/drawing/2014/main" id="{790CA394-2AB2-4896-82F9-011A276D8CE7}"/>
                </a:ext>
              </a:extLst>
            </xdr:cNvPr>
            <xdr:cNvSpPr txBox="1"/>
          </xdr:nvSpPr>
          <xdr:spPr>
            <a:xfrm>
              <a:off x="2944346" y="9618457"/>
              <a:ext cx="41665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𝑤_𝑙𝑎𝑦𝑒𝑟</a:t>
              </a:r>
              <a:endParaRPr lang="en-US" sz="1100"/>
            </a:p>
          </xdr:txBody>
        </xdr:sp>
      </mc:Fallback>
    </mc:AlternateContent>
    <xdr:clientData/>
  </xdr:oneCellAnchor>
  <xdr:oneCellAnchor>
    <xdr:from>
      <xdr:col>4</xdr:col>
      <xdr:colOff>212912</xdr:colOff>
      <xdr:row>33</xdr:row>
      <xdr:rowOff>100852</xdr:rowOff>
    </xdr:from>
    <xdr:ext cx="120738" cy="172227"/>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3018977" y="10307842"/>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ea typeface="Cambria Math" panose="02040503050406030204" pitchFamily="18" charset="0"/>
                      </a:rPr>
                      <m:t>𝛼</m:t>
                    </m:r>
                  </m:oMath>
                </m:oMathPara>
              </a14:m>
              <a:endParaRPr lang="en-US" sz="1100"/>
            </a:p>
          </xdr:txBody>
        </xdr:sp>
      </mc:Choice>
      <mc:Fallback xmlns="">
        <xdr:sp macro="" textlink="">
          <xdr:nvSpPr>
            <xdr:cNvPr id="32" name="TextBox 31">
              <a:extLst>
                <a:ext uri="{FF2B5EF4-FFF2-40B4-BE49-F238E27FC236}">
                  <a16:creationId xmlns:a16="http://schemas.microsoft.com/office/drawing/2014/main" id="{370EA718-9715-4008-BFD9-4B3CEC16EB8B}"/>
                </a:ext>
              </a:extLst>
            </xdr:cNvPr>
            <xdr:cNvSpPr txBox="1"/>
          </xdr:nvSpPr>
          <xdr:spPr>
            <a:xfrm>
              <a:off x="3018977" y="10307842"/>
              <a:ext cx="12073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𝛼</a:t>
              </a:r>
              <a:endParaRPr lang="en-US" sz="1100"/>
            </a:p>
          </xdr:txBody>
        </xdr:sp>
      </mc:Fallback>
    </mc:AlternateContent>
    <xdr:clientData/>
  </xdr:oneCellAnchor>
  <xdr:oneCellAnchor>
    <xdr:from>
      <xdr:col>3</xdr:col>
      <xdr:colOff>560294</xdr:colOff>
      <xdr:row>64</xdr:row>
      <xdr:rowOff>193302</xdr:rowOff>
    </xdr:from>
    <xdr:ext cx="2842060" cy="377604"/>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2705324" y="26192742"/>
              <a:ext cx="2842060"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a:solidFill>
                          <a:schemeClr val="tx1"/>
                        </a:solidFill>
                        <a:effectLst/>
                        <a:latin typeface="Cambria Math" panose="02040503050406030204" pitchFamily="18" charset="0"/>
                        <a:ea typeface="+mn-ea"/>
                        <a:cs typeface="+mn-cs"/>
                      </a:rPr>
                      <m:t>Technique</m:t>
                    </m:r>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solidFill>
                                  <a:schemeClr val="tx1"/>
                                </a:solidFill>
                                <a:effectLst/>
                                <a:latin typeface="+mn-lt"/>
                                <a:ea typeface="+mn-ea"/>
                                <a:cs typeface="+mn-cs"/>
                              </a:rPr>
                              <m:t>Layer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over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Layer</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mn-ea"/>
                                <a:cs typeface="+mn-cs"/>
                              </a:rPr>
                              <m:t>12 </m:t>
                            </m:r>
                            <m:r>
                              <m:rPr>
                                <m:nor/>
                              </m:rPr>
                              <a:rPr lang="en-US" sz="1100" b="0" i="0">
                                <a:solidFill>
                                  <a:schemeClr val="tx1"/>
                                </a:solidFill>
                                <a:effectLst/>
                                <a:latin typeface="+mn-lt"/>
                                <a:ea typeface="+mn-ea"/>
                                <a:cs typeface="+mn-cs"/>
                              </a:rPr>
                              <m:t>in</m:t>
                            </m:r>
                          </m:e>
                          <m:e>
                            <m:r>
                              <m:rPr>
                                <m:nor/>
                              </m:rPr>
                              <a:rPr lang="en-US" sz="1100" b="0" i="0">
                                <a:solidFill>
                                  <a:schemeClr val="tx1"/>
                                </a:solidFill>
                                <a:effectLst/>
                                <a:latin typeface="+mn-lt"/>
                                <a:ea typeface="+mn-ea"/>
                                <a:cs typeface="+mn-cs"/>
                              </a:rPr>
                              <m:t>Stagger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Spiral</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𝐿</m:t>
                            </m:r>
                            <m:r>
                              <a:rPr lang="en-US" sz="1100" b="0" i="1">
                                <a:solidFill>
                                  <a:schemeClr val="tx1"/>
                                </a:solidFill>
                                <a:effectLst/>
                                <a:latin typeface="Cambria Math" panose="02040503050406030204" pitchFamily="18" charset="0"/>
                                <a:ea typeface="+mn-ea"/>
                                <a:cs typeface="+mn-cs"/>
                              </a:rPr>
                              <m:t>&gt;1</m:t>
                            </m:r>
                            <m:r>
                              <m:rPr>
                                <m:nor/>
                              </m:rPr>
                              <a:rPr lang="en-US" sz="1100" b="0" i="0">
                                <a:solidFill>
                                  <a:schemeClr val="tx1"/>
                                </a:solidFill>
                                <a:effectLst/>
                                <a:latin typeface="+mn-lt"/>
                                <a:ea typeface="+mn-ea"/>
                                <a:cs typeface="+mn-cs"/>
                              </a:rPr>
                              <m:t>2 </m:t>
                            </m:r>
                            <m:r>
                              <m:rPr>
                                <m:nor/>
                              </m:rPr>
                              <a:rPr lang="en-US" sz="1100" b="0" i="0">
                                <a:solidFill>
                                  <a:schemeClr val="tx1"/>
                                </a:solidFill>
                                <a:effectLst/>
                                <a:latin typeface="+mn-lt"/>
                                <a:ea typeface="+mn-ea"/>
                                <a:cs typeface="+mn-cs"/>
                              </a:rPr>
                              <m:t>in</m:t>
                            </m:r>
                            <m:r>
                              <a:rPr lang="en-US" sz="1100" b="0" i="1">
                                <a:solidFill>
                                  <a:schemeClr val="tx1"/>
                                </a:solidFill>
                                <a:effectLst/>
                                <a:latin typeface="Cambria Math" panose="02040503050406030204" pitchFamily="18" charset="0"/>
                                <a:ea typeface="+mn-ea"/>
                                <a:cs typeface="+mn-cs"/>
                              </a:rPr>
                              <m:t> </m:t>
                            </m:r>
                          </m:e>
                        </m:eqArr>
                      </m:e>
                    </m:d>
                  </m:oMath>
                </m:oMathPara>
              </a14:m>
              <a:endParaRPr lang="en-US" sz="1100"/>
            </a:p>
          </xdr:txBody>
        </xdr:sp>
      </mc:Choice>
      <mc:Fallback xmlns="">
        <xdr:sp macro="" textlink="">
          <xdr:nvSpPr>
            <xdr:cNvPr id="33" name="TextBox 32">
              <a:extLst>
                <a:ext uri="{FF2B5EF4-FFF2-40B4-BE49-F238E27FC236}">
                  <a16:creationId xmlns:a16="http://schemas.microsoft.com/office/drawing/2014/main" id="{C6B203C3-F90E-49C0-BB90-A3E90BD57852}"/>
                </a:ext>
              </a:extLst>
            </xdr:cNvPr>
            <xdr:cNvSpPr txBox="1"/>
          </xdr:nvSpPr>
          <xdr:spPr>
            <a:xfrm>
              <a:off x="2705324" y="26192742"/>
              <a:ext cx="2842060"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"Technique"</a:t>
              </a:r>
              <a:r>
                <a:rPr lang="en-US" sz="1100" b="0" i="0">
                  <a:latin typeface="Cambria Math" panose="02040503050406030204" pitchFamily="18" charset="0"/>
                </a:rPr>
                <a:t>={█(</a:t>
              </a:r>
              <a:r>
                <a:rPr lang="en-US" sz="1100" b="0" i="0">
                  <a:solidFill>
                    <a:schemeClr val="tx1"/>
                  </a:solidFill>
                  <a:effectLst/>
                  <a:latin typeface="+mn-lt"/>
                  <a:ea typeface="+mn-ea"/>
                  <a:cs typeface="+mn-cs"/>
                </a:rPr>
                <a:t>"Layer over Layer</a:t>
              </a:r>
              <a:r>
                <a:rPr lang="en-US" sz="1100" b="0" i="0">
                  <a:solidFill>
                    <a:schemeClr val="tx1"/>
                  </a:solidFill>
                  <a:effectLst/>
                  <a:latin typeface="Cambria Math" panose="02040503050406030204" pitchFamily="18" charset="0"/>
                  <a:ea typeface="+mn-ea"/>
                  <a:cs typeface="+mn-cs"/>
                </a:rPr>
                <a:t>" ,  𝐿</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solidFill>
                    <a:schemeClr val="tx1"/>
                  </a:solidFill>
                  <a:effectLst/>
                  <a:latin typeface="Cambria Math" panose="02040503050406030204" pitchFamily="18" charset="0"/>
                  <a:ea typeface="+mn-ea"/>
                  <a:cs typeface="+mn-cs"/>
                </a:rPr>
                <a:t>12 </a:t>
              </a:r>
              <a:r>
                <a:rPr lang="en-US" sz="1100" b="0" i="0">
                  <a:solidFill>
                    <a:schemeClr val="tx1"/>
                  </a:solidFill>
                  <a:effectLst/>
                  <a:latin typeface="+mn-lt"/>
                  <a:ea typeface="+mn-ea"/>
                  <a:cs typeface="+mn-cs"/>
                </a:rPr>
                <a:t>"in</a:t>
              </a:r>
              <a:r>
                <a:rPr lang="en-US" sz="1100" b="0" i="0">
                  <a:solidFill>
                    <a:schemeClr val="tx1"/>
                  </a:solidFill>
                  <a:effectLst/>
                  <a:latin typeface="Cambria Math" panose="02040503050406030204" pitchFamily="18" charset="0"/>
                  <a:ea typeface="+mn-ea"/>
                  <a:cs typeface="+mn-cs"/>
                </a:rPr>
                <a:t>" @</a:t>
              </a:r>
              <a:r>
                <a:rPr lang="en-US" sz="1100" b="0" i="0">
                  <a:solidFill>
                    <a:schemeClr val="tx1"/>
                  </a:solidFill>
                  <a:effectLst/>
                  <a:latin typeface="+mn-lt"/>
                  <a:ea typeface="+mn-ea"/>
                  <a:cs typeface="+mn-cs"/>
                </a:rPr>
                <a:t>"Stagger or Spiral</a:t>
              </a:r>
              <a:r>
                <a:rPr lang="en-US" sz="1100" b="0" i="0">
                  <a:solidFill>
                    <a:schemeClr val="tx1"/>
                  </a:solidFill>
                  <a:effectLst/>
                  <a:latin typeface="Cambria Math" panose="02040503050406030204" pitchFamily="18" charset="0"/>
                  <a:ea typeface="+mn-ea"/>
                  <a:cs typeface="+mn-cs"/>
                </a:rPr>
                <a:t>" ,  𝐿&gt;1</a:t>
              </a:r>
              <a:r>
                <a:rPr lang="en-US" sz="1100" b="0" i="0">
                  <a:solidFill>
                    <a:schemeClr val="tx1"/>
                  </a:solidFill>
                  <a:effectLst/>
                  <a:latin typeface="+mn-lt"/>
                  <a:ea typeface="+mn-ea"/>
                  <a:cs typeface="+mn-cs"/>
                </a:rPr>
                <a:t>"2 in</a:t>
              </a:r>
              <a:r>
                <a:rPr lang="en-US" sz="1100" b="0" i="0">
                  <a:solidFill>
                    <a:schemeClr val="tx1"/>
                  </a:solidFill>
                  <a:effectLst/>
                  <a:latin typeface="Cambria Math" panose="02040503050406030204" pitchFamily="18" charset="0"/>
                  <a:ea typeface="+mn-ea"/>
                  <a:cs typeface="+mn-cs"/>
                </a:rPr>
                <a:t>"  )┤</a:t>
              </a:r>
              <a:endParaRPr lang="en-US" sz="1100"/>
            </a:p>
          </xdr:txBody>
        </xdr:sp>
      </mc:Fallback>
    </mc:AlternateContent>
    <xdr:clientData/>
  </xdr:oneCellAnchor>
  <xdr:oneCellAnchor>
    <xdr:from>
      <xdr:col>4</xdr:col>
      <xdr:colOff>0</xdr:colOff>
      <xdr:row>54</xdr:row>
      <xdr:rowOff>268941</xdr:rowOff>
    </xdr:from>
    <xdr:ext cx="741293" cy="172227"/>
    <mc:AlternateContent xmlns:mc="http://schemas.openxmlformats.org/markup-compatibility/2006" xmlns:a14="http://schemas.microsoft.com/office/drawing/2010/main">
      <mc:Choice Requires="a14">
        <xdr:sp macro="" textlink="">
          <xdr:nvSpPr>
            <xdr:cNvPr id="34" name="TextBox 33">
              <a:extLst>
                <a:ext uri="{FF2B5EF4-FFF2-40B4-BE49-F238E27FC236}">
                  <a16:creationId xmlns:a16="http://schemas.microsoft.com/office/drawing/2014/main" id="{00000000-0008-0000-0700-000022000000}"/>
                </a:ext>
              </a:extLst>
            </xdr:cNvPr>
            <xdr:cNvSpPr txBox="1"/>
          </xdr:nvSpPr>
          <xdr:spPr>
            <a:xfrm>
              <a:off x="2809875" y="18648381"/>
              <a:ext cx="74129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𝑡</m:t>
                    </m:r>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𝑡</m:t>
                    </m:r>
                  </m:oMath>
                </m:oMathPara>
              </a14:m>
              <a:endParaRPr lang="en-US" sz="1100" b="0"/>
            </a:p>
          </xdr:txBody>
        </xdr:sp>
      </mc:Choice>
      <mc:Fallback xmlns="">
        <xdr:sp macro="" textlink="">
          <xdr:nvSpPr>
            <xdr:cNvPr id="34" name="TextBox 33">
              <a:extLst>
                <a:ext uri="{FF2B5EF4-FFF2-40B4-BE49-F238E27FC236}">
                  <a16:creationId xmlns:a16="http://schemas.microsoft.com/office/drawing/2014/main" id="{83F1CBB1-E9B9-4784-9525-80FB4CAAEA2C}"/>
                </a:ext>
              </a:extLst>
            </xdr:cNvPr>
            <xdr:cNvSpPr txBox="1"/>
          </xdr:nvSpPr>
          <xdr:spPr>
            <a:xfrm>
              <a:off x="2809875" y="18648381"/>
              <a:ext cx="74129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𝐸_𝑠 𝑡=𝐸_𝑠∗𝑡</a:t>
              </a:r>
              <a:endParaRPr lang="en-US" sz="1100" b="0"/>
            </a:p>
          </xdr:txBody>
        </xdr:sp>
      </mc:Fallback>
    </mc:AlternateContent>
    <xdr:clientData/>
  </xdr:oneCellAnchor>
  <xdr:oneCellAnchor>
    <xdr:from>
      <xdr:col>4</xdr:col>
      <xdr:colOff>212912</xdr:colOff>
      <xdr:row>36</xdr:row>
      <xdr:rowOff>78441</xdr:rowOff>
    </xdr:from>
    <xdr:ext cx="139654" cy="172227"/>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018977" y="11314131"/>
              <a:ext cx="13965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𝑓</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35" name="TextBox 34">
              <a:extLst>
                <a:ext uri="{FF2B5EF4-FFF2-40B4-BE49-F238E27FC236}">
                  <a16:creationId xmlns:a16="http://schemas.microsoft.com/office/drawing/2014/main" id="{84EBA2B2-FA57-4135-BED3-F00862631047}"/>
                </a:ext>
              </a:extLst>
            </xdr:cNvPr>
            <xdr:cNvSpPr txBox="1"/>
          </xdr:nvSpPr>
          <xdr:spPr>
            <a:xfrm>
              <a:off x="3018977" y="11314131"/>
              <a:ext cx="13965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𝑓_𝑠</a:t>
              </a:r>
              <a:endParaRPr lang="en-US" sz="1100"/>
            </a:p>
          </xdr:txBody>
        </xdr:sp>
      </mc:Fallback>
    </mc:AlternateContent>
    <xdr:clientData/>
  </xdr:oneCellAnchor>
  <xdr:oneCellAnchor>
    <xdr:from>
      <xdr:col>4</xdr:col>
      <xdr:colOff>246530</xdr:colOff>
      <xdr:row>16</xdr:row>
      <xdr:rowOff>89648</xdr:rowOff>
    </xdr:from>
    <xdr:ext cx="149528" cy="172227"/>
    <mc:AlternateContent xmlns:mc="http://schemas.openxmlformats.org/markup-compatibility/2006" xmlns:a14="http://schemas.microsoft.com/office/drawing/2010/main">
      <mc:Choice Requires="a14">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3056405" y="4474958"/>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oMath>
                </m:oMathPara>
              </a14:m>
              <a:endParaRPr lang="en-US" sz="1100"/>
            </a:p>
          </xdr:txBody>
        </xdr:sp>
      </mc:Choice>
      <mc:Fallback xmlns="">
        <xdr:sp macro="" textlink="">
          <xdr:nvSpPr>
            <xdr:cNvPr id="36" name="TextBox 35">
              <a:extLst>
                <a:ext uri="{FF2B5EF4-FFF2-40B4-BE49-F238E27FC236}">
                  <a16:creationId xmlns:a16="http://schemas.microsoft.com/office/drawing/2014/main" id="{47C3976D-AFA0-4FB6-B3B2-74E62B16C293}"/>
                </a:ext>
              </a:extLst>
            </xdr:cNvPr>
            <xdr:cNvSpPr txBox="1"/>
          </xdr:nvSpPr>
          <xdr:spPr>
            <a:xfrm>
              <a:off x="3056405" y="4474958"/>
              <a:ext cx="149528"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a:t>
              </a:r>
              <a:endParaRPr lang="en-US" sz="1100"/>
            </a:p>
          </xdr:txBody>
        </xdr:sp>
      </mc:Fallback>
    </mc:AlternateContent>
    <xdr:clientData/>
  </xdr:oneCellAnchor>
  <xdr:oneCellAnchor>
    <xdr:from>
      <xdr:col>5</xdr:col>
      <xdr:colOff>85166</xdr:colOff>
      <xdr:row>16</xdr:row>
      <xdr:rowOff>93571</xdr:rowOff>
    </xdr:from>
    <xdr:ext cx="836704" cy="172227"/>
    <mc:AlternateContent xmlns:mc="http://schemas.openxmlformats.org/markup-compatibility/2006" xmlns:a14="http://schemas.microsoft.com/office/drawing/2010/main">
      <mc:Choice Requires="a14">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3535121" y="4475071"/>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𝑠</m:t>
                        </m:r>
                      </m:sub>
                    </m:sSub>
                    <m:r>
                      <a:rPr lang="en-US" sz="1100" b="0" i="1">
                        <a:latin typeface="Cambria Math" panose="02040503050406030204" pitchFamily="18" charset="0"/>
                        <a:ea typeface="Cambria Math" panose="02040503050406030204" pitchFamily="18" charset="0"/>
                      </a:rPr>
                      <m:t>=80%∗</m:t>
                    </m:r>
                    <m:r>
                      <a:rPr lang="en-US" sz="1100" b="0" i="1">
                        <a:latin typeface="Cambria Math" panose="02040503050406030204" pitchFamily="18" charset="0"/>
                        <a:ea typeface="Cambria Math" panose="02040503050406030204" pitchFamily="18" charset="0"/>
                      </a:rPr>
                      <m:t>𝑃</m:t>
                    </m:r>
                  </m:oMath>
                </m:oMathPara>
              </a14:m>
              <a:endParaRPr lang="en-US" sz="1100"/>
            </a:p>
          </xdr:txBody>
        </xdr:sp>
      </mc:Choice>
      <mc:Fallback xmlns="">
        <xdr:sp macro="" textlink="">
          <xdr:nvSpPr>
            <xdr:cNvPr id="37" name="TextBox 36">
              <a:extLst>
                <a:ext uri="{FF2B5EF4-FFF2-40B4-BE49-F238E27FC236}">
                  <a16:creationId xmlns:a16="http://schemas.microsoft.com/office/drawing/2014/main" id="{0DC959A6-4784-4BB2-9F41-37CADDE1B543}"/>
                </a:ext>
              </a:extLst>
            </xdr:cNvPr>
            <xdr:cNvSpPr txBox="1"/>
          </xdr:nvSpPr>
          <xdr:spPr>
            <a:xfrm>
              <a:off x="3535121" y="4475071"/>
              <a:ext cx="83670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𝑃_𝑠=80%∗𝑃</a:t>
              </a:r>
              <a:endParaRPr lang="en-US" sz="1100"/>
            </a:p>
          </xdr:txBody>
        </xdr:sp>
      </mc:Fallback>
    </mc:AlternateContent>
    <xdr:clientData/>
  </xdr:oneCellAnchor>
  <xdr:oneCellAnchor>
    <xdr:from>
      <xdr:col>4</xdr:col>
      <xdr:colOff>22412</xdr:colOff>
      <xdr:row>55</xdr:row>
      <xdr:rowOff>168088</xdr:rowOff>
    </xdr:from>
    <xdr:ext cx="2722244" cy="396686"/>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700-000026000000}"/>
                </a:ext>
              </a:extLst>
            </xdr:cNvPr>
            <xdr:cNvSpPr txBox="1"/>
          </xdr:nvSpPr>
          <xdr:spPr>
            <a:xfrm>
              <a:off x="2828477" y="19317148"/>
              <a:ext cx="2722244"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𝑐</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𝑐</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𝑎</m:t>
                        </m:r>
                      </m:sub>
                    </m:sSub>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𝑐</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𝑎</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m:rPr>
                        <m:nor/>
                      </m:rPr>
                      <a:rPr lang="en-US" sz="110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h</m:t>
                        </m:r>
                      </m:sub>
                    </m:sSub>
                    <m:r>
                      <a:rPr lang="en-US" sz="1100" b="0" i="0">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𝑐</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h</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m:rPr>
                        <m:nor/>
                      </m:rPr>
                      <a:rPr lang="en-US" sz="1100" i="0">
                        <a:solidFill>
                          <a:schemeClr val="tx1"/>
                        </a:solidFill>
                        <a:effectLst/>
                        <a:latin typeface="+mn-lt"/>
                        <a:ea typeface="+mn-ea"/>
                        <a:cs typeface="+mn-cs"/>
                      </a:rPr>
                      <m:t>)</m:t>
                    </m:r>
                  </m:oMath>
                </m:oMathPara>
              </a14:m>
              <a:endParaRPr lang="en-US" sz="1100"/>
            </a:p>
          </xdr:txBody>
        </xdr:sp>
      </mc:Choice>
      <mc:Fallback xmlns="">
        <xdr:sp macro="" textlink="">
          <xdr:nvSpPr>
            <xdr:cNvPr id="38" name="TextBox 37">
              <a:extLst>
                <a:ext uri="{FF2B5EF4-FFF2-40B4-BE49-F238E27FC236}">
                  <a16:creationId xmlns:a16="http://schemas.microsoft.com/office/drawing/2014/main" id="{423B794F-55F9-49C4-B2A2-B2781CF17E13}"/>
                </a:ext>
              </a:extLst>
            </xdr:cNvPr>
            <xdr:cNvSpPr txBox="1"/>
          </xdr:nvSpPr>
          <xdr:spPr>
            <a:xfrm>
              <a:off x="2828477" y="19317148"/>
              <a:ext cx="2722244"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lgn="ctr"/>
              <a:r>
                <a:rPr lang="en-US" sz="1100" b="0" i="0">
                  <a:solidFill>
                    <a:schemeClr val="tx1"/>
                  </a:solidFill>
                  <a:effectLst/>
                  <a:latin typeface="Cambria Math" panose="02040503050406030204" pitchFamily="18" charset="0"/>
                  <a:ea typeface="+mn-ea"/>
                  <a:cs typeface="+mn-cs"/>
                </a:rPr>
                <a:t>𝐸_𝑐 𝑡_𝑐</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〖(𝑊〗_𝑎∗𝐸_(𝑐,𝑎)∗𝑡_𝑙𝑎𝑦𝑒𝑟</a:t>
              </a:r>
              <a:r>
                <a:rPr lang="en-US" sz="1100" b="0" i="0">
                  <a:solidFill>
                    <a:schemeClr val="tx1"/>
                  </a:solidFill>
                  <a:effectLst/>
                  <a:latin typeface="+mn-lt"/>
                  <a:ea typeface="+mn-ea"/>
                  <a:cs typeface="+mn-cs"/>
                </a:rPr>
                <a:t> </a:t>
              </a:r>
              <a:r>
                <a:rPr lang="en-US" sz="1100" b="0" i="0">
                  <a:solidFill>
                    <a:schemeClr val="tx1"/>
                  </a:solidFill>
                  <a:effectLst/>
                  <a:latin typeface="Cambria Math" panose="02040503050406030204" pitchFamily="18" charset="0"/>
                  <a:ea typeface="+mn-ea"/>
                  <a:cs typeface="+mn-cs"/>
                </a:rPr>
                <a:t>"</a:t>
              </a:r>
              <a:r>
                <a:rPr lang="en-US" sz="1100" i="0">
                  <a:solidFill>
                    <a:schemeClr val="tx1"/>
                  </a:solidFill>
                  <a:effectLst/>
                  <a:latin typeface="Cambria Math" panose="02040503050406030204" pitchFamily="18" charset="0"/>
                  <a:ea typeface="+mn-ea"/>
                  <a:cs typeface="+mn-cs"/>
                </a:rPr>
                <a:t>) </a:t>
              </a:r>
              <a:r>
                <a:rPr lang="en-US" sz="1100" b="0" i="0">
                  <a:solidFill>
                    <a:schemeClr val="tx1"/>
                  </a:solidFill>
                  <a:effectLst/>
                  <a:latin typeface="Cambria Math" panose="02040503050406030204" pitchFamily="18" charset="0"/>
                  <a:ea typeface="+mn-ea"/>
                  <a:cs typeface="+mn-cs"/>
                </a:rPr>
                <a:t>+ " 〖(𝑊〗_ℎ∗𝐸_(𝑐,ℎ)∗𝑡_𝑙𝑎𝑦𝑒𝑟</a:t>
              </a:r>
              <a:r>
                <a:rPr lang="en-US" sz="1100" b="0" i="0">
                  <a:solidFill>
                    <a:schemeClr val="tx1"/>
                  </a:solidFill>
                  <a:effectLst/>
                  <a:latin typeface="+mn-lt"/>
                  <a:ea typeface="+mn-ea"/>
                  <a:cs typeface="+mn-cs"/>
                </a:rPr>
                <a:t> </a:t>
              </a:r>
              <a:r>
                <a:rPr lang="en-US" sz="1100" b="0" i="0">
                  <a:solidFill>
                    <a:schemeClr val="tx1"/>
                  </a:solidFill>
                  <a:effectLst/>
                  <a:latin typeface="Cambria Math" panose="02040503050406030204" pitchFamily="18" charset="0"/>
                  <a:ea typeface="+mn-ea"/>
                  <a:cs typeface="+mn-cs"/>
                </a:rPr>
                <a:t>"</a:t>
              </a:r>
              <a:r>
                <a:rPr lang="en-US" sz="1100" i="0">
                  <a:solidFill>
                    <a:schemeClr val="tx1"/>
                  </a:solidFill>
                  <a:effectLst/>
                  <a:latin typeface="Cambria Math" panose="02040503050406030204" pitchFamily="18" charset="0"/>
                  <a:ea typeface="+mn-ea"/>
                  <a:cs typeface="+mn-cs"/>
                </a:rPr>
                <a:t>)</a:t>
              </a:r>
              <a:r>
                <a:rPr lang="en-US" sz="1100" i="0">
                  <a:solidFill>
                    <a:schemeClr val="tx1"/>
                  </a:solidFill>
                  <a:effectLst/>
                  <a:latin typeface="+mn-lt"/>
                  <a:ea typeface="+mn-ea"/>
                  <a:cs typeface="+mn-cs"/>
                </a:rPr>
                <a:t>"</a:t>
              </a:r>
              <a:endParaRPr lang="en-US" sz="1100"/>
            </a:p>
          </xdr:txBody>
        </xdr:sp>
      </mc:Fallback>
    </mc:AlternateContent>
    <xdr:clientData/>
  </xdr:oneCellAnchor>
  <xdr:oneCellAnchor>
    <xdr:from>
      <xdr:col>4</xdr:col>
      <xdr:colOff>201705</xdr:colOff>
      <xdr:row>27</xdr:row>
      <xdr:rowOff>89647</xdr:rowOff>
    </xdr:from>
    <xdr:ext cx="261418" cy="176972"/>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0700-000027000000}"/>
                </a:ext>
              </a:extLst>
            </xdr:cNvPr>
            <xdr:cNvSpPr txBox="1"/>
          </xdr:nvSpPr>
          <xdr:spPr>
            <a:xfrm>
              <a:off x="3009675" y="8246857"/>
              <a:ext cx="261418"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𝐸</m:t>
                        </m:r>
                      </m:e>
                      <m:sub>
                        <m:r>
                          <a:rPr lang="en-US" sz="1100" b="0" i="1">
                            <a:latin typeface="Cambria Math" panose="02040503050406030204" pitchFamily="18" charset="0"/>
                            <a:ea typeface="Cambria Math" panose="02040503050406030204" pitchFamily="18" charset="0"/>
                          </a:rPr>
                          <m:t>𝑐</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𝑎</m:t>
                        </m:r>
                      </m:sub>
                    </m:sSub>
                  </m:oMath>
                </m:oMathPara>
              </a14:m>
              <a:endParaRPr lang="en-US" sz="1100"/>
            </a:p>
          </xdr:txBody>
        </xdr:sp>
      </mc:Choice>
      <mc:Fallback xmlns="">
        <xdr:sp macro="" textlink="">
          <xdr:nvSpPr>
            <xdr:cNvPr id="39" name="TextBox 38">
              <a:extLst>
                <a:ext uri="{FF2B5EF4-FFF2-40B4-BE49-F238E27FC236}">
                  <a16:creationId xmlns:a16="http://schemas.microsoft.com/office/drawing/2014/main" id="{8F54D8E6-1F21-4C73-84AC-F1B696064690}"/>
                </a:ext>
              </a:extLst>
            </xdr:cNvPr>
            <xdr:cNvSpPr txBox="1"/>
          </xdr:nvSpPr>
          <xdr:spPr>
            <a:xfrm>
              <a:off x="3009675" y="8246857"/>
              <a:ext cx="261418"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𝐸_(𝑐,𝑎)</a:t>
              </a:r>
              <a:endParaRPr lang="en-US" sz="1100"/>
            </a:p>
          </xdr:txBody>
        </xdr:sp>
      </mc:Fallback>
    </mc:AlternateContent>
    <xdr:clientData/>
  </xdr:oneCellAnchor>
  <xdr:oneCellAnchor>
    <xdr:from>
      <xdr:col>4</xdr:col>
      <xdr:colOff>0</xdr:colOff>
      <xdr:row>52</xdr:row>
      <xdr:rowOff>280147</xdr:rowOff>
    </xdr:from>
    <xdr:ext cx="300403" cy="176972"/>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0700-000028000000}"/>
                </a:ext>
              </a:extLst>
            </xdr:cNvPr>
            <xdr:cNvSpPr txBox="1"/>
          </xdr:nvSpPr>
          <xdr:spPr>
            <a:xfrm>
              <a:off x="2809875" y="17143207"/>
              <a:ext cx="300403"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𝑎</m:t>
                        </m:r>
                        <m:r>
                          <a:rPr lang="en-US" sz="1100" b="0" i="1">
                            <a:latin typeface="Cambria Math" panose="02040503050406030204" pitchFamily="18" charset="0"/>
                            <a:ea typeface="Cambria Math" panose="02040503050406030204" pitchFamily="18" charset="0"/>
                          </a:rPr>
                          <m:t>,0</m:t>
                        </m:r>
                      </m:sub>
                    </m:sSub>
                  </m:oMath>
                </m:oMathPara>
              </a14:m>
              <a:endParaRPr lang="en-US" sz="1100" b="0"/>
            </a:p>
          </xdr:txBody>
        </xdr:sp>
      </mc:Choice>
      <mc:Fallback xmlns="">
        <xdr:sp macro="" textlink="">
          <xdr:nvSpPr>
            <xdr:cNvPr id="40" name="TextBox 39">
              <a:extLst>
                <a:ext uri="{FF2B5EF4-FFF2-40B4-BE49-F238E27FC236}">
                  <a16:creationId xmlns:a16="http://schemas.microsoft.com/office/drawing/2014/main" id="{30EF2AFC-256F-48B8-88A1-F3A354E1E4BD}"/>
                </a:ext>
              </a:extLst>
            </xdr:cNvPr>
            <xdr:cNvSpPr txBox="1"/>
          </xdr:nvSpPr>
          <xdr:spPr>
            <a:xfrm>
              <a:off x="2809875" y="17143207"/>
              <a:ext cx="300403"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𝑊_(𝑎,0)</a:t>
              </a:r>
              <a:endParaRPr lang="en-US" sz="1100" b="0"/>
            </a:p>
          </xdr:txBody>
        </xdr:sp>
      </mc:Fallback>
    </mc:AlternateContent>
    <xdr:clientData/>
  </xdr:oneCellAnchor>
  <xdr:oneCellAnchor>
    <xdr:from>
      <xdr:col>4</xdr:col>
      <xdr:colOff>0</xdr:colOff>
      <xdr:row>53</xdr:row>
      <xdr:rowOff>280147</xdr:rowOff>
    </xdr:from>
    <xdr:ext cx="300210" cy="176972"/>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0700-000029000000}"/>
                </a:ext>
              </a:extLst>
            </xdr:cNvPr>
            <xdr:cNvSpPr txBox="1"/>
          </xdr:nvSpPr>
          <xdr:spPr>
            <a:xfrm>
              <a:off x="2809875" y="17905207"/>
              <a:ext cx="300210"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h</m:t>
                        </m:r>
                        <m:r>
                          <a:rPr lang="en-US" sz="1100" b="0" i="1">
                            <a:latin typeface="Cambria Math" panose="02040503050406030204" pitchFamily="18" charset="0"/>
                            <a:ea typeface="Cambria Math" panose="02040503050406030204" pitchFamily="18" charset="0"/>
                          </a:rPr>
                          <m:t>,0</m:t>
                        </m:r>
                      </m:sub>
                    </m:sSub>
                  </m:oMath>
                </m:oMathPara>
              </a14:m>
              <a:endParaRPr lang="en-US" sz="1100" b="0"/>
            </a:p>
          </xdr:txBody>
        </xdr:sp>
      </mc:Choice>
      <mc:Fallback xmlns="">
        <xdr:sp macro="" textlink="">
          <xdr:nvSpPr>
            <xdr:cNvPr id="41" name="TextBox 40">
              <a:extLst>
                <a:ext uri="{FF2B5EF4-FFF2-40B4-BE49-F238E27FC236}">
                  <a16:creationId xmlns:a16="http://schemas.microsoft.com/office/drawing/2014/main" id="{28F560C5-DD05-4CDC-9F93-B7BF5A8E28DD}"/>
                </a:ext>
              </a:extLst>
            </xdr:cNvPr>
            <xdr:cNvSpPr txBox="1"/>
          </xdr:nvSpPr>
          <xdr:spPr>
            <a:xfrm>
              <a:off x="2809875" y="17905207"/>
              <a:ext cx="300210"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𝑊_(ℎ,0)</a:t>
              </a:r>
              <a:endParaRPr lang="en-US" sz="1100" b="0"/>
            </a:p>
          </xdr:txBody>
        </xdr:sp>
      </mc:Fallback>
    </mc:AlternateContent>
    <xdr:clientData/>
  </xdr:oneCellAnchor>
  <xdr:oneCellAnchor>
    <xdr:from>
      <xdr:col>4</xdr:col>
      <xdr:colOff>22413</xdr:colOff>
      <xdr:row>56</xdr:row>
      <xdr:rowOff>145676</xdr:rowOff>
    </xdr:from>
    <xdr:ext cx="1800056" cy="396686"/>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0700-00002A000000}"/>
                </a:ext>
              </a:extLst>
            </xdr:cNvPr>
            <xdr:cNvSpPr txBox="1"/>
          </xdr:nvSpPr>
          <xdr:spPr>
            <a:xfrm>
              <a:off x="2828478" y="20051021"/>
              <a:ext cx="180005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left"/>
                  </m:oMathParaPr>
                  <m:oMath xmlns:m="http://schemas.openxmlformats.org/officeDocument/2006/math">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𝑢𝑟</m:t>
                            </m:r>
                          </m:sub>
                        </m:sSub>
                      </m:num>
                      <m:den>
                        <m:r>
                          <a:rPr lang="en-US" sz="1100" b="0" i="1">
                            <a:solidFill>
                              <a:schemeClr val="tx1"/>
                            </a:solidFill>
                            <a:effectLst/>
                            <a:latin typeface="Cambria Math" panose="02040503050406030204" pitchFamily="18" charset="0"/>
                            <a:ea typeface="+mn-ea"/>
                            <a:cs typeface="+mn-cs"/>
                          </a:rPr>
                          <m:t>𝑀</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solidFill>
                              <a:schemeClr val="tx1"/>
                            </a:solidFill>
                            <a:effectLst/>
                            <a:latin typeface="Cambria Math" panose="02040503050406030204" pitchFamily="18" charset="0"/>
                            <a:ea typeface="+mn-ea"/>
                            <a:cs typeface="+mn-cs"/>
                          </a:rPr>
                          <m:t>𝜋</m:t>
                        </m:r>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𝐷</m:t>
                                </m:r>
                                <m:r>
                                  <a:rPr lang="en-US" sz="1100" b="0" i="1">
                                    <a:solidFill>
                                      <a:schemeClr val="tx1"/>
                                    </a:solidFill>
                                    <a:effectLst/>
                                    <a:latin typeface="Cambria Math" panose="02040503050406030204" pitchFamily="18" charset="0"/>
                                    <a:ea typeface="+mn-ea"/>
                                    <a:cs typeface="+mn-cs"/>
                                  </a:rPr>
                                  <m:t>/2</m:t>
                                </m:r>
                              </m:e>
                            </m:d>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𝑡</m:t>
                        </m:r>
                      </m:den>
                    </m:f>
                  </m:oMath>
                </m:oMathPara>
              </a14:m>
              <a:endParaRPr lang="en-US" sz="1100"/>
            </a:p>
          </xdr:txBody>
        </xdr:sp>
      </mc:Choice>
      <mc:Fallback xmlns="">
        <xdr:sp macro="" textlink="">
          <xdr:nvSpPr>
            <xdr:cNvPr id="42" name="TextBox 41">
              <a:extLst>
                <a:ext uri="{FF2B5EF4-FFF2-40B4-BE49-F238E27FC236}">
                  <a16:creationId xmlns:a16="http://schemas.microsoft.com/office/drawing/2014/main" id="{5A42AB5D-3D32-4E19-83CE-3686857A6066}"/>
                </a:ext>
              </a:extLst>
            </xdr:cNvPr>
            <xdr:cNvSpPr txBox="1"/>
          </xdr:nvSpPr>
          <xdr:spPr>
            <a:xfrm>
              <a:off x="2828478" y="20051021"/>
              <a:ext cx="180005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_𝑢𝑟/𝑀</a:t>
              </a:r>
              <a:r>
                <a:rPr lang="en-US" sz="1100" b="0" i="0">
                  <a:latin typeface="Cambria Math" panose="02040503050406030204" pitchFamily="18" charset="0"/>
                </a:rPr>
                <a:t>=1/(</a:t>
              </a:r>
              <a:r>
                <a:rPr lang="en-US" sz="1100" b="0" i="0">
                  <a:solidFill>
                    <a:schemeClr val="tx1"/>
                  </a:solidFill>
                  <a:effectLst/>
                  <a:latin typeface="Cambria Math" panose="02040503050406030204" pitchFamily="18" charset="0"/>
                  <a:ea typeface="+mn-ea"/>
                  <a:cs typeface="+mn-cs"/>
                </a:rPr>
                <a:t>𝜋(𝐷/2)^2 𝑡)</a:t>
              </a:r>
              <a:endParaRPr lang="en-US" sz="1100"/>
            </a:p>
          </xdr:txBody>
        </xdr:sp>
      </mc:Fallback>
    </mc:AlternateContent>
    <xdr:clientData/>
  </xdr:oneCellAnchor>
  <xdr:oneCellAnchor>
    <xdr:from>
      <xdr:col>4</xdr:col>
      <xdr:colOff>0</xdr:colOff>
      <xdr:row>57</xdr:row>
      <xdr:rowOff>156882</xdr:rowOff>
    </xdr:from>
    <xdr:ext cx="1856086" cy="448628"/>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00000000-0008-0000-0700-00002B000000}"/>
                </a:ext>
              </a:extLst>
            </xdr:cNvPr>
            <xdr:cNvSpPr txBox="1"/>
          </xdr:nvSpPr>
          <xdr:spPr>
            <a:xfrm>
              <a:off x="2809875" y="20822322"/>
              <a:ext cx="1856086" cy="448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left"/>
                  </m:oMathParaPr>
                  <m:oMath xmlns:m="http://schemas.openxmlformats.org/officeDocument/2006/math">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m:t>
                            </m:r>
                          </m:sub>
                        </m:sSub>
                      </m:num>
                      <m:den>
                        <m:r>
                          <a:rPr lang="en-US" sz="1100" b="0" i="1">
                            <a:solidFill>
                              <a:schemeClr val="tx1"/>
                            </a:solidFill>
                            <a:effectLst/>
                            <a:latin typeface="Cambria Math" panose="02040503050406030204" pitchFamily="18" charset="0"/>
                            <a:ea typeface="+mn-ea"/>
                            <a:cs typeface="+mn-cs"/>
                          </a:rPr>
                          <m:t>𝑀</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solidFill>
                              <a:schemeClr val="tx1"/>
                            </a:solidFill>
                            <a:effectLst/>
                            <a:latin typeface="Cambria Math" panose="02040503050406030204" pitchFamily="18" charset="0"/>
                            <a:ea typeface="+mn-ea"/>
                            <a:cs typeface="+mn-cs"/>
                          </a:rPr>
                          <m:t>𝜋</m:t>
                        </m:r>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𝑟</m:t>
                            </m:r>
                          </m:e>
                          <m:sup>
                            <m:r>
                              <a:rPr lang="en-US" sz="1100" b="0" i="1">
                                <a:solidFill>
                                  <a:schemeClr val="tx1"/>
                                </a:solidFill>
                                <a:effectLst/>
                                <a:latin typeface="Cambria Math" panose="02040503050406030204" pitchFamily="18" charset="0"/>
                                <a:ea typeface="+mn-ea"/>
                                <a:cs typeface="+mn-cs"/>
                              </a:rPr>
                              <m:t>2</m:t>
                            </m:r>
                          </m:sup>
                        </m:sSup>
                      </m:den>
                    </m:f>
                    <m:d>
                      <m:dPr>
                        <m:begChr m:val="["/>
                        <m:endChr m:val="]"/>
                        <m:ctrlPr>
                          <a:rPr lang="en-US" sz="1100" b="0" i="1">
                            <a:solidFill>
                              <a:schemeClr val="tx1"/>
                            </a:solidFill>
                            <a:effectLst/>
                            <a:latin typeface="Cambria Math" panose="02040503050406030204" pitchFamily="18" charset="0"/>
                            <a:ea typeface="+mn-ea"/>
                            <a:cs typeface="+mn-cs"/>
                          </a:rPr>
                        </m:ctrlPr>
                      </m:dPr>
                      <m:e>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𝑠</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𝑠</m:t>
                                </m:r>
                              </m:sub>
                            </m:sSub>
                            <m:r>
                              <a:rPr lang="en-US" sz="1100" b="0" i="1">
                                <a:solidFill>
                                  <a:schemeClr val="tx1"/>
                                </a:solidFill>
                                <a:effectLst/>
                                <a:latin typeface="Cambria Math" panose="02040503050406030204" pitchFamily="18" charset="0"/>
                                <a:ea typeface="+mn-ea"/>
                                <a:cs typeface="+mn-cs"/>
                              </a:rPr>
                              <m:t>𝑡</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𝐸</m:t>
                                </m:r>
                              </m:e>
                              <m:sub>
                                <m:r>
                                  <a:rPr lang="en-US" sz="1100" b="0" i="1">
                                    <a:solidFill>
                                      <a:schemeClr val="tx1"/>
                                    </a:solidFill>
                                    <a:effectLst/>
                                    <a:latin typeface="Cambria Math" panose="02040503050406030204" pitchFamily="18" charset="0"/>
                                    <a:ea typeface="+mn-ea"/>
                                    <a:cs typeface="+mn-cs"/>
                                  </a:rPr>
                                  <m:t>𝑐</m:t>
                                </m:r>
                              </m:sub>
                            </m:sSub>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𝑐</m:t>
                                </m:r>
                              </m:sub>
                            </m:sSub>
                          </m:den>
                        </m:f>
                      </m:e>
                    </m:d>
                  </m:oMath>
                </m:oMathPara>
              </a14:m>
              <a:endParaRPr lang="en-US" sz="1100"/>
            </a:p>
          </xdr:txBody>
        </xdr:sp>
      </mc:Choice>
      <mc:Fallback xmlns="">
        <xdr:sp macro="" textlink="">
          <xdr:nvSpPr>
            <xdr:cNvPr id="43" name="TextBox 42">
              <a:extLst>
                <a:ext uri="{FF2B5EF4-FFF2-40B4-BE49-F238E27FC236}">
                  <a16:creationId xmlns:a16="http://schemas.microsoft.com/office/drawing/2014/main" id="{4F81B2CF-EBA2-4D40-853B-1BF67CE9987B}"/>
                </a:ext>
              </a:extLst>
            </xdr:cNvPr>
            <xdr:cNvSpPr txBox="1"/>
          </xdr:nvSpPr>
          <xdr:spPr>
            <a:xfrm>
              <a:off x="2809875" y="20822322"/>
              <a:ext cx="1856086" cy="4486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_𝑟/𝑀</a:t>
              </a:r>
              <a:r>
                <a:rPr lang="en-US" sz="1100" b="0" i="0">
                  <a:latin typeface="Cambria Math" panose="02040503050406030204" pitchFamily="18" charset="0"/>
                </a:rPr>
                <a:t>=1/(</a:t>
              </a:r>
              <a:r>
                <a:rPr lang="en-US" sz="1100" b="0" i="0">
                  <a:solidFill>
                    <a:schemeClr val="tx1"/>
                  </a:solidFill>
                  <a:effectLst/>
                  <a:latin typeface="Cambria Math" panose="02040503050406030204" pitchFamily="18" charset="0"/>
                  <a:ea typeface="+mn-ea"/>
                  <a:cs typeface="+mn-cs"/>
                </a:rPr>
                <a:t>𝜋𝑟^2 ) </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𝐸_𝑠/(𝐸_𝑠 𝑡</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solidFill>
                    <a:schemeClr val="tx1"/>
                  </a:solidFill>
                  <a:effectLst/>
                  <a:latin typeface="Cambria Math" panose="02040503050406030204" pitchFamily="18" charset="0"/>
                  <a:ea typeface="+mn-ea"/>
                  <a:cs typeface="+mn-cs"/>
                </a:rPr>
                <a:t> 𝐸_𝑐 𝑡_𝑐 )]</a:t>
              </a:r>
              <a:endParaRPr lang="en-US" sz="1100"/>
            </a:p>
          </xdr:txBody>
        </xdr:sp>
      </mc:Fallback>
    </mc:AlternateContent>
    <xdr:clientData/>
  </xdr:oneCellAnchor>
  <xdr:oneCellAnchor>
    <xdr:from>
      <xdr:col>4</xdr:col>
      <xdr:colOff>0</xdr:colOff>
      <xdr:row>58</xdr:row>
      <xdr:rowOff>168088</xdr:rowOff>
    </xdr:from>
    <xdr:ext cx="1856086" cy="396686"/>
    <mc:AlternateContent xmlns:mc="http://schemas.openxmlformats.org/markup-compatibility/2006" xmlns:a14="http://schemas.microsoft.com/office/drawing/2010/main">
      <mc:Choice Requires="a14">
        <xdr:sp macro="" textlink="">
          <xdr:nvSpPr>
            <xdr:cNvPr id="44" name="TextBox 43">
              <a:extLst>
                <a:ext uri="{FF2B5EF4-FFF2-40B4-BE49-F238E27FC236}">
                  <a16:creationId xmlns:a16="http://schemas.microsoft.com/office/drawing/2014/main" id="{00000000-0008-0000-0700-00002C000000}"/>
                </a:ext>
              </a:extLst>
            </xdr:cNvPr>
            <xdr:cNvSpPr txBox="1"/>
          </xdr:nvSpPr>
          <xdr:spPr>
            <a:xfrm>
              <a:off x="2809875" y="21603148"/>
              <a:ext cx="185608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𝑟𝑒𝑑𝑢𝑐𝑡𝑖𝑜𝑛</m:t>
                        </m:r>
                      </m:sub>
                    </m:sSub>
                    <m:r>
                      <a:rPr lang="en-US" sz="1100" b="0" i="1">
                        <a:solidFill>
                          <a:schemeClr val="tx1"/>
                        </a:solidFill>
                        <a:effectLst/>
                        <a:latin typeface="Cambria Math" panose="02040503050406030204" pitchFamily="18" charset="0"/>
                        <a:ea typeface="+mn-ea"/>
                        <a:cs typeface="+mn-cs"/>
                      </a:rPr>
                      <m:t>=1−</m:t>
                    </m:r>
                    <m:f>
                      <m:fPr>
                        <m:ctrlPr>
                          <a:rPr lang="en-US" sz="1100" i="1">
                            <a:solidFill>
                              <a:schemeClr val="tx1"/>
                            </a:solidFill>
                            <a:effectLst/>
                            <a:latin typeface="Cambria Math" panose="02040503050406030204" pitchFamily="18" charset="0"/>
                            <a:ea typeface="+mn-ea"/>
                            <a:cs typeface="+mn-cs"/>
                          </a:rPr>
                        </m:ctrlPr>
                      </m:fPr>
                      <m:num>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𝑀</m:t>
                        </m:r>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𝑢𝑟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𝑀</m:t>
                        </m:r>
                      </m:den>
                    </m:f>
                  </m:oMath>
                </m:oMathPara>
              </a14:m>
              <a:endParaRPr lang="en-US" sz="1100"/>
            </a:p>
          </xdr:txBody>
        </xdr:sp>
      </mc:Choice>
      <mc:Fallback xmlns="">
        <xdr:sp macro="" textlink="">
          <xdr:nvSpPr>
            <xdr:cNvPr id="44" name="TextBox 43">
              <a:extLst>
                <a:ext uri="{FF2B5EF4-FFF2-40B4-BE49-F238E27FC236}">
                  <a16:creationId xmlns:a16="http://schemas.microsoft.com/office/drawing/2014/main" id="{C65B2ECE-E696-4DEB-BDD5-DE7002CF74AA}"/>
                </a:ext>
              </a:extLst>
            </xdr:cNvPr>
            <xdr:cNvSpPr txBox="1"/>
          </xdr:nvSpPr>
          <xdr:spPr>
            <a:xfrm>
              <a:off x="2809875" y="21603148"/>
              <a:ext cx="185608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_𝑟𝑒𝑑𝑢𝑐𝑡𝑖𝑜𝑛=1−</a:t>
              </a:r>
              <a:r>
                <a:rPr lang="en-US" sz="1100" b="0" i="0">
                  <a:latin typeface="Cambria Math" panose="02040503050406030204" pitchFamily="18" charset="0"/>
                </a:rPr>
                <a:t>(</a:t>
              </a: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_𝑟/𝑀)/(</a:t>
              </a: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_𝑢𝑟/𝑀)</a:t>
              </a:r>
              <a:endParaRPr lang="en-US" sz="1100"/>
            </a:p>
          </xdr:txBody>
        </xdr:sp>
      </mc:Fallback>
    </mc:AlternateContent>
    <xdr:clientData/>
  </xdr:oneCellAnchor>
  <xdr:oneCellAnchor>
    <xdr:from>
      <xdr:col>4</xdr:col>
      <xdr:colOff>0</xdr:colOff>
      <xdr:row>51</xdr:row>
      <xdr:rowOff>190500</xdr:rowOff>
    </xdr:from>
    <xdr:ext cx="1856086" cy="396686"/>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0700-00002D000000}"/>
                </a:ext>
              </a:extLst>
            </xdr:cNvPr>
            <xdr:cNvSpPr txBox="1"/>
          </xdr:nvSpPr>
          <xdr:spPr>
            <a:xfrm>
              <a:off x="2809875" y="16287750"/>
              <a:ext cx="185608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left"/>
                  </m:oMathParaPr>
                  <m:oMath xmlns:m="http://schemas.openxmlformats.org/officeDocument/2006/math">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𝑟𝑒𝑑𝑢𝑐𝑡𝑖𝑜𝑛</m:t>
                        </m:r>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𝑡𝑎𝑟𝑔𝑒𝑡</m:t>
                        </m:r>
                      </m:sub>
                    </m:sSub>
                  </m:oMath>
                </m:oMathPara>
              </a14:m>
              <a:endParaRPr lang="en-US" sz="1100"/>
            </a:p>
          </xdr:txBody>
        </xdr:sp>
      </mc:Choice>
      <mc:Fallback xmlns="">
        <xdr:sp macro="" textlink="">
          <xdr:nvSpPr>
            <xdr:cNvPr id="45" name="TextBox 44">
              <a:extLst>
                <a:ext uri="{FF2B5EF4-FFF2-40B4-BE49-F238E27FC236}">
                  <a16:creationId xmlns:a16="http://schemas.microsoft.com/office/drawing/2014/main" id="{A573315B-1233-45A0-A39E-964D6F090FCB}"/>
                </a:ext>
              </a:extLst>
            </xdr:cNvPr>
            <xdr:cNvSpPr txBox="1"/>
          </xdr:nvSpPr>
          <xdr:spPr>
            <a:xfrm>
              <a:off x="2809875" y="16287750"/>
              <a:ext cx="1856086" cy="3966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_(𝑟𝑒𝑑𝑢𝑐𝑡𝑖𝑜𝑛,𝑡𝑎𝑟𝑔𝑒𝑡)</a:t>
              </a:r>
              <a:endParaRPr lang="en-US" sz="1100"/>
            </a:p>
          </xdr:txBody>
        </xdr:sp>
      </mc:Fallback>
    </mc:AlternateContent>
    <xdr:clientData/>
  </xdr:oneCellAnchor>
  <xdr:oneCellAnchor>
    <xdr:from>
      <xdr:col>4</xdr:col>
      <xdr:colOff>0</xdr:colOff>
      <xdr:row>60</xdr:row>
      <xdr:rowOff>291353</xdr:rowOff>
    </xdr:from>
    <xdr:ext cx="208134" cy="172227"/>
    <mc:AlternateContent xmlns:mc="http://schemas.openxmlformats.org/markup-compatibility/2006" xmlns:a14="http://schemas.microsoft.com/office/drawing/2010/main">
      <mc:Choice Requires="a14">
        <xdr:sp macro="" textlink="">
          <xdr:nvSpPr>
            <xdr:cNvPr id="46" name="TextBox 45">
              <a:extLst>
                <a:ext uri="{FF2B5EF4-FFF2-40B4-BE49-F238E27FC236}">
                  <a16:creationId xmlns:a16="http://schemas.microsoft.com/office/drawing/2014/main" id="{00000000-0008-0000-0700-00002E000000}"/>
                </a:ext>
              </a:extLst>
            </xdr:cNvPr>
            <xdr:cNvSpPr txBox="1"/>
          </xdr:nvSpPr>
          <xdr:spPr>
            <a:xfrm>
              <a:off x="2809875" y="23242793"/>
              <a:ext cx="20813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𝑎</m:t>
                        </m:r>
                      </m:sub>
                    </m:sSub>
                  </m:oMath>
                </m:oMathPara>
              </a14:m>
              <a:endParaRPr lang="en-US" sz="1100" b="0"/>
            </a:p>
          </xdr:txBody>
        </xdr:sp>
      </mc:Choice>
      <mc:Fallback xmlns="">
        <xdr:sp macro="" textlink="">
          <xdr:nvSpPr>
            <xdr:cNvPr id="46" name="TextBox 45">
              <a:extLst>
                <a:ext uri="{FF2B5EF4-FFF2-40B4-BE49-F238E27FC236}">
                  <a16:creationId xmlns:a16="http://schemas.microsoft.com/office/drawing/2014/main" id="{283AFF81-C60E-4462-989C-F3A14AFA8E36}"/>
                </a:ext>
              </a:extLst>
            </xdr:cNvPr>
            <xdr:cNvSpPr txBox="1"/>
          </xdr:nvSpPr>
          <xdr:spPr>
            <a:xfrm>
              <a:off x="2809875" y="23242793"/>
              <a:ext cx="208134"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𝑊_𝑎</a:t>
              </a:r>
              <a:endParaRPr lang="en-US" sz="1100" b="0"/>
            </a:p>
          </xdr:txBody>
        </xdr:sp>
      </mc:Fallback>
    </mc:AlternateContent>
    <xdr:clientData/>
  </xdr:oneCellAnchor>
  <xdr:oneCellAnchor>
    <xdr:from>
      <xdr:col>4</xdr:col>
      <xdr:colOff>0</xdr:colOff>
      <xdr:row>61</xdr:row>
      <xdr:rowOff>291353</xdr:rowOff>
    </xdr:from>
    <xdr:ext cx="219547" cy="172227"/>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0700-00002F000000}"/>
                </a:ext>
              </a:extLst>
            </xdr:cNvPr>
            <xdr:cNvSpPr txBox="1"/>
          </xdr:nvSpPr>
          <xdr:spPr>
            <a:xfrm>
              <a:off x="2809875" y="24004793"/>
              <a:ext cx="21954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h</m:t>
                        </m:r>
                      </m:sub>
                    </m:sSub>
                  </m:oMath>
                </m:oMathPara>
              </a14:m>
              <a:endParaRPr lang="en-US" sz="1100" b="0"/>
            </a:p>
          </xdr:txBody>
        </xdr:sp>
      </mc:Choice>
      <mc:Fallback xmlns="">
        <xdr:sp macro="" textlink="">
          <xdr:nvSpPr>
            <xdr:cNvPr id="47" name="TextBox 46">
              <a:extLst>
                <a:ext uri="{FF2B5EF4-FFF2-40B4-BE49-F238E27FC236}">
                  <a16:creationId xmlns:a16="http://schemas.microsoft.com/office/drawing/2014/main" id="{CDA17995-EBE6-49C9-B90C-4C69C4C76710}"/>
                </a:ext>
              </a:extLst>
            </xdr:cNvPr>
            <xdr:cNvSpPr txBox="1"/>
          </xdr:nvSpPr>
          <xdr:spPr>
            <a:xfrm>
              <a:off x="2809875" y="24004793"/>
              <a:ext cx="21954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𝑊_ℎ</a:t>
              </a:r>
              <a:endParaRPr lang="en-US" sz="1100" b="0"/>
            </a:p>
          </xdr:txBody>
        </xdr:sp>
      </mc:Fallback>
    </mc:AlternateContent>
    <xdr:clientData/>
  </xdr:oneCellAnchor>
  <xdr:oneCellAnchor>
    <xdr:from>
      <xdr:col>4</xdr:col>
      <xdr:colOff>0</xdr:colOff>
      <xdr:row>59</xdr:row>
      <xdr:rowOff>179294</xdr:rowOff>
    </xdr:from>
    <xdr:ext cx="4040209" cy="377604"/>
    <mc:AlternateContent xmlns:mc="http://schemas.openxmlformats.org/markup-compatibility/2006" xmlns:a14="http://schemas.microsoft.com/office/drawing/2010/main">
      <mc:Choice Requires="a14">
        <xdr:sp macro="" textlink="">
          <xdr:nvSpPr>
            <xdr:cNvPr id="48" name="TextBox 47">
              <a:extLst>
                <a:ext uri="{FF2B5EF4-FFF2-40B4-BE49-F238E27FC236}">
                  <a16:creationId xmlns:a16="http://schemas.microsoft.com/office/drawing/2014/main" id="{00000000-0008-0000-0700-000030000000}"/>
                </a:ext>
              </a:extLst>
            </xdr:cNvPr>
            <xdr:cNvSpPr txBox="1"/>
          </xdr:nvSpPr>
          <xdr:spPr>
            <a:xfrm>
              <a:off x="2809875" y="22374449"/>
              <a:ext cx="4040209"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en-US" sz="1100" b="0" i="0">
                        <a:solidFill>
                          <a:schemeClr val="tx1"/>
                        </a:solidFill>
                        <a:effectLst/>
                        <a:latin typeface="Cambria Math" panose="02040503050406030204" pitchFamily="18" charset="0"/>
                        <a:ea typeface="+mn-ea"/>
                        <a:cs typeface="+mn-cs"/>
                      </a:rPr>
                      <m:t>Final</m:t>
                    </m:r>
                    <m:r>
                      <m:rPr>
                        <m:nor/>
                      </m:rPr>
                      <a:rPr lang="en-US" sz="1100" b="0" i="0">
                        <a:solidFill>
                          <a:schemeClr val="tx1"/>
                        </a:solidFill>
                        <a:effectLst/>
                        <a:latin typeface="Cambria Math" panose="02040503050406030204" pitchFamily="18" charset="0"/>
                        <a:ea typeface="+mn-ea"/>
                        <a:cs typeface="+mn-cs"/>
                      </a:rPr>
                      <m:t> </m:t>
                    </m:r>
                    <m:r>
                      <m:rPr>
                        <m:nor/>
                      </m:rPr>
                      <a:rPr lang="en-US" sz="1100" b="0" i="0">
                        <a:solidFill>
                          <a:schemeClr val="tx1"/>
                        </a:solidFill>
                        <a:effectLst/>
                        <a:latin typeface="Cambria Math" panose="02040503050406030204" pitchFamily="18" charset="0"/>
                        <a:ea typeface="+mn-ea"/>
                        <a:cs typeface="+mn-cs"/>
                      </a:rPr>
                      <m:t>Count</m:t>
                    </m:r>
                    <m:r>
                      <m:rPr>
                        <m:nor/>
                      </m:rPr>
                      <a:rPr lang="en-US" sz="1100" b="0" i="0">
                        <a:solidFill>
                          <a:schemeClr val="tx1"/>
                        </a:solidFill>
                        <a:effectLst/>
                        <a:latin typeface="Cambria Math" panose="02040503050406030204" pitchFamily="18" charset="0"/>
                        <a:ea typeface="+mn-ea"/>
                        <a:cs typeface="+mn-cs"/>
                      </a:rPr>
                      <m:t> </m:t>
                    </m:r>
                    <m:r>
                      <m:rPr>
                        <m:nor/>
                      </m:rPr>
                      <a:rPr lang="en-US" sz="1100" b="0" i="0">
                        <a:solidFill>
                          <a:schemeClr val="tx1"/>
                        </a:solidFill>
                        <a:effectLst/>
                        <a:latin typeface="Cambria Math" panose="02040503050406030204" pitchFamily="18" charset="0"/>
                        <a:ea typeface="+mn-ea"/>
                        <a:cs typeface="+mn-cs"/>
                      </a:rPr>
                      <m:t>of</m:t>
                    </m:r>
                    <m:r>
                      <m:rPr>
                        <m:nor/>
                      </m:rPr>
                      <a:rPr lang="en-US" sz="1100" b="0" i="0">
                        <a:solidFill>
                          <a:schemeClr val="tx1"/>
                        </a:solidFill>
                        <a:effectLst/>
                        <a:latin typeface="Cambria Math" panose="02040503050406030204" pitchFamily="18" charset="0"/>
                        <a:ea typeface="+mn-ea"/>
                        <a:cs typeface="+mn-cs"/>
                      </a:rPr>
                      <m:t> </m:t>
                    </m:r>
                    <m:r>
                      <m:rPr>
                        <m:nor/>
                      </m:rPr>
                      <a:rPr lang="en-US" sz="1100" b="0" i="0">
                        <a:solidFill>
                          <a:schemeClr val="tx1"/>
                        </a:solidFill>
                        <a:effectLst/>
                        <a:latin typeface="Cambria Math" panose="02040503050406030204" pitchFamily="18" charset="0"/>
                        <a:ea typeface="+mn-ea"/>
                        <a:cs typeface="+mn-cs"/>
                      </a:rPr>
                      <m:t>Layers</m:t>
                    </m:r>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solidFill>
                                  <a:schemeClr val="tx1"/>
                                </a:solidFill>
                                <a:effectLst/>
                                <a:latin typeface="+mn-lt"/>
                                <a:ea typeface="+mn-ea"/>
                                <a:cs typeface="+mn-cs"/>
                              </a:rPr>
                              <m:t>Repeat</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Procedure</m:t>
                            </m:r>
                            <m:r>
                              <a:rPr lang="en-US" sz="1100" b="0" i="1">
                                <a:solidFill>
                                  <a:schemeClr val="tx1"/>
                                </a:solidFill>
                                <a:effectLst/>
                                <a:latin typeface="Cambria Math" panose="02040503050406030204" pitchFamily="18" charset="0"/>
                                <a:ea typeface="+mn-ea"/>
                                <a:cs typeface="+mn-cs"/>
                              </a:rPr>
                              <m:t>,  </m:t>
                            </m:r>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𝑟𝑒𝑑𝑢𝑐𝑡𝑖𝑜𝑛</m:t>
                                </m:r>
                              </m:sub>
                            </m:sSub>
                            <m:r>
                              <a:rPr lang="en-US" sz="1100" b="0" i="1">
                                <a:solidFill>
                                  <a:schemeClr val="tx1"/>
                                </a:solidFill>
                                <a:effectLst/>
                                <a:latin typeface="Cambria Math" panose="02040503050406030204" pitchFamily="18" charset="0"/>
                                <a:ea typeface="Cambria Math" panose="02040503050406030204" pitchFamily="18" charset="0"/>
                                <a:cs typeface="+mn-cs"/>
                              </a:rPr>
                              <m:t>≤</m:t>
                            </m:r>
                            <m:r>
                              <m:rPr>
                                <m:nor/>
                              </m:rPr>
                              <a:rPr lang="en-US" sz="1100" b="0" i="0">
                                <a:solidFill>
                                  <a:schemeClr val="tx1"/>
                                </a:solidFill>
                                <a:effectLst/>
                                <a:latin typeface="+mn-lt"/>
                                <a:ea typeface="+mn-ea"/>
                                <a:cs typeface="+mn-cs"/>
                              </a:rPr>
                              <m:t>Target</m:t>
                            </m:r>
                          </m:e>
                          <m:e>
                            <m:r>
                              <m:rPr>
                                <m:nor/>
                              </m:rPr>
                              <a:rPr lang="en-US" sz="1100" b="0" i="0">
                                <a:solidFill>
                                  <a:schemeClr val="tx1"/>
                                </a:solidFill>
                                <a:effectLst/>
                                <a:latin typeface="Cambria Math" panose="02040503050406030204" pitchFamily="18" charset="0"/>
                                <a:ea typeface="+mn-ea"/>
                                <a:cs typeface="+mn-cs"/>
                              </a:rPr>
                              <m:t>Save</m:t>
                            </m:r>
                            <m:r>
                              <m:rPr>
                                <m:nor/>
                              </m:rPr>
                              <a:rPr lang="en-US" sz="1100" b="0" i="0">
                                <a:solidFill>
                                  <a:schemeClr val="tx1"/>
                                </a:solidFill>
                                <a:effectLst/>
                                <a:latin typeface="Cambria Math" panose="02040503050406030204" pitchFamily="18" charset="0"/>
                                <a:ea typeface="+mn-ea"/>
                                <a:cs typeface="+mn-cs"/>
                              </a:rPr>
                              <m:t> </m:t>
                            </m:r>
                            <m:r>
                              <m:rPr>
                                <m:nor/>
                              </m:rPr>
                              <a:rPr lang="en-US" sz="1100" b="0" i="0">
                                <a:solidFill>
                                  <a:schemeClr val="tx1"/>
                                </a:solidFill>
                                <a:effectLst/>
                                <a:latin typeface="Cambria Math" panose="02040503050406030204" pitchFamily="18" charset="0"/>
                                <a:ea typeface="+mn-ea"/>
                                <a:cs typeface="+mn-cs"/>
                              </a:rPr>
                              <m:t>Results</m:t>
                            </m:r>
                            <m:r>
                              <a:rPr lang="en-US" sz="1100" b="0" i="1">
                                <a:solidFill>
                                  <a:schemeClr val="tx1"/>
                                </a:solidFill>
                                <a:effectLst/>
                                <a:latin typeface="Cambria Math" panose="02040503050406030204" pitchFamily="18" charset="0"/>
                                <a:ea typeface="+mn-ea"/>
                                <a:cs typeface="+mn-cs"/>
                              </a:rPr>
                              <m:t>,  </m:t>
                            </m:r>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𝜎</m:t>
                                </m:r>
                              </m:e>
                              <m:sub>
                                <m:r>
                                  <a:rPr lang="en-US" sz="1100" b="0" i="1">
                                    <a:solidFill>
                                      <a:schemeClr val="tx1"/>
                                    </a:solidFill>
                                    <a:effectLst/>
                                    <a:latin typeface="Cambria Math" panose="02040503050406030204" pitchFamily="18" charset="0"/>
                                    <a:ea typeface="+mn-ea"/>
                                    <a:cs typeface="+mn-cs"/>
                                  </a:rPr>
                                  <m:t>𝑟𝑒𝑑𝑢𝑐𝑡𝑖𝑜𝑛</m:t>
                                </m:r>
                              </m:sub>
                            </m:sSub>
                            <m:r>
                              <a:rPr lang="en-US" sz="1100" b="0" i="1">
                                <a:solidFill>
                                  <a:schemeClr val="tx1"/>
                                </a:solidFill>
                                <a:effectLst/>
                                <a:latin typeface="Cambria Math" panose="02040503050406030204" pitchFamily="18" charset="0"/>
                                <a:ea typeface="+mn-ea"/>
                                <a:cs typeface="+mn-cs"/>
                              </a:rPr>
                              <m:t>&gt;</m:t>
                            </m:r>
                            <m:r>
                              <m:rPr>
                                <m:nor/>
                              </m:rPr>
                              <a:rPr lang="en-US" sz="1100" b="0" i="0">
                                <a:solidFill>
                                  <a:schemeClr val="tx1"/>
                                </a:solidFill>
                                <a:effectLst/>
                                <a:latin typeface="Cambria Math" panose="02040503050406030204" pitchFamily="18" charset="0"/>
                                <a:ea typeface="+mn-ea"/>
                                <a:cs typeface="+mn-cs"/>
                              </a:rPr>
                              <m:t>Target</m:t>
                            </m:r>
                            <m:r>
                              <a:rPr lang="en-US" sz="1100" b="0" i="1">
                                <a:solidFill>
                                  <a:schemeClr val="tx1"/>
                                </a:solidFill>
                                <a:effectLst/>
                                <a:latin typeface="Cambria Math" panose="02040503050406030204" pitchFamily="18" charset="0"/>
                                <a:ea typeface="+mn-ea"/>
                                <a:cs typeface="+mn-cs"/>
                              </a:rPr>
                              <m:t> </m:t>
                            </m:r>
                          </m:e>
                        </m:eqArr>
                      </m:e>
                    </m:d>
                  </m:oMath>
                </m:oMathPara>
              </a14:m>
              <a:endParaRPr lang="en-US" sz="1100"/>
            </a:p>
          </xdr:txBody>
        </xdr:sp>
      </mc:Choice>
      <mc:Fallback xmlns="">
        <xdr:sp macro="" textlink="">
          <xdr:nvSpPr>
            <xdr:cNvPr id="48" name="TextBox 47">
              <a:extLst>
                <a:ext uri="{FF2B5EF4-FFF2-40B4-BE49-F238E27FC236}">
                  <a16:creationId xmlns:a16="http://schemas.microsoft.com/office/drawing/2014/main" id="{C3424728-E3DF-4A65-99F8-C29A37DFEBEB}"/>
                </a:ext>
              </a:extLst>
            </xdr:cNvPr>
            <xdr:cNvSpPr txBox="1"/>
          </xdr:nvSpPr>
          <xdr:spPr>
            <a:xfrm>
              <a:off x="2809875" y="22374449"/>
              <a:ext cx="4040209"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"Final Count of Layers"</a:t>
              </a:r>
              <a:r>
                <a:rPr lang="en-US" sz="1100" b="0" i="0">
                  <a:latin typeface="Cambria Math" panose="02040503050406030204" pitchFamily="18" charset="0"/>
                </a:rPr>
                <a:t>={█(</a:t>
              </a:r>
              <a:r>
                <a:rPr lang="en-US" sz="1100" b="0" i="0">
                  <a:solidFill>
                    <a:schemeClr val="tx1"/>
                  </a:solidFill>
                  <a:effectLst/>
                  <a:latin typeface="+mn-lt"/>
                  <a:ea typeface="+mn-ea"/>
                  <a:cs typeface="+mn-cs"/>
                </a:rPr>
                <a:t>"Repeat Procedure</a:t>
              </a:r>
              <a:r>
                <a:rPr lang="en-US" sz="1100" b="0" i="0">
                  <a:solidFill>
                    <a:schemeClr val="tx1"/>
                  </a:solidFill>
                  <a:effectLst/>
                  <a:latin typeface="Cambria Math" panose="02040503050406030204" pitchFamily="18" charset="0"/>
                  <a:ea typeface="+mn-ea"/>
                  <a:cs typeface="+mn-cs"/>
                </a:rPr>
                <a:t>" ,  </a:t>
              </a: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_𝑟𝑒𝑑𝑢𝑐𝑡𝑖𝑜𝑛</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solidFill>
                    <a:schemeClr val="tx1"/>
                  </a:solidFill>
                  <a:effectLst/>
                  <a:latin typeface="+mn-lt"/>
                  <a:ea typeface="+mn-ea"/>
                  <a:cs typeface="+mn-cs"/>
                </a:rPr>
                <a:t>"Target</a:t>
              </a:r>
              <a:r>
                <a:rPr lang="en-US" sz="1100" b="0" i="0">
                  <a:solidFill>
                    <a:schemeClr val="tx1"/>
                  </a:solidFill>
                  <a:effectLst/>
                  <a:latin typeface="Cambria Math" panose="02040503050406030204" pitchFamily="18" charset="0"/>
                  <a:ea typeface="+mn-ea"/>
                  <a:cs typeface="+mn-cs"/>
                </a:rPr>
                <a:t>" @"Save Results" ,  </a:t>
              </a:r>
              <a:r>
                <a:rPr lang="en-US" sz="1100" i="0">
                  <a:solidFill>
                    <a:schemeClr val="tx1"/>
                  </a:solidFill>
                  <a:effectLst/>
                  <a:latin typeface="Cambria Math" panose="02040503050406030204" pitchFamily="18" charset="0"/>
                  <a:ea typeface="+mn-ea"/>
                  <a:cs typeface="+mn-cs"/>
                </a:rPr>
                <a:t>𝜎</a:t>
              </a:r>
              <a:r>
                <a:rPr lang="en-US" sz="1100" b="0" i="0">
                  <a:solidFill>
                    <a:schemeClr val="tx1"/>
                  </a:solidFill>
                  <a:effectLst/>
                  <a:latin typeface="Cambria Math" panose="02040503050406030204" pitchFamily="18" charset="0"/>
                  <a:ea typeface="+mn-ea"/>
                  <a:cs typeface="+mn-cs"/>
                </a:rPr>
                <a:t>_𝑟𝑒𝑑𝑢𝑐𝑡𝑖𝑜𝑛&gt;"Target"  )┤</a:t>
              </a:r>
              <a:endParaRPr lang="en-US" sz="1100"/>
            </a:p>
          </xdr:txBody>
        </xdr:sp>
      </mc:Fallback>
    </mc:AlternateContent>
    <xdr:clientData/>
  </xdr:oneCellAnchor>
  <xdr:oneCellAnchor>
    <xdr:from>
      <xdr:col>4</xdr:col>
      <xdr:colOff>0</xdr:colOff>
      <xdr:row>67</xdr:row>
      <xdr:rowOff>179294</xdr:rowOff>
    </xdr:from>
    <xdr:ext cx="1793440" cy="383759"/>
    <mc:AlternateContent xmlns:mc="http://schemas.openxmlformats.org/markup-compatibility/2006" xmlns:a14="http://schemas.microsoft.com/office/drawing/2010/main">
      <mc:Choice Requires="a14">
        <xdr:sp macro="" textlink="">
          <xdr:nvSpPr>
            <xdr:cNvPr id="49" name="TextBox 48">
              <a:extLst>
                <a:ext uri="{FF2B5EF4-FFF2-40B4-BE49-F238E27FC236}">
                  <a16:creationId xmlns:a16="http://schemas.microsoft.com/office/drawing/2014/main" id="{00000000-0008-0000-0700-000031000000}"/>
                </a:ext>
              </a:extLst>
            </xdr:cNvPr>
            <xdr:cNvSpPr txBox="1"/>
          </xdr:nvSpPr>
          <xdr:spPr>
            <a:xfrm>
              <a:off x="2809875" y="27908474"/>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𝐿</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m:t>
                        </m:r>
                        <m:r>
                          <a:rPr lang="en-US" sz="1100" b="0" i="1">
                            <a:latin typeface="Cambria Math" panose="02040503050406030204" pitchFamily="18" charset="0"/>
                            <a:ea typeface="Cambria Math" panose="02040503050406030204" pitchFamily="18" charset="0"/>
                          </a:rPr>
                          <m:t>𝛼</m:t>
                        </m:r>
                      </m:den>
                    </m:f>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𝐿</m:t>
                            </m:r>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𝑤</m:t>
                                </m:r>
                              </m:e>
                              <m:sub>
                                <m:r>
                                  <a:rPr lang="en-US" sz="1100" b="0" i="1">
                                    <a:latin typeface="Cambria Math" panose="02040503050406030204" pitchFamily="18" charset="0"/>
                                    <a:ea typeface="Cambria Math" panose="02040503050406030204" pitchFamily="18" charset="0"/>
                                  </a:rPr>
                                  <m:t>𝑙𝑎𝑦𝑒𝑟</m:t>
                                </m:r>
                              </m:sub>
                            </m:sSub>
                          </m:den>
                        </m:f>
                        <m:r>
                          <a:rPr lang="en-US" sz="1100" b="0" i="1">
                            <a:latin typeface="Cambria Math" panose="02040503050406030204" pitchFamily="18" charset="0"/>
                            <a:ea typeface="Cambria Math" panose="02040503050406030204" pitchFamily="18" charset="0"/>
                          </a:rPr>
                          <m:t>−1</m:t>
                        </m:r>
                      </m:e>
                    </m:d>
                    <m:r>
                      <a:rPr lang="en-US" sz="1100" b="0" i="1">
                        <a:latin typeface="Cambria Math" panose="02040503050406030204" pitchFamily="18" charset="0"/>
                        <a:ea typeface="Cambria Math" panose="02040503050406030204" pitchFamily="18" charset="0"/>
                      </a:rPr>
                      <m:t>+1</m:t>
                    </m:r>
                  </m:oMath>
                </m:oMathPara>
              </a14:m>
              <a:endParaRPr lang="en-US" sz="1100"/>
            </a:p>
          </xdr:txBody>
        </xdr:sp>
      </mc:Choice>
      <mc:Fallback xmlns="">
        <xdr:sp macro="" textlink="">
          <xdr:nvSpPr>
            <xdr:cNvPr id="49" name="TextBox 48">
              <a:extLst>
                <a:ext uri="{FF2B5EF4-FFF2-40B4-BE49-F238E27FC236}">
                  <a16:creationId xmlns:a16="http://schemas.microsoft.com/office/drawing/2014/main" id="{C90D9ACA-8633-41CB-AF86-F94321B036C4}"/>
                </a:ext>
              </a:extLst>
            </xdr:cNvPr>
            <xdr:cNvSpPr txBox="1"/>
          </xdr:nvSpPr>
          <xdr:spPr>
            <a:xfrm>
              <a:off x="2809875" y="27908474"/>
              <a:ext cx="1793440" cy="3837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𝑊_𝐿=1/(1−</a:t>
              </a:r>
              <a:r>
                <a:rPr lang="en-US" sz="1100" b="0" i="0">
                  <a:latin typeface="Cambria Math" panose="02040503050406030204" pitchFamily="18" charset="0"/>
                  <a:ea typeface="Cambria Math" panose="02040503050406030204" pitchFamily="18" charset="0"/>
                </a:rPr>
                <a:t>𝛼) (𝐿/𝑤_𝑙𝑎𝑦𝑒𝑟 −1)+1</a:t>
              </a:r>
              <a:endParaRPr lang="en-US" sz="1100"/>
            </a:p>
          </xdr:txBody>
        </xdr:sp>
      </mc:Fallback>
    </mc:AlternateContent>
    <xdr:clientData/>
  </xdr:oneCellAnchor>
  <xdr:oneCellAnchor>
    <xdr:from>
      <xdr:col>4</xdr:col>
      <xdr:colOff>0</xdr:colOff>
      <xdr:row>70</xdr:row>
      <xdr:rowOff>156882</xdr:rowOff>
    </xdr:from>
    <xdr:ext cx="2525435" cy="475964"/>
    <mc:AlternateContent xmlns:mc="http://schemas.openxmlformats.org/markup-compatibility/2006" xmlns:a14="http://schemas.microsoft.com/office/drawing/2010/main">
      <mc:Choice Requires="a14">
        <xdr:sp macro="" textlink="">
          <xdr:nvSpPr>
            <xdr:cNvPr id="50" name="TextBox 49">
              <a:extLst>
                <a:ext uri="{FF2B5EF4-FFF2-40B4-BE49-F238E27FC236}">
                  <a16:creationId xmlns:a16="http://schemas.microsoft.com/office/drawing/2014/main" id="{00000000-0008-0000-0700-000032000000}"/>
                </a:ext>
              </a:extLst>
            </xdr:cNvPr>
            <xdr:cNvSpPr txBox="1"/>
          </xdr:nvSpPr>
          <xdr:spPr>
            <a:xfrm>
              <a:off x="2809875" y="29613897"/>
              <a:ext cx="2525435"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12</m:t>
                        </m:r>
                      </m:den>
                    </m:f>
                    <m:nary>
                      <m:naryPr>
                        <m:chr m:val="∑"/>
                        <m:ctrlPr>
                          <a:rPr lang="en-US" sz="1100" b="0" i="1">
                            <a:latin typeface="Cambria Math" panose="02040503050406030204" pitchFamily="18" charset="0"/>
                          </a:rPr>
                        </m:ctrlPr>
                      </m:naryPr>
                      <m:sub>
                        <m:r>
                          <m:rPr>
                            <m:brk m:alnAt="23"/>
                          </m:rPr>
                          <a:rPr lang="en-US" sz="1100" b="0" i="1">
                            <a:latin typeface="Cambria Math" panose="02040503050406030204" pitchFamily="18" charset="0"/>
                          </a:rPr>
                          <m:t>𝑖</m:t>
                        </m:r>
                        <m:r>
                          <a:rPr lang="en-US" sz="1100" b="0" i="1">
                            <a:latin typeface="Cambria Math" panose="02040503050406030204" pitchFamily="18" charset="0"/>
                          </a:rPr>
                          <m:t>=1</m:t>
                        </m:r>
                      </m:sub>
                      <m:sup>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𝑁</m:t>
                            </m:r>
                          </m:sub>
                        </m:sSub>
                      </m:sup>
                      <m:e>
                        <m:d>
                          <m:dPr>
                            <m:begChr m:val="{"/>
                            <m:endChr m:val="}"/>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𝜋</m:t>
                            </m:r>
                            <m:r>
                              <a:rPr lang="en-US" sz="1100" b="0" i="1">
                                <a:solidFill>
                                  <a:schemeClr val="tx1"/>
                                </a:solidFill>
                                <a:effectLst/>
                                <a:latin typeface="Cambria Math" panose="02040503050406030204" pitchFamily="18" charset="0"/>
                                <a:ea typeface="+mn-ea"/>
                                <a:cs typeface="+mn-cs"/>
                              </a:rPr>
                              <m:t>∗</m:t>
                            </m:r>
                            <m:d>
                              <m:dPr>
                                <m:begChr m:val="["/>
                                <m:endChr m:val="]"/>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𝐷</m:t>
                                </m:r>
                                <m:r>
                                  <a:rPr lang="en-US" sz="1100" b="0" i="1">
                                    <a:solidFill>
                                      <a:schemeClr val="tx1"/>
                                    </a:solidFill>
                                    <a:effectLst/>
                                    <a:latin typeface="Cambria Math" panose="02040503050406030204" pitchFamily="18" charset="0"/>
                                    <a:ea typeface="+mn-ea"/>
                                    <a:cs typeface="+mn-cs"/>
                                  </a:rPr>
                                  <m:t>+2∗</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𝑖</m:t>
                                </m:r>
                                <m:r>
                                  <a:rPr lang="en-US" sz="1100" b="0" i="1">
                                    <a:solidFill>
                                      <a:schemeClr val="tx1"/>
                                    </a:solidFill>
                                    <a:effectLst/>
                                    <a:latin typeface="Cambria Math" panose="02040503050406030204" pitchFamily="18" charset="0"/>
                                    <a:ea typeface="+mn-ea"/>
                                    <a:cs typeface="+mn-cs"/>
                                  </a:rPr>
                                  <m:t>−1)</m:t>
                                </m:r>
                              </m:e>
                            </m:d>
                          </m:e>
                        </m:d>
                      </m:e>
                    </m:nary>
                  </m:oMath>
                </m:oMathPara>
              </a14:m>
              <a:endParaRPr lang="en-US" sz="1100"/>
            </a:p>
          </xdr:txBody>
        </xdr:sp>
      </mc:Choice>
      <mc:Fallback xmlns="">
        <xdr:sp macro="" textlink="">
          <xdr:nvSpPr>
            <xdr:cNvPr id="50" name="TextBox 49">
              <a:extLst>
                <a:ext uri="{FF2B5EF4-FFF2-40B4-BE49-F238E27FC236}">
                  <a16:creationId xmlns:a16="http://schemas.microsoft.com/office/drawing/2014/main" id="{46223303-1567-4CB8-8908-C8DD08C508F8}"/>
                </a:ext>
              </a:extLst>
            </xdr:cNvPr>
            <xdr:cNvSpPr txBox="1"/>
          </xdr:nvSpPr>
          <xdr:spPr>
            <a:xfrm>
              <a:off x="2809875" y="29613897"/>
              <a:ext cx="2525435"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1</a:t>
              </a:r>
              <a:r>
                <a:rPr lang="en-US" sz="1100" b="0" i="0">
                  <a:latin typeface="Cambria Math" panose="02040503050406030204" pitchFamily="18" charset="0"/>
                </a:rPr>
                <a:t>=1/12 ∑_(𝑖=1)^(𝑊_𝑁)</a:t>
              </a:r>
              <a:r>
                <a:rPr lang="en-US" sz="1100" b="0" i="0">
                  <a:solidFill>
                    <a:schemeClr val="tx1"/>
                  </a:solidFill>
                  <a:effectLst/>
                  <a:latin typeface="Cambria Math" panose="02040503050406030204" pitchFamily="18" charset="0"/>
                  <a:ea typeface="+mn-ea"/>
                  <a:cs typeface="+mn-cs"/>
                </a:rPr>
                <a:t>▒{𝜋∗[𝐷+2∗𝑡_𝑙𝑎𝑦𝑒𝑟∗(𝑖−1)]} </a:t>
              </a:r>
              <a:endParaRPr lang="en-US" sz="1100"/>
            </a:p>
          </xdr:txBody>
        </xdr:sp>
      </mc:Fallback>
    </mc:AlternateContent>
    <xdr:clientData/>
  </xdr:oneCellAnchor>
  <xdr:oneCellAnchor>
    <xdr:from>
      <xdr:col>4</xdr:col>
      <xdr:colOff>0</xdr:colOff>
      <xdr:row>71</xdr:row>
      <xdr:rowOff>291353</xdr:rowOff>
    </xdr:from>
    <xdr:ext cx="881716" cy="176972"/>
    <mc:AlternateContent xmlns:mc="http://schemas.openxmlformats.org/markup-compatibility/2006" xmlns:a14="http://schemas.microsoft.com/office/drawing/2010/main">
      <mc:Choice Requires="a14">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2809875" y="30510368"/>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1,</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sub>
                    </m:sSub>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oMath>
                </m:oMathPara>
              </a14:m>
              <a:endParaRPr lang="en-US" sz="1100"/>
            </a:p>
          </xdr:txBody>
        </xdr:sp>
      </mc:Choice>
      <mc:Fallback xmlns="">
        <xdr:sp macro="" textlink="">
          <xdr:nvSpPr>
            <xdr:cNvPr id="51" name="TextBox 50">
              <a:extLst>
                <a:ext uri="{FF2B5EF4-FFF2-40B4-BE49-F238E27FC236}">
                  <a16:creationId xmlns:a16="http://schemas.microsoft.com/office/drawing/2014/main" id="{5F523A3D-2EEB-48EC-B9FF-9BAA1E925725}"/>
                </a:ext>
              </a:extLst>
            </xdr:cNvPr>
            <xdr:cNvSpPr txBox="1"/>
          </xdr:nvSpPr>
          <xdr:spPr>
            <a:xfrm>
              <a:off x="2809875" y="30510368"/>
              <a:ext cx="881716"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1,𝑇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𝛿_1∗𝑊_𝐿</a:t>
              </a:r>
              <a:endParaRPr lang="en-US" sz="1100"/>
            </a:p>
          </xdr:txBody>
        </xdr:sp>
      </mc:Fallback>
    </mc:AlternateContent>
    <xdr:clientData/>
  </xdr:oneCellAnchor>
  <xdr:oneCellAnchor>
    <xdr:from>
      <xdr:col>3</xdr:col>
      <xdr:colOff>246530</xdr:colOff>
      <xdr:row>73</xdr:row>
      <xdr:rowOff>179294</xdr:rowOff>
    </xdr:from>
    <xdr:ext cx="1579600" cy="374270"/>
    <mc:AlternateContent xmlns:mc="http://schemas.openxmlformats.org/markup-compatibility/2006" xmlns:a14="http://schemas.microsoft.com/office/drawing/2010/main">
      <mc:Choice Requires="a14">
        <xdr:sp macro="" textlink="">
          <xdr:nvSpPr>
            <xdr:cNvPr id="52" name="TextBox 51">
              <a:extLst>
                <a:ext uri="{FF2B5EF4-FFF2-40B4-BE49-F238E27FC236}">
                  <a16:creationId xmlns:a16="http://schemas.microsoft.com/office/drawing/2014/main" id="{00000000-0008-0000-0700-000034000000}"/>
                </a:ext>
              </a:extLst>
            </xdr:cNvPr>
            <xdr:cNvSpPr txBox="1"/>
          </xdr:nvSpPr>
          <xdr:spPr>
            <a:xfrm>
              <a:off x="2389655" y="31375574"/>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𝐴</m:t>
                        </m:r>
                      </m:e>
                      <m:sub>
                        <m:r>
                          <a:rPr lang="en-US" sz="1100" b="0" i="1">
                            <a:solidFill>
                              <a:schemeClr val="tx1"/>
                            </a:solidFill>
                            <a:effectLst/>
                            <a:latin typeface="Cambria Math" panose="02040503050406030204" pitchFamily="18" charset="0"/>
                            <a:ea typeface="Cambria Math" panose="02040503050406030204" pitchFamily="18" charset="0"/>
                            <a:cs typeface="+mn-cs"/>
                          </a:rPr>
                          <m:t>𝑐𝑜𝑛𝑠𝑡</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𝐿</m:t>
                            </m:r>
                          </m:e>
                          <m:sub>
                            <m:r>
                              <a:rPr lang="en-US" sz="1100" b="0" i="1">
                                <a:solidFill>
                                  <a:schemeClr val="tx1"/>
                                </a:solidFill>
                                <a:effectLst/>
                                <a:latin typeface="Cambria Math" panose="02040503050406030204" pitchFamily="18" charset="0"/>
                                <a:ea typeface="+mn-ea"/>
                                <a:cs typeface="+mn-cs"/>
                              </a:rPr>
                              <m:t>𝑑𝑒𝑓𝑒𝑐𝑡</m:t>
                            </m:r>
                          </m:sub>
                        </m:sSub>
                        <m:r>
                          <a:rPr lang="en-US" sz="1100" b="0" i="1">
                            <a:solidFill>
                              <a:schemeClr val="tx1"/>
                            </a:solidFill>
                            <a:effectLst/>
                            <a:latin typeface="Cambria Math" panose="02040503050406030204" pitchFamily="18" charset="0"/>
                            <a:ea typeface="+mn-ea"/>
                            <a:cs typeface="+mn-cs"/>
                          </a:rPr>
                          <m:t>+4</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num>
                      <m:den>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den>
                    </m:f>
                  </m:oMath>
                </m:oMathPara>
              </a14:m>
              <a:endParaRPr lang="en-US" sz="1100"/>
            </a:p>
          </xdr:txBody>
        </xdr:sp>
      </mc:Choice>
      <mc:Fallback xmlns="">
        <xdr:sp macro="" textlink="">
          <xdr:nvSpPr>
            <xdr:cNvPr id="52" name="TextBox 51">
              <a:extLst>
                <a:ext uri="{FF2B5EF4-FFF2-40B4-BE49-F238E27FC236}">
                  <a16:creationId xmlns:a16="http://schemas.microsoft.com/office/drawing/2014/main" id="{393CDA2B-2D74-4FDE-8AE8-3B45266FBA92}"/>
                </a:ext>
              </a:extLst>
            </xdr:cNvPr>
            <xdr:cNvSpPr txBox="1"/>
          </xdr:nvSpPr>
          <xdr:spPr>
            <a:xfrm>
              <a:off x="2389655" y="31375574"/>
              <a:ext cx="1579600" cy="3742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𝐴_</a:t>
              </a:r>
              <a:r>
                <a:rPr lang="en-US" sz="1100" b="0" i="0">
                  <a:solidFill>
                    <a:schemeClr val="tx1"/>
                  </a:solidFill>
                  <a:effectLst/>
                  <a:latin typeface="Cambria Math" panose="02040503050406030204" pitchFamily="18" charset="0"/>
                  <a:ea typeface="Cambria Math" panose="02040503050406030204" pitchFamily="18" charset="0"/>
                  <a:cs typeface="+mn-cs"/>
                </a:rPr>
                <a:t>𝑐𝑜𝑛𝑠𝑡</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(𝐿_𝑑𝑒𝑓𝑒𝑐𝑡+4𝑤_𝑙𝑎𝑦𝑒𝑟)/((1−𝛼)∗𝑤_𝑙𝑎𝑦𝑒𝑟 )</a:t>
              </a:r>
              <a:endParaRPr lang="en-US" sz="1100"/>
            </a:p>
          </xdr:txBody>
        </xdr:sp>
      </mc:Fallback>
    </mc:AlternateContent>
    <xdr:clientData/>
  </xdr:oneCellAnchor>
  <xdr:oneCellAnchor>
    <xdr:from>
      <xdr:col>3</xdr:col>
      <xdr:colOff>224118</xdr:colOff>
      <xdr:row>74</xdr:row>
      <xdr:rowOff>112059</xdr:rowOff>
    </xdr:from>
    <xdr:ext cx="4694170" cy="475964"/>
    <mc:AlternateContent xmlns:mc="http://schemas.openxmlformats.org/markup-compatibility/2006" xmlns:a14="http://schemas.microsoft.com/office/drawing/2010/main">
      <mc:Choice Requires="a14">
        <xdr:sp macro="" textlink="">
          <xdr:nvSpPr>
            <xdr:cNvPr id="53" name="TextBox 52">
              <a:extLst>
                <a:ext uri="{FF2B5EF4-FFF2-40B4-BE49-F238E27FC236}">
                  <a16:creationId xmlns:a16="http://schemas.microsoft.com/office/drawing/2014/main" id="{00000000-0008-0000-0700-000035000000}"/>
                </a:ext>
              </a:extLst>
            </xdr:cNvPr>
            <xdr:cNvSpPr txBox="1"/>
          </xdr:nvSpPr>
          <xdr:spPr>
            <a:xfrm>
              <a:off x="2371053" y="32072244"/>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12</m:t>
                        </m:r>
                      </m:den>
                    </m:f>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den>
                    </m:f>
                    <m:nary>
                      <m:naryPr>
                        <m:chr m:val="∑"/>
                        <m:ctrlPr>
                          <a:rPr lang="en-US" sz="1100" b="0" i="1">
                            <a:latin typeface="Cambria Math" panose="02040503050406030204" pitchFamily="18" charset="0"/>
                          </a:rPr>
                        </m:ctrlPr>
                      </m:naryPr>
                      <m:sub>
                        <m:r>
                          <m:rPr>
                            <m:brk m:alnAt="23"/>
                          </m:rPr>
                          <a:rPr lang="en-US" sz="1100" b="0" i="1">
                            <a:latin typeface="Cambria Math" panose="02040503050406030204" pitchFamily="18" charset="0"/>
                          </a:rPr>
                          <m:t>𝑖</m:t>
                        </m:r>
                        <m:r>
                          <a:rPr lang="en-US" sz="1100" b="0" i="1">
                            <a:latin typeface="Cambria Math" panose="02040503050406030204" pitchFamily="18" charset="0"/>
                          </a:rPr>
                          <m:t>=1</m:t>
                        </m:r>
                      </m:sub>
                      <m:sup>
                        <m:sSub>
                          <m:sSubPr>
                            <m:ctrlPr>
                              <a:rPr lang="en-US" sz="1100" b="0" i="1">
                                <a:latin typeface="Cambria Math" panose="02040503050406030204" pitchFamily="18" charset="0"/>
                              </a:rPr>
                            </m:ctrlPr>
                          </m:sSubPr>
                          <m:e>
                            <m:r>
                              <a:rPr lang="en-US" sz="1100" b="0" i="1">
                                <a:latin typeface="Cambria Math" panose="02040503050406030204" pitchFamily="18" charset="0"/>
                              </a:rPr>
                              <m:t>𝑊</m:t>
                            </m:r>
                          </m:e>
                          <m:sub>
                            <m:r>
                              <a:rPr lang="en-US" sz="1100" b="0" i="1">
                                <a:latin typeface="Cambria Math" panose="02040503050406030204" pitchFamily="18" charset="0"/>
                              </a:rPr>
                              <m:t>𝑁</m:t>
                            </m:r>
                          </m:sub>
                        </m:sSub>
                      </m:sup>
                      <m:e>
                        <m:d>
                          <m:dPr>
                            <m:begChr m:val="["/>
                            <m:endChr m:val="]"/>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𝐴</m:t>
                                </m:r>
                              </m:e>
                              <m:sub>
                                <m:r>
                                  <a:rPr lang="en-US" sz="1100" b="0" i="1">
                                    <a:latin typeface="Cambria Math" panose="02040503050406030204" pitchFamily="18" charset="0"/>
                                  </a:rPr>
                                  <m:t>𝑐𝑜𝑛𝑠𝑡</m:t>
                                </m:r>
                              </m:sub>
                            </m:sSub>
                            <m:rad>
                              <m:radPr>
                                <m:degHide m:val="on"/>
                                <m:ctrlPr>
                                  <a:rPr lang="en-US" sz="1100" b="0" i="1">
                                    <a:solidFill>
                                      <a:schemeClr val="tx1"/>
                                    </a:solidFill>
                                    <a:effectLst/>
                                    <a:latin typeface="Cambria Math" panose="02040503050406030204" pitchFamily="18" charset="0"/>
                                    <a:ea typeface="+mn-ea"/>
                                    <a:cs typeface="+mn-cs"/>
                                  </a:rPr>
                                </m:ctrlPr>
                              </m:radPr>
                              <m:deg/>
                              <m:e>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𝜋</m:t>
                                        </m:r>
                                        <m:d>
                                          <m:dPr>
                                            <m:begChr m:val="["/>
                                            <m:endChr m:val="]"/>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𝐷</m:t>
                                            </m:r>
                                            <m:r>
                                              <a:rPr lang="en-US" sz="1100" b="0" i="1">
                                                <a:solidFill>
                                                  <a:schemeClr val="tx1"/>
                                                </a:solidFill>
                                                <a:effectLst/>
                                                <a:latin typeface="Cambria Math" panose="02040503050406030204" pitchFamily="18" charset="0"/>
                                                <a:ea typeface="+mn-ea"/>
                                                <a:cs typeface="+mn-cs"/>
                                              </a:rPr>
                                              <m:t>+2∗</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𝑡</m:t>
                                                </m:r>
                                              </m:e>
                                              <m:sub>
                                                <m:r>
                                                  <a:rPr lang="en-US" sz="1100" b="0" i="1">
                                                    <a:solidFill>
                                                      <a:schemeClr val="tx1"/>
                                                    </a:solidFill>
                                                    <a:effectLst/>
                                                    <a:latin typeface="Cambria Math" panose="02040503050406030204" pitchFamily="18" charset="0"/>
                                                    <a:ea typeface="+mn-ea"/>
                                                    <a:cs typeface="+mn-cs"/>
                                                  </a:rPr>
                                                  <m:t>𝑙𝑎𝑦𝑒𝑟</m:t>
                                                </m:r>
                                              </m:sub>
                                            </m:sSub>
                                            <m:r>
                                              <a:rPr lang="en-US" sz="1100" b="0" i="1">
                                                <a:solidFill>
                                                  <a:schemeClr val="tx1"/>
                                                </a:solidFill>
                                                <a:effectLst/>
                                                <a:latin typeface="Cambria Math" panose="02040503050406030204" pitchFamily="18" charset="0"/>
                                                <a:ea typeface="+mn-ea"/>
                                                <a:cs typeface="+mn-cs"/>
                                              </a:rPr>
                                              <m:t>∗(</m:t>
                                            </m:r>
                                            <m:r>
                                              <a:rPr lang="en-US" sz="1100" b="0" i="1">
                                                <a:solidFill>
                                                  <a:schemeClr val="tx1"/>
                                                </a:solidFill>
                                                <a:effectLst/>
                                                <a:latin typeface="Cambria Math" panose="02040503050406030204" pitchFamily="18" charset="0"/>
                                                <a:ea typeface="+mn-ea"/>
                                                <a:cs typeface="+mn-cs"/>
                                              </a:rPr>
                                              <m:t>𝑖</m:t>
                                            </m:r>
                                            <m:r>
                                              <a:rPr lang="en-US" sz="1100" b="0" i="1">
                                                <a:solidFill>
                                                  <a:schemeClr val="tx1"/>
                                                </a:solidFill>
                                                <a:effectLst/>
                                                <a:latin typeface="Cambria Math" panose="02040503050406030204" pitchFamily="18" charset="0"/>
                                                <a:ea typeface="+mn-ea"/>
                                                <a:cs typeface="+mn-cs"/>
                                              </a:rPr>
                                              <m:t>−1)</m:t>
                                            </m:r>
                                          </m:e>
                                        </m:d>
                                      </m:e>
                                    </m:d>
                                  </m:e>
                                  <m:sup>
                                    <m:r>
                                      <a:rPr lang="en-US" sz="1100" b="0" i="1">
                                        <a:solidFill>
                                          <a:schemeClr val="tx1"/>
                                        </a:solidFill>
                                        <a:effectLst/>
                                        <a:latin typeface="Cambria Math" panose="02040503050406030204" pitchFamily="18" charset="0"/>
                                        <a:ea typeface="+mn-ea"/>
                                        <a:cs typeface="+mn-cs"/>
                                      </a:rPr>
                                      <m:t>2</m:t>
                                    </m:r>
                                  </m:sup>
                                </m:sSup>
                                <m:r>
                                  <a:rPr lang="en-US" sz="1100" b="0" i="1">
                                    <a:solidFill>
                                      <a:schemeClr val="tx1"/>
                                    </a:solidFill>
                                    <a:effectLst/>
                                    <a:latin typeface="Cambria Math" panose="02040503050406030204" pitchFamily="18" charset="0"/>
                                    <a:ea typeface="+mn-ea"/>
                                    <a:cs typeface="+mn-cs"/>
                                  </a:rPr>
                                  <m:t>+</m:t>
                                </m:r>
                                <m:sSup>
                                  <m:sSupPr>
                                    <m:ctrlPr>
                                      <a:rPr lang="en-US" sz="1100" b="0" i="1">
                                        <a:solidFill>
                                          <a:schemeClr val="tx1"/>
                                        </a:solidFill>
                                        <a:effectLst/>
                                        <a:latin typeface="Cambria Math" panose="02040503050406030204" pitchFamily="18" charset="0"/>
                                        <a:ea typeface="+mn-ea"/>
                                        <a:cs typeface="+mn-cs"/>
                                      </a:rPr>
                                    </m:ctrlPr>
                                  </m:sSupPr>
                                  <m:e>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𝛼</m:t>
                                        </m:r>
                                        <m:r>
                                          <a:rPr lang="en-US" sz="1100" b="0" i="1">
                                            <a:solidFill>
                                              <a:schemeClr val="tx1"/>
                                            </a:solidFill>
                                            <a:effectLst/>
                                            <a:latin typeface="Cambria Math" panose="02040503050406030204" pitchFamily="18" charset="0"/>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𝑤</m:t>
                                            </m:r>
                                          </m:e>
                                          <m:sub>
                                            <m:r>
                                              <a:rPr lang="en-US" sz="1100" b="0" i="1">
                                                <a:solidFill>
                                                  <a:schemeClr val="tx1"/>
                                                </a:solidFill>
                                                <a:effectLst/>
                                                <a:latin typeface="Cambria Math" panose="02040503050406030204" pitchFamily="18" charset="0"/>
                                                <a:ea typeface="+mn-ea"/>
                                                <a:cs typeface="+mn-cs"/>
                                              </a:rPr>
                                              <m:t>𝑙𝑎𝑦𝑒𝑟</m:t>
                                            </m:r>
                                          </m:sub>
                                        </m:sSub>
                                      </m:e>
                                    </m:d>
                                  </m:e>
                                  <m:sup>
                                    <m:r>
                                      <a:rPr lang="en-US" sz="1100" b="0" i="1">
                                        <a:solidFill>
                                          <a:schemeClr val="tx1"/>
                                        </a:solidFill>
                                        <a:effectLst/>
                                        <a:latin typeface="Cambria Math" panose="02040503050406030204" pitchFamily="18" charset="0"/>
                                        <a:ea typeface="+mn-ea"/>
                                        <a:cs typeface="+mn-cs"/>
                                      </a:rPr>
                                      <m:t>2</m:t>
                                    </m:r>
                                  </m:sup>
                                </m:sSup>
                              </m:e>
                            </m:rad>
                          </m:e>
                        </m:d>
                      </m:e>
                    </m:nary>
                  </m:oMath>
                </m:oMathPara>
              </a14:m>
              <a:endParaRPr lang="en-US" sz="1100"/>
            </a:p>
          </xdr:txBody>
        </xdr:sp>
      </mc:Choice>
      <mc:Fallback xmlns="">
        <xdr:sp macro="" textlink="">
          <xdr:nvSpPr>
            <xdr:cNvPr id="53" name="TextBox 52">
              <a:extLst>
                <a:ext uri="{FF2B5EF4-FFF2-40B4-BE49-F238E27FC236}">
                  <a16:creationId xmlns:a16="http://schemas.microsoft.com/office/drawing/2014/main" id="{CB3DDA2B-4776-4788-9F32-2122D0B9B3AF}"/>
                </a:ext>
              </a:extLst>
            </xdr:cNvPr>
            <xdr:cNvSpPr txBox="1"/>
          </xdr:nvSpPr>
          <xdr:spPr>
            <a:xfrm>
              <a:off x="2371053" y="32072244"/>
              <a:ext cx="4694170" cy="475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=1/12∗1/2 ∑_(𝑖=1)^(𝑊_𝑁)</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𝐴_𝑐𝑜𝑛𝑠𝑡</a:t>
              </a:r>
              <a:r>
                <a:rPr lang="en-US" sz="1100" b="0" i="0">
                  <a:solidFill>
                    <a:schemeClr val="tx1"/>
                  </a:solidFill>
                  <a:effectLst/>
                  <a:latin typeface="Cambria Math" panose="02040503050406030204" pitchFamily="18" charset="0"/>
                  <a:ea typeface="+mn-ea"/>
                  <a:cs typeface="+mn-cs"/>
                </a:rPr>
                <a:t> √((𝜋[𝐷+2∗𝑡_𝑙𝑎𝑦𝑒𝑟∗(𝑖−1)])^2+((1−𝛼)∗𝑤_𝑙𝑎𝑦𝑒𝑟 )^2 )] </a:t>
              </a:r>
              <a:endParaRPr lang="en-US" sz="1100"/>
            </a:p>
          </xdr:txBody>
        </xdr:sp>
      </mc:Fallback>
    </mc:AlternateContent>
    <xdr:clientData/>
  </xdr:oneCellAnchor>
  <xdr:oneCellAnchor>
    <xdr:from>
      <xdr:col>8</xdr:col>
      <xdr:colOff>168089</xdr:colOff>
      <xdr:row>73</xdr:row>
      <xdr:rowOff>280147</xdr:rowOff>
    </xdr:from>
    <xdr:ext cx="401007" cy="176972"/>
    <mc:AlternateContent xmlns:mc="http://schemas.openxmlformats.org/markup-compatibility/2006" xmlns:a14="http://schemas.microsoft.com/office/drawing/2010/main">
      <mc:Choice Requires="a14">
        <xdr:sp macro="" textlink="">
          <xdr:nvSpPr>
            <xdr:cNvPr id="54" name="TextBox 53">
              <a:extLst>
                <a:ext uri="{FF2B5EF4-FFF2-40B4-BE49-F238E27FC236}">
                  <a16:creationId xmlns:a16="http://schemas.microsoft.com/office/drawing/2014/main" id="{00000000-0008-0000-0700-000036000000}"/>
                </a:ext>
              </a:extLst>
            </xdr:cNvPr>
            <xdr:cNvSpPr txBox="1"/>
          </xdr:nvSpPr>
          <xdr:spPr>
            <a:xfrm>
              <a:off x="5724974" y="31478332"/>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2,</m:t>
                        </m:r>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oMath>
                </m:oMathPara>
              </a14:m>
              <a:endParaRPr lang="en-US" sz="1100"/>
            </a:p>
          </xdr:txBody>
        </xdr:sp>
      </mc:Choice>
      <mc:Fallback xmlns="">
        <xdr:sp macro="" textlink="">
          <xdr:nvSpPr>
            <xdr:cNvPr id="54" name="TextBox 53">
              <a:extLst>
                <a:ext uri="{FF2B5EF4-FFF2-40B4-BE49-F238E27FC236}">
                  <a16:creationId xmlns:a16="http://schemas.microsoft.com/office/drawing/2014/main" id="{8AF84E2C-13E4-41C2-A2A3-89D8DA36BE9B}"/>
                </a:ext>
              </a:extLst>
            </xdr:cNvPr>
            <xdr:cNvSpPr txBox="1"/>
          </xdr:nvSpPr>
          <xdr:spPr>
            <a:xfrm>
              <a:off x="5724974" y="31478332"/>
              <a:ext cx="401007" cy="1769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2,𝑇</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endParaRPr lang="en-US" sz="1100"/>
            </a:p>
          </xdr:txBody>
        </xdr:sp>
      </mc:Fallback>
    </mc:AlternateContent>
    <xdr:clientData/>
  </xdr:oneCellAnchor>
  <xdr:oneCellAnchor>
    <xdr:from>
      <xdr:col>4</xdr:col>
      <xdr:colOff>0</xdr:colOff>
      <xdr:row>76</xdr:row>
      <xdr:rowOff>168088</xdr:rowOff>
    </xdr:from>
    <xdr:ext cx="2740237" cy="439608"/>
    <mc:AlternateContent xmlns:mc="http://schemas.openxmlformats.org/markup-compatibility/2006" xmlns:a14="http://schemas.microsoft.com/office/drawing/2010/main">
      <mc:Choice Requires="a14">
        <xdr:sp macro="" textlink="">
          <xdr:nvSpPr>
            <xdr:cNvPr id="55" name="TextBox 54">
              <a:extLst>
                <a:ext uri="{FF2B5EF4-FFF2-40B4-BE49-F238E27FC236}">
                  <a16:creationId xmlns:a16="http://schemas.microsoft.com/office/drawing/2014/main" id="{00000000-0008-0000-0700-000037000000}"/>
                </a:ext>
              </a:extLst>
            </xdr:cNvPr>
            <xdr:cNvSpPr txBox="1"/>
          </xdr:nvSpPr>
          <xdr:spPr>
            <a:xfrm>
              <a:off x="2809875" y="33099823"/>
              <a:ext cx="2740237"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1,</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Layer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or</m:t>
                            </m:r>
                            <m:r>
                              <m:rPr>
                                <m:nor/>
                              </m:rPr>
                              <a:rPr lang="en-US" sz="1100" b="0" i="0">
                                <a:solidFill>
                                  <a:schemeClr val="tx1"/>
                                </a:solidFill>
                                <a:effectLst/>
                                <a:latin typeface="+mn-lt"/>
                                <a:ea typeface="+mn-ea"/>
                                <a:cs typeface="+mn-cs"/>
                              </a:rPr>
                              <m:t> </m:t>
                            </m:r>
                            <m:r>
                              <m:rPr>
                                <m:nor/>
                              </m:rPr>
                              <a:rPr lang="en-US" sz="1100" b="0" i="0">
                                <a:solidFill>
                                  <a:schemeClr val="tx1"/>
                                </a:solidFill>
                                <a:effectLst/>
                                <a:latin typeface="+mn-lt"/>
                                <a:ea typeface="+mn-ea"/>
                                <a:cs typeface="+mn-cs"/>
                              </a:rPr>
                              <m:t>Stagger</m:t>
                            </m:r>
                          </m:e>
                          <m:e>
                            <m:r>
                              <a:rPr lang="en-US" sz="1100" b="0" i="1">
                                <a:latin typeface="Cambria Math" panose="02040503050406030204" pitchFamily="18" charset="0"/>
                              </a:rPr>
                              <m:t>&amp;</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2,</m:t>
                                </m:r>
                                <m:r>
                                  <a:rPr lang="en-US" sz="1100" b="0" i="1">
                                    <a:solidFill>
                                      <a:schemeClr val="tx1"/>
                                    </a:solidFill>
                                    <a:effectLst/>
                                    <a:latin typeface="Cambria Math" panose="02040503050406030204" pitchFamily="18" charset="0"/>
                                    <a:ea typeface="+mn-ea"/>
                                    <a:cs typeface="+mn-cs"/>
                                  </a:rPr>
                                  <m:t>𝑇</m:t>
                                </m:r>
                              </m:sub>
                            </m:sSub>
                            <m:r>
                              <a:rPr lang="en-US" sz="1100" b="0" i="1">
                                <a:latin typeface="Cambria Math" panose="02040503050406030204" pitchFamily="18" charset="0"/>
                              </a:rPr>
                              <m:t>,  </m:t>
                            </m:r>
                            <m:r>
                              <m:rPr>
                                <m:nor/>
                              </m:rPr>
                              <a:rPr lang="en-US" sz="1100" b="0" i="0">
                                <a:latin typeface="Cambria Math" panose="02040503050406030204" pitchFamily="18" charset="0"/>
                              </a:rPr>
                              <m:t>Technique</m:t>
                            </m:r>
                            <m:r>
                              <a:rPr lang="en-US" sz="1100" b="0" i="1">
                                <a:latin typeface="Cambria Math" panose="02040503050406030204" pitchFamily="18" charset="0"/>
                              </a:rPr>
                              <m:t>=</m:t>
                            </m:r>
                            <m:r>
                              <m:rPr>
                                <m:nor/>
                              </m:rPr>
                              <a:rPr lang="en-US" sz="1100" b="0" i="0">
                                <a:solidFill>
                                  <a:schemeClr val="tx1"/>
                                </a:solidFill>
                                <a:effectLst/>
                                <a:latin typeface="+mn-lt"/>
                                <a:ea typeface="+mn-ea"/>
                                <a:cs typeface="+mn-cs"/>
                              </a:rPr>
                              <m:t>Spiral</m:t>
                            </m:r>
                          </m:e>
                        </m:eqArr>
                      </m:e>
                    </m:d>
                  </m:oMath>
                </m:oMathPara>
              </a14:m>
              <a:endParaRPr lang="en-US" sz="1100"/>
            </a:p>
          </xdr:txBody>
        </xdr:sp>
      </mc:Choice>
      <mc:Fallback xmlns="">
        <xdr:sp macro="" textlink="">
          <xdr:nvSpPr>
            <xdr:cNvPr id="55" name="TextBox 54">
              <a:extLst>
                <a:ext uri="{FF2B5EF4-FFF2-40B4-BE49-F238E27FC236}">
                  <a16:creationId xmlns:a16="http://schemas.microsoft.com/office/drawing/2014/main" id="{E1937563-0E49-42E4-AE13-B516CEA7C3D7}"/>
                </a:ext>
              </a:extLst>
            </xdr:cNvPr>
            <xdr:cNvSpPr txBox="1"/>
          </xdr:nvSpPr>
          <xdr:spPr>
            <a:xfrm>
              <a:off x="2809875" y="33099823"/>
              <a:ext cx="2740237" cy="4396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𝛿_(1,𝑇)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"Layer or Stagger</a:t>
              </a:r>
              <a:r>
                <a:rPr lang="en-US" sz="1100" b="0" i="0">
                  <a:solidFill>
                    <a:schemeClr val="tx1"/>
                  </a:solidFill>
                  <a:effectLst/>
                  <a:latin typeface="Cambria Math" panose="02040503050406030204" pitchFamily="18" charset="0"/>
                  <a:ea typeface="+mn-ea"/>
                  <a:cs typeface="+mn-cs"/>
                </a:rPr>
                <a:t>" @</a:t>
              </a:r>
              <a:r>
                <a:rPr lang="en-US" sz="1100" b="0" i="0">
                  <a:latin typeface="Cambria Math" panose="02040503050406030204" pitchFamily="18" charset="0"/>
                </a:rPr>
                <a:t>&amp;</a:t>
              </a:r>
              <a:r>
                <a:rPr lang="en-US" sz="1100" b="0" i="0">
                  <a:solidFill>
                    <a:schemeClr val="tx1"/>
                  </a:solidFill>
                  <a:effectLst/>
                  <a:latin typeface="Cambria Math" panose="02040503050406030204" pitchFamily="18" charset="0"/>
                  <a:ea typeface="+mn-ea"/>
                  <a:cs typeface="+mn-cs"/>
                </a:rPr>
                <a:t>𝛿_(2,𝑇)</a:t>
              </a:r>
              <a:r>
                <a:rPr lang="en-US" sz="1100" b="0" i="0">
                  <a:latin typeface="Cambria Math" panose="02040503050406030204" pitchFamily="18" charset="0"/>
                </a:rPr>
                <a:t>,  "Technique" =</a:t>
              </a:r>
              <a:r>
                <a:rPr lang="en-US" sz="1100" b="0" i="0">
                  <a:solidFill>
                    <a:schemeClr val="tx1"/>
                  </a:solidFill>
                  <a:effectLst/>
                  <a:latin typeface="+mn-lt"/>
                  <a:ea typeface="+mn-ea"/>
                  <a:cs typeface="+mn-cs"/>
                </a:rPr>
                <a:t>"Spiral</a:t>
              </a:r>
              <a:r>
                <a:rPr lang="en-US" sz="1100" b="0" i="0">
                  <a:solidFill>
                    <a:schemeClr val="tx1"/>
                  </a:solidFill>
                  <a:effectLst/>
                  <a:latin typeface="Cambria Math" panose="02040503050406030204" pitchFamily="18" charset="0"/>
                  <a:ea typeface="+mn-ea"/>
                  <a:cs typeface="+mn-cs"/>
                </a:rPr>
                <a:t>" )┤</a:t>
              </a:r>
              <a:endParaRPr lang="en-US" sz="1100"/>
            </a:p>
          </xdr:txBody>
        </xdr:sp>
      </mc:Fallback>
    </mc:AlternateContent>
    <xdr:clientData/>
  </xdr:oneCellAnchor>
  <xdr:oneCellAnchor>
    <xdr:from>
      <xdr:col>4</xdr:col>
      <xdr:colOff>0</xdr:colOff>
      <xdr:row>77</xdr:row>
      <xdr:rowOff>168088</xdr:rowOff>
    </xdr:from>
    <xdr:ext cx="2261388" cy="377604"/>
    <mc:AlternateContent xmlns:mc="http://schemas.openxmlformats.org/markup-compatibility/2006" xmlns:a14="http://schemas.microsoft.com/office/drawing/2010/main">
      <mc:Choice Requires="a14">
        <xdr:sp macro="" textlink="">
          <xdr:nvSpPr>
            <xdr:cNvPr id="56" name="TextBox 55">
              <a:extLst>
                <a:ext uri="{FF2B5EF4-FFF2-40B4-BE49-F238E27FC236}">
                  <a16:creationId xmlns:a16="http://schemas.microsoft.com/office/drawing/2014/main" id="{00000000-0008-0000-0700-000038000000}"/>
                </a:ext>
              </a:extLst>
            </xdr:cNvPr>
            <xdr:cNvSpPr txBox="1"/>
          </xdr:nvSpPr>
          <xdr:spPr>
            <a:xfrm>
              <a:off x="2809875" y="33861823"/>
              <a:ext cx="2261388"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latin typeface="Cambria Math" panose="02040503050406030204" pitchFamily="18" charset="0"/>
                              </a:rPr>
                              <m:t>CEILING</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𝑇</m:t>
                                    </m:r>
                                  </m:sub>
                                </m:sSub>
                                <m:r>
                                  <a:rPr lang="en-US" sz="1100" b="0" i="1">
                                    <a:solidFill>
                                      <a:schemeClr val="tx1"/>
                                    </a:solidFill>
                                    <a:effectLst/>
                                    <a:latin typeface="Cambria Math" panose="02040503050406030204" pitchFamily="18" charset="0"/>
                                    <a:ea typeface="+mn-ea"/>
                                    <a:cs typeface="+mn-cs"/>
                                  </a:rPr>
                                  <m:t>, 25</m:t>
                                </m:r>
                              </m:e>
                            </m:d>
                            <m:r>
                              <a:rPr lang="en-US" sz="1100" b="0" i="1">
                                <a:latin typeface="Cambria Math" panose="02040503050406030204" pitchFamily="18" charset="0"/>
                              </a:rPr>
                              <m:t>,  </m:t>
                            </m:r>
                            <m:r>
                              <m:rPr>
                                <m:nor/>
                              </m:rPr>
                              <a:rPr lang="en-US" sz="1100" b="0" i="0">
                                <a:latin typeface="Cambria Math" panose="02040503050406030204" pitchFamily="18" charset="0"/>
                              </a:rPr>
                              <m:t>E</m:t>
                            </m:r>
                            <m:r>
                              <m:rPr>
                                <m:nor/>
                              </m:rPr>
                              <a:rPr lang="en-US" sz="1100" b="0" i="0">
                                <a:latin typeface="Cambria Math" panose="02040503050406030204" pitchFamily="18" charset="0"/>
                              </a:rPr>
                              <m:t>−</m:t>
                            </m:r>
                            <m:r>
                              <m:rPr>
                                <m:nor/>
                              </m:rPr>
                              <a:rPr lang="en-US" sz="1100" b="0" i="0">
                                <a:latin typeface="Cambria Math" panose="02040503050406030204" pitchFamily="18" charset="0"/>
                              </a:rPr>
                              <m:t>Glass</m:t>
                            </m:r>
                          </m:e>
                          <m:e>
                            <m:r>
                              <a:rPr lang="en-US" sz="1100" b="0" i="1">
                                <a:latin typeface="Cambria Math" panose="02040503050406030204" pitchFamily="18" charset="0"/>
                              </a:rPr>
                              <m:t>&amp;</m:t>
                            </m:r>
                            <m:r>
                              <m:rPr>
                                <m:nor/>
                              </m:rPr>
                              <a:rPr lang="en-US" sz="1100" b="0" i="0">
                                <a:solidFill>
                                  <a:schemeClr val="tx1"/>
                                </a:solidFill>
                                <a:effectLst/>
                                <a:latin typeface="Cambria Math" panose="02040503050406030204" pitchFamily="18" charset="0"/>
                                <a:ea typeface="+mn-ea"/>
                                <a:cs typeface="+mn-cs"/>
                              </a:rPr>
                              <m:t>CEILING</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𝛿</m:t>
                                    </m:r>
                                  </m:e>
                                  <m:sub>
                                    <m:r>
                                      <a:rPr lang="en-US" sz="1100" b="0" i="1">
                                        <a:solidFill>
                                          <a:schemeClr val="tx1"/>
                                        </a:solidFill>
                                        <a:effectLst/>
                                        <a:latin typeface="Cambria Math" panose="02040503050406030204" pitchFamily="18" charset="0"/>
                                        <a:ea typeface="+mn-ea"/>
                                        <a:cs typeface="+mn-cs"/>
                                      </a:rPr>
                                      <m:t>𝑇</m:t>
                                    </m:r>
                                  </m:sub>
                                </m:sSub>
                                <m:r>
                                  <a:rPr lang="en-US" sz="1100" b="0" i="1">
                                    <a:solidFill>
                                      <a:schemeClr val="tx1"/>
                                    </a:solidFill>
                                    <a:effectLst/>
                                    <a:latin typeface="Cambria Math" panose="02040503050406030204" pitchFamily="18" charset="0"/>
                                    <a:ea typeface="+mn-ea"/>
                                    <a:cs typeface="+mn-cs"/>
                                  </a:rPr>
                                  <m:t>, 15</m:t>
                                </m:r>
                              </m:e>
                            </m:d>
                            <m:r>
                              <a:rPr lang="en-US" sz="1100" b="0" i="1">
                                <a:latin typeface="Cambria Math" panose="02040503050406030204" pitchFamily="18" charset="0"/>
                              </a:rPr>
                              <m:t>,  </m:t>
                            </m:r>
                            <m:r>
                              <m:rPr>
                                <m:nor/>
                              </m:rPr>
                              <a:rPr lang="en-US" sz="1100" b="0" i="0">
                                <a:latin typeface="Cambria Math" panose="02040503050406030204" pitchFamily="18" charset="0"/>
                              </a:rPr>
                              <m:t>Carbon</m:t>
                            </m:r>
                          </m:e>
                        </m:eqArr>
                      </m:e>
                    </m:d>
                  </m:oMath>
                </m:oMathPara>
              </a14:m>
              <a:endParaRPr lang="en-US" sz="1100"/>
            </a:p>
          </xdr:txBody>
        </xdr:sp>
      </mc:Choice>
      <mc:Fallback xmlns="">
        <xdr:sp macro="" textlink="">
          <xdr:nvSpPr>
            <xdr:cNvPr id="56" name="TextBox 55">
              <a:extLst>
                <a:ext uri="{FF2B5EF4-FFF2-40B4-BE49-F238E27FC236}">
                  <a16:creationId xmlns:a16="http://schemas.microsoft.com/office/drawing/2014/main" id="{8C41654E-8D6F-4B35-865D-4EAB17782986}"/>
                </a:ext>
              </a:extLst>
            </xdr:cNvPr>
            <xdr:cNvSpPr txBox="1"/>
          </xdr:nvSpPr>
          <xdr:spPr>
            <a:xfrm>
              <a:off x="2809875" y="33861823"/>
              <a:ext cx="2261388"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a:t>
              </a:r>
              <a:r>
                <a:rPr lang="en-US" sz="1100" b="0" i="0">
                  <a:latin typeface="Cambria Math" panose="02040503050406030204" pitchFamily="18" charset="0"/>
                </a:rPr>
                <a:t>={█("CEILING" (</a:t>
              </a:r>
              <a:r>
                <a:rPr lang="en-US" sz="1100" b="0" i="0">
                  <a:solidFill>
                    <a:schemeClr val="tx1"/>
                  </a:solidFill>
                  <a:effectLst/>
                  <a:latin typeface="Cambria Math" panose="02040503050406030204" pitchFamily="18" charset="0"/>
                  <a:ea typeface="+mn-ea"/>
                  <a:cs typeface="+mn-cs"/>
                </a:rPr>
                <a:t>𝛿_𝑇, 25)</a:t>
              </a:r>
              <a:r>
                <a:rPr lang="en-US" sz="1100" b="0" i="0">
                  <a:latin typeface="Cambria Math" panose="02040503050406030204" pitchFamily="18" charset="0"/>
                </a:rPr>
                <a:t>,  "E−Glass" @&amp;</a:t>
              </a:r>
              <a:r>
                <a:rPr lang="en-US" sz="1100" b="0" i="0">
                  <a:solidFill>
                    <a:schemeClr val="tx1"/>
                  </a:solidFill>
                  <a:effectLst/>
                  <a:latin typeface="Cambria Math" panose="02040503050406030204" pitchFamily="18" charset="0"/>
                  <a:ea typeface="+mn-ea"/>
                  <a:cs typeface="+mn-cs"/>
                </a:rPr>
                <a:t>"CEILING" (𝛿_𝑇, 15)</a:t>
              </a:r>
              <a:r>
                <a:rPr lang="en-US" sz="1100" b="0" i="0">
                  <a:latin typeface="Cambria Math" panose="02040503050406030204" pitchFamily="18" charset="0"/>
                </a:rPr>
                <a:t>,  "Carbon" )┤</a:t>
              </a:r>
              <a:endParaRPr lang="en-US" sz="1100"/>
            </a:p>
          </xdr:txBody>
        </xdr:sp>
      </mc:Fallback>
    </mc:AlternateContent>
    <xdr:clientData/>
  </xdr:oneCellAnchor>
  <xdr:oneCellAnchor>
    <xdr:from>
      <xdr:col>4</xdr:col>
      <xdr:colOff>0</xdr:colOff>
      <xdr:row>78</xdr:row>
      <xdr:rowOff>168088</xdr:rowOff>
    </xdr:from>
    <xdr:ext cx="705000" cy="349519"/>
    <mc:AlternateContent xmlns:mc="http://schemas.openxmlformats.org/markup-compatibility/2006" xmlns:a14="http://schemas.microsoft.com/office/drawing/2010/main">
      <mc:Choice Requires="a14">
        <xdr:sp macro="" textlink="">
          <xdr:nvSpPr>
            <xdr:cNvPr id="57" name="TextBox 56">
              <a:extLst>
                <a:ext uri="{FF2B5EF4-FFF2-40B4-BE49-F238E27FC236}">
                  <a16:creationId xmlns:a16="http://schemas.microsoft.com/office/drawing/2014/main" id="{00000000-0008-0000-0700-000039000000}"/>
                </a:ext>
              </a:extLst>
            </xdr:cNvPr>
            <xdr:cNvSpPr txBox="1"/>
          </xdr:nvSpPr>
          <xdr:spPr>
            <a:xfrm>
              <a:off x="2809875" y="34623823"/>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𝑇</m:t>
                        </m:r>
                        <m:r>
                          <a:rPr lang="en-US" sz="1100" b="0" i="1">
                            <a:solidFill>
                              <a:schemeClr val="tx1"/>
                            </a:solidFill>
                            <a:effectLst/>
                            <a:latin typeface="Cambria Math" panose="02040503050406030204" pitchFamily="18" charset="0"/>
                            <a:ea typeface="Cambria Math" panose="02040503050406030204" pitchFamily="18" charset="0"/>
                            <a:cs typeface="+mn-cs"/>
                          </a:rPr>
                          <m:t>/</m:t>
                        </m:r>
                        <m:r>
                          <a:rPr lang="en-US" sz="1100" b="0" i="1">
                            <a:solidFill>
                              <a:schemeClr val="tx1"/>
                            </a:solidFill>
                            <a:effectLst/>
                            <a:latin typeface="Cambria Math" panose="02040503050406030204" pitchFamily="18" charset="0"/>
                            <a:ea typeface="Cambria Math" panose="02040503050406030204" pitchFamily="18" charset="0"/>
                            <a:cs typeface="+mn-cs"/>
                          </a:rPr>
                          <m:t>𝑓𝑡</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𝑇</m:t>
                            </m:r>
                          </m:sub>
                        </m:sSub>
                      </m:num>
                      <m:den>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𝑊</m:t>
                            </m:r>
                          </m:e>
                          <m:sub>
                            <m:r>
                              <a:rPr lang="en-US" sz="1100" b="0" i="1">
                                <a:latin typeface="Cambria Math" panose="02040503050406030204" pitchFamily="18" charset="0"/>
                                <a:ea typeface="Cambria Math" panose="02040503050406030204" pitchFamily="18" charset="0"/>
                              </a:rPr>
                              <m:t>𝐿</m:t>
                            </m:r>
                          </m:sub>
                        </m:sSub>
                      </m:den>
                    </m:f>
                  </m:oMath>
                </m:oMathPara>
              </a14:m>
              <a:endParaRPr lang="en-US" sz="1100"/>
            </a:p>
          </xdr:txBody>
        </xdr:sp>
      </mc:Choice>
      <mc:Fallback xmlns="">
        <xdr:sp macro="" textlink="">
          <xdr:nvSpPr>
            <xdr:cNvPr id="57" name="TextBox 56">
              <a:extLst>
                <a:ext uri="{FF2B5EF4-FFF2-40B4-BE49-F238E27FC236}">
                  <a16:creationId xmlns:a16="http://schemas.microsoft.com/office/drawing/2014/main" id="{02861CD9-D24B-499F-BE31-C562468C89CE}"/>
                </a:ext>
              </a:extLst>
            </xdr:cNvPr>
            <xdr:cNvSpPr txBox="1"/>
          </xdr:nvSpPr>
          <xdr:spPr>
            <a:xfrm>
              <a:off x="2809875" y="34623823"/>
              <a:ext cx="705000" cy="3495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𝑇/𝑓𝑡</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𝛿_𝑇/𝑊_𝐿 </a:t>
              </a:r>
              <a:endParaRPr lang="en-US" sz="1100"/>
            </a:p>
          </xdr:txBody>
        </xdr:sp>
      </mc:Fallback>
    </mc:AlternateContent>
    <xdr:clientData/>
  </xdr:oneCellAnchor>
  <xdr:oneCellAnchor>
    <xdr:from>
      <xdr:col>4</xdr:col>
      <xdr:colOff>0</xdr:colOff>
      <xdr:row>79</xdr:row>
      <xdr:rowOff>291352</xdr:rowOff>
    </xdr:from>
    <xdr:ext cx="1041375" cy="172227"/>
    <mc:AlternateContent xmlns:mc="http://schemas.openxmlformats.org/markup-compatibility/2006" xmlns:a14="http://schemas.microsoft.com/office/drawing/2010/main">
      <mc:Choice Requires="a14">
        <xdr:sp macro="" textlink="">
          <xdr:nvSpPr>
            <xdr:cNvPr id="58" name="TextBox 57">
              <a:extLst>
                <a:ext uri="{FF2B5EF4-FFF2-40B4-BE49-F238E27FC236}">
                  <a16:creationId xmlns:a16="http://schemas.microsoft.com/office/drawing/2014/main" id="{00000000-0008-0000-0700-00003A000000}"/>
                </a:ext>
              </a:extLst>
            </xdr:cNvPr>
            <xdr:cNvSpPr txBox="1"/>
          </xdr:nvSpPr>
          <xdr:spPr>
            <a:xfrm>
              <a:off x="2809875" y="35501467"/>
              <a:ext cx="10413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Cambria Math" panose="02040503050406030204" pitchFamily="18" charset="0"/>
                            <a:cs typeface="+mn-cs"/>
                          </a:rPr>
                        </m:ctrlPr>
                      </m:sSubPr>
                      <m:e>
                        <m:r>
                          <a:rPr lang="en-US" sz="1100" b="0" i="1">
                            <a:solidFill>
                              <a:schemeClr val="tx1"/>
                            </a:solidFill>
                            <a:effectLst/>
                            <a:latin typeface="Cambria Math" panose="02040503050406030204" pitchFamily="18" charset="0"/>
                            <a:ea typeface="Cambria Math" panose="02040503050406030204" pitchFamily="18" charset="0"/>
                            <a:cs typeface="+mn-cs"/>
                          </a:rPr>
                          <m:t>𝛿</m:t>
                        </m:r>
                      </m:e>
                      <m:sub>
                        <m:r>
                          <a:rPr lang="en-US" sz="1100" b="0" i="1">
                            <a:solidFill>
                              <a:schemeClr val="tx1"/>
                            </a:solidFill>
                            <a:effectLst/>
                            <a:latin typeface="Cambria Math" panose="02040503050406030204" pitchFamily="18" charset="0"/>
                            <a:ea typeface="Cambria Math" panose="02040503050406030204" pitchFamily="18" charset="0"/>
                            <a:cs typeface="+mn-cs"/>
                          </a:rPr>
                          <m:t>𝑎𝑟𝑒𝑎</m:t>
                        </m:r>
                      </m:sub>
                    </m:sSub>
                    <m:r>
                      <a:rPr lang="en-US" sz="1100" b="0" i="1">
                        <a:latin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𝑇</m:t>
                        </m:r>
                      </m:sub>
                    </m:sSub>
                    <m:r>
                      <a:rPr lang="en-US" sz="1100" b="0" i="1">
                        <a:latin typeface="Cambria Math" panose="02040503050406030204" pitchFamily="18" charset="0"/>
                        <a:ea typeface="Cambria Math" panose="02040503050406030204" pitchFamily="18" charset="0"/>
                      </a:rPr>
                      <m:t>∗1 </m:t>
                    </m:r>
                    <m:r>
                      <m:rPr>
                        <m:nor/>
                      </m:rPr>
                      <a:rPr lang="en-US" sz="1100" b="0" i="0">
                        <a:latin typeface="Cambria Math" panose="02040503050406030204" pitchFamily="18" charset="0"/>
                        <a:ea typeface="Cambria Math" panose="02040503050406030204" pitchFamily="18" charset="0"/>
                      </a:rPr>
                      <m:t>ft</m:t>
                    </m:r>
                  </m:oMath>
                </m:oMathPara>
              </a14:m>
              <a:endParaRPr lang="en-US" sz="1100"/>
            </a:p>
          </xdr:txBody>
        </xdr:sp>
      </mc:Choice>
      <mc:Fallback xmlns="">
        <xdr:sp macro="" textlink="">
          <xdr:nvSpPr>
            <xdr:cNvPr id="58" name="TextBox 57">
              <a:extLst>
                <a:ext uri="{FF2B5EF4-FFF2-40B4-BE49-F238E27FC236}">
                  <a16:creationId xmlns:a16="http://schemas.microsoft.com/office/drawing/2014/main" id="{73A3984C-C9B6-4AAE-B536-B3AFBD55EF99}"/>
                </a:ext>
              </a:extLst>
            </xdr:cNvPr>
            <xdr:cNvSpPr txBox="1"/>
          </xdr:nvSpPr>
          <xdr:spPr>
            <a:xfrm>
              <a:off x="2809875" y="35501467"/>
              <a:ext cx="104137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Cambria Math" panose="02040503050406030204" pitchFamily="18" charset="0"/>
                  <a:cs typeface="+mn-cs"/>
                </a:rPr>
                <a:t>𝛿</a:t>
              </a:r>
              <a:r>
                <a:rPr lang="en-US" sz="1100" b="0" i="0">
                  <a:solidFill>
                    <a:schemeClr val="tx1"/>
                  </a:solidFill>
                  <a:effectLst/>
                  <a:latin typeface="Cambria Math" panose="02040503050406030204" pitchFamily="18" charset="0"/>
                  <a:ea typeface="+mn-ea"/>
                  <a:cs typeface="+mn-cs"/>
                </a:rPr>
                <a:t>_</a:t>
              </a:r>
              <a:r>
                <a:rPr lang="en-US" sz="1100" b="0" i="0">
                  <a:solidFill>
                    <a:schemeClr val="tx1"/>
                  </a:solidFill>
                  <a:effectLst/>
                  <a:latin typeface="Cambria Math" panose="02040503050406030204" pitchFamily="18" charset="0"/>
                  <a:ea typeface="Cambria Math" panose="02040503050406030204" pitchFamily="18" charset="0"/>
                  <a:cs typeface="+mn-cs"/>
                </a:rPr>
                <a:t>𝑎𝑟𝑒𝑎</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𝛿_𝑇∗1 "ft"</a:t>
              </a:r>
              <a:endParaRPr lang="en-US" sz="1100"/>
            </a:p>
          </xdr:txBody>
        </xdr:sp>
      </mc:Fallback>
    </mc:AlternateContent>
    <xdr:clientData/>
  </xdr:oneCellAnchor>
  <xdr:oneCellAnchor>
    <xdr:from>
      <xdr:col>4</xdr:col>
      <xdr:colOff>0</xdr:colOff>
      <xdr:row>80</xdr:row>
      <xdr:rowOff>201706</xdr:rowOff>
    </xdr:from>
    <xdr:ext cx="942117" cy="355225"/>
    <mc:AlternateContent xmlns:mc="http://schemas.openxmlformats.org/markup-compatibility/2006" xmlns:a14="http://schemas.microsoft.com/office/drawing/2010/main">
      <mc:Choice Requires="a14">
        <xdr:sp macro="" textlink="">
          <xdr:nvSpPr>
            <xdr:cNvPr id="59" name="TextBox 58">
              <a:extLst>
                <a:ext uri="{FF2B5EF4-FFF2-40B4-BE49-F238E27FC236}">
                  <a16:creationId xmlns:a16="http://schemas.microsoft.com/office/drawing/2014/main" id="{00000000-0008-0000-0700-00003B000000}"/>
                </a:ext>
              </a:extLst>
            </xdr:cNvPr>
            <xdr:cNvSpPr txBox="1"/>
          </xdr:nvSpPr>
          <xdr:spPr>
            <a:xfrm>
              <a:off x="2809875" y="36175726"/>
              <a:ext cx="94211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𝑎𝑟𝑒𝑎</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b="0" i="1">
                                <a:solidFill>
                                  <a:schemeClr val="tx1"/>
                                </a:solidFill>
                                <a:effectLst/>
                                <a:latin typeface="Cambria Math" panose="02040503050406030204" pitchFamily="18" charset="0"/>
                                <a:ea typeface="+mn-ea"/>
                                <a:cs typeface="+mn-cs"/>
                              </a:rPr>
                              <m:t>𝑟𝑒𝑠𝑖𝑛</m:t>
                            </m:r>
                          </m:sub>
                        </m:sSub>
                        <m:r>
                          <m:rPr>
                            <m:nor/>
                          </m:rPr>
                          <a:rPr lang="en-US" i="0">
                            <a:effectLst/>
                          </a:rPr>
                          <m:t> </m:t>
                        </m:r>
                      </m:den>
                    </m:f>
                  </m:oMath>
                </m:oMathPara>
              </a14:m>
              <a:endParaRPr lang="en-US" sz="1100"/>
            </a:p>
          </xdr:txBody>
        </xdr:sp>
      </mc:Choice>
      <mc:Fallback xmlns="">
        <xdr:sp macro="" textlink="">
          <xdr:nvSpPr>
            <xdr:cNvPr id="59" name="TextBox 58">
              <a:extLst>
                <a:ext uri="{FF2B5EF4-FFF2-40B4-BE49-F238E27FC236}">
                  <a16:creationId xmlns:a16="http://schemas.microsoft.com/office/drawing/2014/main" id="{0E070332-ACB8-4B18-83F3-022B0C37E467}"/>
                </a:ext>
              </a:extLst>
            </xdr:cNvPr>
            <xdr:cNvSpPr txBox="1"/>
          </xdr:nvSpPr>
          <xdr:spPr>
            <a:xfrm>
              <a:off x="2809875" y="36175726"/>
              <a:ext cx="94211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𝛿_𝑎𝑟𝑒𝑎/(</a:t>
              </a:r>
              <a:r>
                <a:rPr lang="en-US" sz="1100" i="0">
                  <a:solidFill>
                    <a:schemeClr val="tx1"/>
                  </a:solidFill>
                  <a:effectLst/>
                  <a:latin typeface="Cambria Math" panose="02040503050406030204" pitchFamily="18" charset="0"/>
                  <a:ea typeface="+mn-ea"/>
                  <a:cs typeface="+mn-cs"/>
                </a:rPr>
                <a:t>𝜌_</a:t>
              </a:r>
              <a:r>
                <a:rPr lang="en-US" sz="1100" b="0" i="0">
                  <a:solidFill>
                    <a:schemeClr val="tx1"/>
                  </a:solidFill>
                  <a:effectLst/>
                  <a:latin typeface="Cambria Math" panose="02040503050406030204" pitchFamily="18" charset="0"/>
                  <a:ea typeface="+mn-ea"/>
                  <a:cs typeface="+mn-cs"/>
                </a:rPr>
                <a:t>𝑟𝑒𝑠𝑖𝑛 "</a:t>
              </a:r>
              <a:r>
                <a:rPr lang="en-US" i="0">
                  <a:effectLst/>
                </a:rPr>
                <a:t> </a:t>
              </a:r>
              <a:r>
                <a:rPr lang="en-US" i="0">
                  <a:effectLst/>
                  <a:latin typeface="Cambria Math" panose="02040503050406030204" pitchFamily="18" charset="0"/>
                </a:rPr>
                <a:t>" </a:t>
              </a:r>
              <a:r>
                <a:rPr lang="en-US" sz="1100" b="0" i="0">
                  <a:effectLst/>
                  <a:latin typeface="Cambria Math" panose="02040503050406030204" pitchFamily="18" charset="0"/>
                </a:rPr>
                <a:t>)</a:t>
              </a:r>
              <a:endParaRPr lang="en-US" sz="1100"/>
            </a:p>
          </xdr:txBody>
        </xdr:sp>
      </mc:Fallback>
    </mc:AlternateContent>
    <xdr:clientData/>
  </xdr:oneCellAnchor>
  <xdr:oneCellAnchor>
    <xdr:from>
      <xdr:col>4</xdr:col>
      <xdr:colOff>0</xdr:colOff>
      <xdr:row>81</xdr:row>
      <xdr:rowOff>201705</xdr:rowOff>
    </xdr:from>
    <xdr:ext cx="1258037" cy="355225"/>
    <mc:AlternateContent xmlns:mc="http://schemas.openxmlformats.org/markup-compatibility/2006" xmlns:a14="http://schemas.microsoft.com/office/drawing/2010/main">
      <mc:Choice Requires="a14">
        <xdr:sp macro="" textlink="">
          <xdr:nvSpPr>
            <xdr:cNvPr id="60" name="TextBox 59">
              <a:extLst>
                <a:ext uri="{FF2B5EF4-FFF2-40B4-BE49-F238E27FC236}">
                  <a16:creationId xmlns:a16="http://schemas.microsoft.com/office/drawing/2014/main" id="{00000000-0008-0000-0700-00003C000000}"/>
                </a:ext>
              </a:extLst>
            </xdr:cNvPr>
            <xdr:cNvSpPr txBox="1"/>
          </xdr:nvSpPr>
          <xdr:spPr>
            <a:xfrm>
              <a:off x="2809875" y="36937725"/>
              <a:ext cx="125803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f>
                      <m:fPr>
                        <m:ctrlPr>
                          <a:rPr lang="en-US" sz="1100" b="0" i="1">
                            <a:latin typeface="Cambria Math" panose="02040503050406030204" pitchFamily="18" charset="0"/>
                            <a:ea typeface="Cambria Math" panose="02040503050406030204" pitchFamily="18" charset="0"/>
                          </a:rPr>
                        </m:ctrlPr>
                      </m:fPr>
                      <m:num>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𝛿</m:t>
                            </m:r>
                          </m:e>
                          <m:sub>
                            <m:r>
                              <a:rPr lang="en-US" sz="1100" b="0" i="1">
                                <a:latin typeface="Cambria Math" panose="02040503050406030204" pitchFamily="18" charset="0"/>
                                <a:ea typeface="Cambria Math" panose="02040503050406030204" pitchFamily="18" charset="0"/>
                              </a:rPr>
                              <m:t>𝑎𝑟𝑒𝑎</m:t>
                            </m:r>
                          </m:sub>
                        </m:sSub>
                      </m:num>
                      <m:den>
                        <m:sSub>
                          <m:sSubPr>
                            <m:ctrlPr>
                              <a:rPr lang="en-US" sz="1100" i="1">
                                <a:solidFill>
                                  <a:schemeClr val="tx1"/>
                                </a:solidFill>
                                <a:effectLst/>
                                <a:latin typeface="Cambria Math" panose="02040503050406030204" pitchFamily="18" charset="0"/>
                                <a:ea typeface="+mn-ea"/>
                                <a:cs typeface="+mn-cs"/>
                              </a:rPr>
                            </m:ctrlPr>
                          </m:sSubPr>
                          <m:e>
                            <m:r>
                              <a:rPr lang="en-US" sz="1100" i="1">
                                <a:solidFill>
                                  <a:schemeClr val="tx1"/>
                                </a:solidFill>
                                <a:effectLst/>
                                <a:latin typeface="Cambria Math" panose="02040503050406030204" pitchFamily="18" charset="0"/>
                                <a:ea typeface="+mn-ea"/>
                                <a:cs typeface="+mn-cs"/>
                              </a:rPr>
                              <m:t>𝜌</m:t>
                            </m:r>
                          </m:e>
                          <m:sub>
                            <m:r>
                              <a:rPr lang="en-US" sz="1100" b="0" i="1">
                                <a:solidFill>
                                  <a:schemeClr val="tx1"/>
                                </a:solidFill>
                                <a:effectLst/>
                                <a:latin typeface="Cambria Math" panose="02040503050406030204" pitchFamily="18" charset="0"/>
                                <a:ea typeface="+mn-ea"/>
                                <a:cs typeface="+mn-cs"/>
                              </a:rPr>
                              <m:t>𝑟𝑒𝑠𝑖𝑛</m:t>
                            </m:r>
                          </m:sub>
                        </m:sSub>
                        <m:r>
                          <m:rPr>
                            <m:nor/>
                          </m:rPr>
                          <a:rPr lang="en-US" i="0">
                            <a:effectLst/>
                          </a:rPr>
                          <m:t> </m:t>
                        </m:r>
                      </m:den>
                    </m:f>
                    <m:r>
                      <a:rPr lang="en-US" sz="1100" b="0" i="1">
                        <a:latin typeface="Cambria Math" panose="02040503050406030204" pitchFamily="18" charset="0"/>
                      </a:rPr>
                      <m:t>∗1.1</m:t>
                    </m:r>
                  </m:oMath>
                </m:oMathPara>
              </a14:m>
              <a:endParaRPr lang="en-US" sz="1100"/>
            </a:p>
          </xdr:txBody>
        </xdr:sp>
      </mc:Choice>
      <mc:Fallback xmlns="">
        <xdr:sp macro="" textlink="">
          <xdr:nvSpPr>
            <xdr:cNvPr id="60" name="TextBox 59">
              <a:extLst>
                <a:ext uri="{FF2B5EF4-FFF2-40B4-BE49-F238E27FC236}">
                  <a16:creationId xmlns:a16="http://schemas.microsoft.com/office/drawing/2014/main" id="{428A4323-E758-46D5-B21D-7AA720603646}"/>
                </a:ext>
              </a:extLst>
            </xdr:cNvPr>
            <xdr:cNvSpPr txBox="1"/>
          </xdr:nvSpPr>
          <xdr:spPr>
            <a:xfrm>
              <a:off x="2809875" y="36937725"/>
              <a:ext cx="1258037" cy="355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𝑅_𝑡𝑜𝑡𝑎𝑙</a:t>
              </a:r>
              <a:r>
                <a:rPr lang="en-US" sz="1100" b="0" i="0">
                  <a:latin typeface="Cambria Math" panose="02040503050406030204" pitchFamily="18" charset="0"/>
                </a:rPr>
                <a:t>=</a:t>
              </a:r>
              <a:r>
                <a:rPr lang="en-US" sz="1100" b="0" i="0">
                  <a:latin typeface="Cambria Math" panose="02040503050406030204" pitchFamily="18" charset="0"/>
                  <a:ea typeface="Cambria Math" panose="02040503050406030204" pitchFamily="18" charset="0"/>
                </a:rPr>
                <a:t>𝛿_𝑎𝑟𝑒𝑎/(</a:t>
              </a:r>
              <a:r>
                <a:rPr lang="en-US" sz="1100" i="0">
                  <a:solidFill>
                    <a:schemeClr val="tx1"/>
                  </a:solidFill>
                  <a:effectLst/>
                  <a:latin typeface="Cambria Math" panose="02040503050406030204" pitchFamily="18" charset="0"/>
                  <a:ea typeface="+mn-ea"/>
                  <a:cs typeface="+mn-cs"/>
                </a:rPr>
                <a:t>𝜌_</a:t>
              </a:r>
              <a:r>
                <a:rPr lang="en-US" sz="1100" b="0" i="0">
                  <a:solidFill>
                    <a:schemeClr val="tx1"/>
                  </a:solidFill>
                  <a:effectLst/>
                  <a:latin typeface="Cambria Math" panose="02040503050406030204" pitchFamily="18" charset="0"/>
                  <a:ea typeface="+mn-ea"/>
                  <a:cs typeface="+mn-cs"/>
                </a:rPr>
                <a:t>𝑟𝑒𝑠𝑖𝑛 "</a:t>
              </a:r>
              <a:r>
                <a:rPr lang="en-US" i="0">
                  <a:effectLst/>
                </a:rPr>
                <a:t> </a:t>
              </a:r>
              <a:r>
                <a:rPr lang="en-US" i="0">
                  <a:effectLst/>
                  <a:latin typeface="Cambria Math" panose="02040503050406030204" pitchFamily="18" charset="0"/>
                </a:rPr>
                <a:t>" </a:t>
              </a:r>
              <a:r>
                <a:rPr lang="en-US" sz="1100" b="0" i="0">
                  <a:effectLst/>
                  <a:latin typeface="Cambria Math" panose="02040503050406030204" pitchFamily="18" charset="0"/>
                </a:rPr>
                <a:t>)</a:t>
              </a:r>
              <a:r>
                <a:rPr lang="en-US" sz="1100" b="0" i="0">
                  <a:latin typeface="Cambria Math" panose="02040503050406030204" pitchFamily="18" charset="0"/>
                </a:rPr>
                <a:t>∗1.1</a:t>
              </a:r>
              <a:endParaRPr lang="en-US" sz="1100"/>
            </a:p>
          </xdr:txBody>
        </xdr:sp>
      </mc:Fallback>
    </mc:AlternateContent>
    <xdr:clientData/>
  </xdr:oneCellAnchor>
  <xdr:oneCellAnchor>
    <xdr:from>
      <xdr:col>4</xdr:col>
      <xdr:colOff>0</xdr:colOff>
      <xdr:row>82</xdr:row>
      <xdr:rowOff>179294</xdr:rowOff>
    </xdr:from>
    <xdr:ext cx="2257541" cy="377604"/>
    <mc:AlternateContent xmlns:mc="http://schemas.openxmlformats.org/markup-compatibility/2006" xmlns:a14="http://schemas.microsoft.com/office/drawing/2010/main">
      <mc:Choice Requires="a14">
        <xdr:sp macro="" textlink="">
          <xdr:nvSpPr>
            <xdr:cNvPr id="61" name="TextBox 60">
              <a:extLst>
                <a:ext uri="{FF2B5EF4-FFF2-40B4-BE49-F238E27FC236}">
                  <a16:creationId xmlns:a16="http://schemas.microsoft.com/office/drawing/2014/main" id="{00000000-0008-0000-0700-00003D000000}"/>
                </a:ext>
              </a:extLst>
            </xdr:cNvPr>
            <xdr:cNvSpPr txBox="1"/>
          </xdr:nvSpPr>
          <xdr:spPr>
            <a:xfrm>
              <a:off x="2809875" y="37681124"/>
              <a:ext cx="2257541"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Cambria Math" panose="02040503050406030204" pitchFamily="18" charset="0"/>
                            <a:cs typeface="+mn-cs"/>
                          </a:rPr>
                          <m:t>𝑡𝑜𝑡𝑎𝑙</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latin typeface="Cambria Math" panose="02040503050406030204" pitchFamily="18" charset="0"/>
                              </a:rPr>
                              <m:t>Quart</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𝑅</m:t>
                                    </m:r>
                                  </m:e>
                                  <m:sub>
                                    <m:r>
                                      <a:rPr lang="en-US" sz="1100" b="0" i="1">
                                        <a:latin typeface="Cambria Math" panose="02040503050406030204" pitchFamily="18" charset="0"/>
                                      </a:rPr>
                                      <m:t>𝑡𝑜𝑡𝑎𝑙</m:t>
                                    </m:r>
                                  </m:sub>
                                </m:sSub>
                              </m:e>
                            </m:d>
                            <m:r>
                              <a:rPr lang="en-US" sz="1100" b="0" i="1">
                                <a:latin typeface="Cambria Math" panose="02040503050406030204" pitchFamily="18" charset="0"/>
                              </a:rPr>
                              <m:t>,  </m:t>
                            </m:r>
                            <m:r>
                              <m:rPr>
                                <m:nor/>
                              </m:rPr>
                              <a:rPr lang="en-US" sz="1100" b="0" i="0">
                                <a:latin typeface="Cambria Math" panose="02040503050406030204" pitchFamily="18" charset="0"/>
                              </a:rPr>
                              <m:t>E</m:t>
                            </m:r>
                            <m:r>
                              <m:rPr>
                                <m:nor/>
                              </m:rPr>
                              <a:rPr lang="en-US" sz="1100" b="0" i="0">
                                <a:latin typeface="Cambria Math" panose="02040503050406030204" pitchFamily="18" charset="0"/>
                              </a:rPr>
                              <m:t>−</m:t>
                            </m:r>
                            <m:r>
                              <m:rPr>
                                <m:nor/>
                              </m:rPr>
                              <a:rPr lang="en-US" sz="1100" b="0" i="0">
                                <a:latin typeface="Cambria Math" panose="02040503050406030204" pitchFamily="18" charset="0"/>
                              </a:rPr>
                              <m:t>Glass</m:t>
                            </m:r>
                          </m:e>
                          <m:e>
                            <m:r>
                              <a:rPr lang="en-US" sz="1100" b="0" i="1">
                                <a:latin typeface="Cambria Math" panose="02040503050406030204" pitchFamily="18" charset="0"/>
                              </a:rPr>
                              <m:t>&amp;</m:t>
                            </m:r>
                            <m:r>
                              <m:rPr>
                                <m:nor/>
                              </m:rPr>
                              <a:rPr lang="en-US" sz="1100" b="0" i="0">
                                <a:latin typeface="Cambria Math" panose="02040503050406030204" pitchFamily="18" charset="0"/>
                              </a:rPr>
                              <m:t>Pint</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e>
                            </m:d>
                            <m:r>
                              <a:rPr lang="en-US" sz="1100" b="0" i="1">
                                <a:latin typeface="Cambria Math" panose="02040503050406030204" pitchFamily="18" charset="0"/>
                              </a:rPr>
                              <m:t>,  </m:t>
                            </m:r>
                            <m:r>
                              <m:rPr>
                                <m:nor/>
                              </m:rPr>
                              <a:rPr lang="en-US" sz="1100" b="0" i="0">
                                <a:latin typeface="Cambria Math" panose="02040503050406030204" pitchFamily="18" charset="0"/>
                              </a:rPr>
                              <m:t>Carbon</m:t>
                            </m:r>
                          </m:e>
                        </m:eqArr>
                      </m:e>
                    </m:d>
                  </m:oMath>
                </m:oMathPara>
              </a14:m>
              <a:endParaRPr lang="en-US" sz="1100"/>
            </a:p>
          </xdr:txBody>
        </xdr:sp>
      </mc:Choice>
      <mc:Fallback xmlns="">
        <xdr:sp macro="" textlink="">
          <xdr:nvSpPr>
            <xdr:cNvPr id="61" name="TextBox 60">
              <a:extLst>
                <a:ext uri="{FF2B5EF4-FFF2-40B4-BE49-F238E27FC236}">
                  <a16:creationId xmlns:a16="http://schemas.microsoft.com/office/drawing/2014/main" id="{92DB4839-D4D2-440A-B281-4304468D9EFE}"/>
                </a:ext>
              </a:extLst>
            </xdr:cNvPr>
            <xdr:cNvSpPr txBox="1"/>
          </xdr:nvSpPr>
          <xdr:spPr>
            <a:xfrm>
              <a:off x="2809875" y="37681124"/>
              <a:ext cx="2257541" cy="3776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a:t>
              </a:r>
              <a:r>
                <a:rPr lang="en-US" sz="1100" b="0" i="0">
                  <a:solidFill>
                    <a:schemeClr val="tx1"/>
                  </a:solidFill>
                  <a:effectLst/>
                  <a:latin typeface="Cambria Math" panose="02040503050406030204" pitchFamily="18" charset="0"/>
                  <a:ea typeface="Cambria Math" panose="02040503050406030204" pitchFamily="18" charset="0"/>
                  <a:cs typeface="+mn-cs"/>
                </a:rPr>
                <a:t>𝑡𝑜𝑡𝑎𝑙</a:t>
              </a:r>
              <a:r>
                <a:rPr lang="en-US" sz="1100" b="0" i="0">
                  <a:latin typeface="Cambria Math" panose="02040503050406030204" pitchFamily="18" charset="0"/>
                </a:rPr>
                <a:t>={█("Quart" (𝑅_𝑡𝑜𝑡𝑎𝑙 ),  "E−Glass" @&amp;"Pint</a:t>
              </a:r>
              <a:r>
                <a:rPr lang="en-US" sz="1100" b="0" i="0">
                  <a:solidFill>
                    <a:schemeClr val="tx1"/>
                  </a:solidFill>
                  <a:effectLst/>
                  <a:latin typeface="Cambria Math" panose="02040503050406030204" pitchFamily="18" charset="0"/>
                  <a:ea typeface="+mn-ea"/>
                  <a:cs typeface="+mn-cs"/>
                </a:rPr>
                <a:t>" (𝑅_𝑡𝑜𝑡𝑎𝑙 )</a:t>
              </a:r>
              <a:r>
                <a:rPr lang="en-US" sz="1100" b="0" i="0">
                  <a:latin typeface="Cambria Math" panose="02040503050406030204" pitchFamily="18" charset="0"/>
                </a:rPr>
                <a:t>,  "Carbon" )┤</a:t>
              </a:r>
              <a:endParaRPr lang="en-US" sz="1100"/>
            </a:p>
          </xdr:txBody>
        </xdr:sp>
      </mc:Fallback>
    </mc:AlternateContent>
    <xdr:clientData/>
  </xdr:oneCellAnchor>
  <xdr:oneCellAnchor>
    <xdr:from>
      <xdr:col>4</xdr:col>
      <xdr:colOff>0</xdr:colOff>
      <xdr:row>83</xdr:row>
      <xdr:rowOff>190500</xdr:rowOff>
    </xdr:from>
    <xdr:ext cx="1197764" cy="344582"/>
    <mc:AlternateContent xmlns:mc="http://schemas.openxmlformats.org/markup-compatibility/2006" xmlns:a14="http://schemas.microsoft.com/office/drawing/2010/main">
      <mc:Choice Requires="a14">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2809875" y="38452425"/>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r>
                      <a:rPr lang="en-US" sz="1100" b="0" i="1">
                        <a:latin typeface="Cambria Math" panose="02040503050406030204" pitchFamily="18" charset="0"/>
                      </a:rPr>
                      <m:t>=</m:t>
                    </m:r>
                    <m:f>
                      <m:fPr>
                        <m:ctrlPr>
                          <a:rPr lang="en-US" sz="1100" b="0" i="1">
                            <a:solidFill>
                              <a:schemeClr val="tx1"/>
                            </a:solidFill>
                            <a:effectLst/>
                            <a:latin typeface="Cambria Math" panose="02040503050406030204" pitchFamily="18" charset="0"/>
                            <a:ea typeface="+mn-ea"/>
                            <a:cs typeface="+mn-cs"/>
                          </a:rPr>
                        </m:ctrlPr>
                      </m:fPr>
                      <m:num>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𝑡𝑜𝑡𝑎𝑙</m:t>
                            </m:r>
                          </m:sub>
                        </m:sSub>
                      </m:num>
                      <m:den>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𝑊</m:t>
                            </m:r>
                          </m:e>
                          <m:sub>
                            <m:r>
                              <a:rPr lang="en-US" sz="1100" b="0" i="1">
                                <a:solidFill>
                                  <a:schemeClr val="tx1"/>
                                </a:solidFill>
                                <a:effectLst/>
                                <a:latin typeface="Cambria Math" panose="02040503050406030204" pitchFamily="18" charset="0"/>
                                <a:ea typeface="+mn-ea"/>
                                <a:cs typeface="+mn-cs"/>
                              </a:rPr>
                              <m:t>𝐿</m:t>
                            </m:r>
                          </m:sub>
                        </m:sSub>
                      </m:den>
                    </m:f>
                  </m:oMath>
                </m:oMathPara>
              </a14:m>
              <a:endParaRPr lang="en-US" sz="1100"/>
            </a:p>
          </xdr:txBody>
        </xdr:sp>
      </mc:Choice>
      <mc:Fallback xmlns="">
        <xdr:sp macro="" textlink="">
          <xdr:nvSpPr>
            <xdr:cNvPr id="62" name="TextBox 61">
              <a:extLst>
                <a:ext uri="{FF2B5EF4-FFF2-40B4-BE49-F238E27FC236}">
                  <a16:creationId xmlns:a16="http://schemas.microsoft.com/office/drawing/2014/main" id="{3BCC3687-7DA5-48BA-9244-7B703C6A36EF}"/>
                </a:ext>
              </a:extLst>
            </xdr:cNvPr>
            <xdr:cNvSpPr txBox="1"/>
          </xdr:nvSpPr>
          <xdr:spPr>
            <a:xfrm>
              <a:off x="2809875" y="38452425"/>
              <a:ext cx="1197764" cy="3445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𝑅_(𝑝𝑒𝑟 𝑙𝑒𝑛𝑔𝑡ℎ)</a:t>
              </a:r>
              <a:r>
                <a:rPr lang="en-US" sz="1100" b="0" i="0">
                  <a:latin typeface="Cambria Math" panose="02040503050406030204" pitchFamily="18" charset="0"/>
                </a:rPr>
                <a:t>=</a:t>
              </a:r>
              <a:r>
                <a:rPr lang="en-US" sz="1100" b="0" i="0">
                  <a:solidFill>
                    <a:schemeClr val="tx1"/>
                  </a:solidFill>
                  <a:effectLst/>
                  <a:latin typeface="Cambria Math" panose="02040503050406030204" pitchFamily="18" charset="0"/>
                  <a:ea typeface="+mn-ea"/>
                  <a:cs typeface="+mn-cs"/>
                </a:rPr>
                <a:t>𝑅_𝑡𝑜𝑡𝑎𝑙/𝑊_𝐿 </a:t>
              </a:r>
              <a:endParaRPr lang="en-US" sz="1100"/>
            </a:p>
          </xdr:txBody>
        </xdr:sp>
      </mc:Fallback>
    </mc:AlternateContent>
    <xdr:clientData/>
  </xdr:oneCellAnchor>
  <xdr:oneCellAnchor>
    <xdr:from>
      <xdr:col>4</xdr:col>
      <xdr:colOff>0</xdr:colOff>
      <xdr:row>84</xdr:row>
      <xdr:rowOff>134471</xdr:rowOff>
    </xdr:from>
    <xdr:ext cx="2850011" cy="540404"/>
    <mc:AlternateContent xmlns:mc="http://schemas.openxmlformats.org/markup-compatibility/2006" xmlns:a14="http://schemas.microsoft.com/office/drawing/2010/main">
      <mc:Choice Requires="a14">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2809875" y="39158396"/>
              <a:ext cx="2850011"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Cambria Math" panose="02040503050406030204" pitchFamily="18" charset="0"/>
                            <a:cs typeface="+mn-cs"/>
                          </a:rPr>
                          <m:t>𝑝𝑒𝑟</m:t>
                        </m:r>
                        <m:r>
                          <a:rPr lang="en-US" sz="1100" b="0" i="1">
                            <a:solidFill>
                              <a:schemeClr val="tx1"/>
                            </a:solidFill>
                            <a:effectLst/>
                            <a:latin typeface="Cambria Math" panose="02040503050406030204" pitchFamily="18" charset="0"/>
                            <a:ea typeface="Cambria Math" panose="02040503050406030204" pitchFamily="18" charset="0"/>
                            <a:cs typeface="+mn-cs"/>
                          </a:rPr>
                          <m:t> </m:t>
                        </m:r>
                        <m:r>
                          <a:rPr lang="en-US" sz="1100" b="0" i="1">
                            <a:solidFill>
                              <a:schemeClr val="tx1"/>
                            </a:solidFill>
                            <a:effectLst/>
                            <a:latin typeface="Cambria Math" panose="02040503050406030204" pitchFamily="18" charset="0"/>
                            <a:ea typeface="Cambria Math" panose="02040503050406030204" pitchFamily="18" charset="0"/>
                            <a:cs typeface="+mn-cs"/>
                          </a:rPr>
                          <m:t>𝑙𝑒𝑛𝑔𝑡h</m:t>
                        </m:r>
                      </m:sub>
                    </m:sSub>
                    <m:r>
                      <a:rPr lang="en-US" sz="1100" b="0" i="1">
                        <a:latin typeface="Cambria Math" panose="02040503050406030204" pitchFamily="18" charset="0"/>
                      </a:rPr>
                      <m:t>=</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m:rPr>
                                <m:nor/>
                              </m:rPr>
                              <a:rPr lang="en-US" sz="1100" b="0" i="0">
                                <a:latin typeface="Cambria Math" panose="02040503050406030204" pitchFamily="18" charset="0"/>
                              </a:rPr>
                              <m:t>Quart</m:t>
                            </m:r>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𝑅</m:t>
                                    </m:r>
                                  </m:e>
                                  <m:sub>
                                    <m:r>
                                      <a:rPr lang="en-US" sz="1100" b="0" i="1">
                                        <a:latin typeface="Cambria Math" panose="02040503050406030204" pitchFamily="18" charset="0"/>
                                      </a:rPr>
                                      <m:t>𝑝𝑒𝑟</m:t>
                                    </m:r>
                                    <m:r>
                                      <a:rPr lang="en-US" sz="1100" b="0" i="1">
                                        <a:latin typeface="Cambria Math" panose="02040503050406030204" pitchFamily="18" charset="0"/>
                                      </a:rPr>
                                      <m:t> </m:t>
                                    </m:r>
                                    <m:r>
                                      <a:rPr lang="en-US" sz="1100" b="0" i="1">
                                        <a:latin typeface="Cambria Math" panose="02040503050406030204" pitchFamily="18" charset="0"/>
                                      </a:rPr>
                                      <m:t>𝑙𝑒𝑛𝑔𝑡h</m:t>
                                    </m:r>
                                  </m:sub>
                                </m:sSub>
                              </m:e>
                            </m:d>
                            <m:r>
                              <a:rPr lang="en-US" sz="1100" b="0" i="1">
                                <a:latin typeface="Cambria Math" panose="02040503050406030204" pitchFamily="18" charset="0"/>
                              </a:rPr>
                              <m:t>,  </m:t>
                            </m:r>
                            <m:r>
                              <m:rPr>
                                <m:nor/>
                              </m:rPr>
                              <a:rPr lang="en-US" sz="1100" b="0" i="0">
                                <a:latin typeface="Cambria Math" panose="02040503050406030204" pitchFamily="18" charset="0"/>
                              </a:rPr>
                              <m:t>E</m:t>
                            </m:r>
                            <m:r>
                              <m:rPr>
                                <m:nor/>
                              </m:rPr>
                              <a:rPr lang="en-US" sz="1100" b="0" i="0">
                                <a:latin typeface="Cambria Math" panose="02040503050406030204" pitchFamily="18" charset="0"/>
                              </a:rPr>
                              <m:t>−</m:t>
                            </m:r>
                            <m:r>
                              <m:rPr>
                                <m:nor/>
                              </m:rPr>
                              <a:rPr lang="en-US" sz="1100" b="0" i="0">
                                <a:latin typeface="Cambria Math" panose="02040503050406030204" pitchFamily="18" charset="0"/>
                              </a:rPr>
                              <m:t>Glass</m:t>
                            </m:r>
                          </m:e>
                          <m:e>
                            <m:r>
                              <a:rPr lang="en-US" sz="1100" b="0" i="1">
                                <a:latin typeface="Cambria Math" panose="02040503050406030204" pitchFamily="18" charset="0"/>
                              </a:rPr>
                              <m:t>&amp;</m:t>
                            </m:r>
                            <m:r>
                              <m:rPr>
                                <m:nor/>
                              </m:rPr>
                              <a:rPr lang="en-US" sz="1100" b="0" i="0">
                                <a:latin typeface="Cambria Math" panose="02040503050406030204" pitchFamily="18" charset="0"/>
                              </a:rPr>
                              <m:t>Pint</m:t>
                            </m:r>
                            <m:d>
                              <m:dPr>
                                <m:ctrlPr>
                                  <a:rPr lang="en-US" sz="1100" b="0" i="1">
                                    <a:solidFill>
                                      <a:schemeClr val="tx1"/>
                                    </a:solidFill>
                                    <a:effectLst/>
                                    <a:latin typeface="Cambria Math" panose="02040503050406030204" pitchFamily="18" charset="0"/>
                                    <a:ea typeface="+mn-ea"/>
                                    <a:cs typeface="+mn-cs"/>
                                  </a:rPr>
                                </m:ctrlPr>
                              </m:dPr>
                              <m:e>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𝑅</m:t>
                                    </m:r>
                                  </m:e>
                                  <m:sub>
                                    <m:r>
                                      <a:rPr lang="en-US" sz="1100" b="0" i="1">
                                        <a:solidFill>
                                          <a:schemeClr val="tx1"/>
                                        </a:solidFill>
                                        <a:effectLst/>
                                        <a:latin typeface="Cambria Math" panose="02040503050406030204" pitchFamily="18" charset="0"/>
                                        <a:ea typeface="+mn-ea"/>
                                        <a:cs typeface="+mn-cs"/>
                                      </a:rPr>
                                      <m:t>𝑝𝑒𝑟</m:t>
                                    </m:r>
                                    <m:r>
                                      <a:rPr lang="en-US" sz="1100" b="0" i="1">
                                        <a:solidFill>
                                          <a:schemeClr val="tx1"/>
                                        </a:solidFill>
                                        <a:effectLst/>
                                        <a:latin typeface="Cambria Math" panose="02040503050406030204" pitchFamily="18" charset="0"/>
                                        <a:ea typeface="+mn-ea"/>
                                        <a:cs typeface="+mn-cs"/>
                                      </a:rPr>
                                      <m:t> </m:t>
                                    </m:r>
                                    <m:r>
                                      <a:rPr lang="en-US" sz="1100" b="0" i="1">
                                        <a:solidFill>
                                          <a:schemeClr val="tx1"/>
                                        </a:solidFill>
                                        <a:effectLst/>
                                        <a:latin typeface="Cambria Math" panose="02040503050406030204" pitchFamily="18" charset="0"/>
                                        <a:ea typeface="+mn-ea"/>
                                        <a:cs typeface="+mn-cs"/>
                                      </a:rPr>
                                      <m:t>𝑙𝑒𝑛𝑔𝑡h</m:t>
                                    </m:r>
                                  </m:sub>
                                </m:sSub>
                              </m:e>
                            </m:d>
                            <m:r>
                              <a:rPr lang="en-US" sz="1100" b="0" i="1">
                                <a:latin typeface="Cambria Math" panose="02040503050406030204" pitchFamily="18" charset="0"/>
                              </a:rPr>
                              <m:t>,  </m:t>
                            </m:r>
                            <m:r>
                              <m:rPr>
                                <m:nor/>
                              </m:rPr>
                              <a:rPr lang="en-US" sz="1100" b="0" i="0">
                                <a:latin typeface="Cambria Math" panose="02040503050406030204" pitchFamily="18" charset="0"/>
                              </a:rPr>
                              <m:t>Carbon</m:t>
                            </m:r>
                          </m:e>
                        </m:eqArr>
                      </m:e>
                    </m:d>
                  </m:oMath>
                </m:oMathPara>
              </a14:m>
              <a:endParaRPr lang="en-US" sz="1100"/>
            </a:p>
          </xdr:txBody>
        </xdr:sp>
      </mc:Choice>
      <mc:Fallback xmlns="">
        <xdr:sp macro="" textlink="">
          <xdr:nvSpPr>
            <xdr:cNvPr id="63" name="TextBox 62">
              <a:extLst>
                <a:ext uri="{FF2B5EF4-FFF2-40B4-BE49-F238E27FC236}">
                  <a16:creationId xmlns:a16="http://schemas.microsoft.com/office/drawing/2014/main" id="{260D78C3-E4D0-4E25-B2B5-865C63474EA4}"/>
                </a:ext>
              </a:extLst>
            </xdr:cNvPr>
            <xdr:cNvSpPr txBox="1"/>
          </xdr:nvSpPr>
          <xdr:spPr>
            <a:xfrm>
              <a:off x="2809875" y="39158396"/>
              <a:ext cx="2850011" cy="5404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𝑅_(</a:t>
              </a:r>
              <a:r>
                <a:rPr lang="en-US" sz="1100" b="0" i="0">
                  <a:solidFill>
                    <a:schemeClr val="tx1"/>
                  </a:solidFill>
                  <a:effectLst/>
                  <a:latin typeface="Cambria Math" panose="02040503050406030204" pitchFamily="18" charset="0"/>
                  <a:ea typeface="Cambria Math" panose="02040503050406030204" pitchFamily="18" charset="0"/>
                  <a:cs typeface="+mn-cs"/>
                </a:rPr>
                <a:t>𝑝𝑒𝑟 𝑙𝑒𝑛𝑔𝑡ℎ</a:t>
              </a:r>
              <a:r>
                <a:rPr lang="en-US" sz="1100" b="0" i="0">
                  <a:solidFill>
                    <a:schemeClr val="tx1"/>
                  </a:solidFill>
                  <a:effectLst/>
                  <a:latin typeface="Cambria Math" panose="02040503050406030204" pitchFamily="18" charset="0"/>
                  <a:ea typeface="+mn-ea"/>
                  <a:cs typeface="+mn-cs"/>
                </a:rPr>
                <a:t>)</a:t>
              </a:r>
              <a:r>
                <a:rPr lang="en-US" sz="1100" b="0" i="0">
                  <a:latin typeface="Cambria Math" panose="02040503050406030204" pitchFamily="18" charset="0"/>
                </a:rPr>
                <a:t>={█("Quart" (𝑅_(𝑝𝑒𝑟 𝑙𝑒𝑛𝑔𝑡ℎ) ),  "E−Glass" @&amp;"Pint</a:t>
              </a:r>
              <a:r>
                <a:rPr lang="en-US" sz="1100" b="0" i="0">
                  <a:solidFill>
                    <a:schemeClr val="tx1"/>
                  </a:solidFill>
                  <a:effectLst/>
                  <a:latin typeface="Cambria Math" panose="02040503050406030204" pitchFamily="18" charset="0"/>
                  <a:ea typeface="+mn-ea"/>
                  <a:cs typeface="+mn-cs"/>
                </a:rPr>
                <a:t>" (𝑅_(𝑝𝑒𝑟 𝑙𝑒𝑛𝑔𝑡ℎ) )</a:t>
              </a:r>
              <a:r>
                <a:rPr lang="en-US" sz="1100" b="0" i="0">
                  <a:latin typeface="Cambria Math" panose="02040503050406030204" pitchFamily="18" charset="0"/>
                </a:rPr>
                <a:t>,  "Carbon" )┤</a:t>
              </a:r>
              <a:endParaRPr lang="en-US" sz="1100"/>
            </a:p>
          </xdr:txBody>
        </xdr:sp>
      </mc:Fallback>
    </mc:AlternateContent>
    <xdr:clientData/>
  </xdr:oneCellAnchor>
  <xdr:oneCellAnchor>
    <xdr:from>
      <xdr:col>4</xdr:col>
      <xdr:colOff>11206</xdr:colOff>
      <xdr:row>47</xdr:row>
      <xdr:rowOff>67235</xdr:rowOff>
    </xdr:from>
    <xdr:ext cx="365485" cy="172227"/>
    <mc:AlternateContent xmlns:mc="http://schemas.openxmlformats.org/markup-compatibility/2006" xmlns:a14="http://schemas.microsoft.com/office/drawing/2010/main">
      <mc:Choice Requires="a14">
        <xdr:sp macro="" textlink="">
          <xdr:nvSpPr>
            <xdr:cNvPr id="363520" name="TextBox 363519">
              <a:extLst>
                <a:ext uri="{FF2B5EF4-FFF2-40B4-BE49-F238E27FC236}">
                  <a16:creationId xmlns:a16="http://schemas.microsoft.com/office/drawing/2014/main" id="{00000000-0008-0000-0700-0000008C0500}"/>
                </a:ext>
              </a:extLst>
            </xdr:cNvPr>
            <xdr:cNvSpPr txBox="1"/>
          </xdr:nvSpPr>
          <xdr:spPr>
            <a:xfrm>
              <a:off x="2819176" y="14943380"/>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oMath>
                </m:oMathPara>
              </a14:m>
              <a:endParaRPr lang="en-US" sz="1100"/>
            </a:p>
          </xdr:txBody>
        </xdr:sp>
      </mc:Choice>
      <mc:Fallback xmlns="">
        <xdr:sp macro="" textlink="">
          <xdr:nvSpPr>
            <xdr:cNvPr id="363520" name="TextBox 363519">
              <a:extLst>
                <a:ext uri="{FF2B5EF4-FFF2-40B4-BE49-F238E27FC236}">
                  <a16:creationId xmlns:a16="http://schemas.microsoft.com/office/drawing/2014/main" id="{5BAE5EE2-1A66-452F-80EA-729FE4663C85}"/>
                </a:ext>
              </a:extLst>
            </xdr:cNvPr>
            <xdr:cNvSpPr txBox="1"/>
          </xdr:nvSpPr>
          <xdr:spPr>
            <a:xfrm>
              <a:off x="2819176" y="14943380"/>
              <a:ext cx="36548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endParaRPr lang="en-US" sz="1100"/>
            </a:p>
          </xdr:txBody>
        </xdr:sp>
      </mc:Fallback>
    </mc:AlternateContent>
    <xdr:clientData/>
  </xdr:oneCellAnchor>
  <xdr:oneCellAnchor>
    <xdr:from>
      <xdr:col>4</xdr:col>
      <xdr:colOff>33617</xdr:colOff>
      <xdr:row>85</xdr:row>
      <xdr:rowOff>212912</xdr:rowOff>
    </xdr:from>
    <xdr:ext cx="3128484" cy="318036"/>
    <mc:AlternateContent xmlns:mc="http://schemas.openxmlformats.org/markup-compatibility/2006" xmlns:a14="http://schemas.microsoft.com/office/drawing/2010/main">
      <mc:Choice Requires="a14">
        <xdr:sp macro="" textlink="">
          <xdr:nvSpPr>
            <xdr:cNvPr id="363522" name="TextBox 363521">
              <a:extLst>
                <a:ext uri="{FF2B5EF4-FFF2-40B4-BE49-F238E27FC236}">
                  <a16:creationId xmlns:a16="http://schemas.microsoft.com/office/drawing/2014/main" id="{00000000-0008-0000-0700-0000028C0500}"/>
                </a:ext>
              </a:extLst>
            </xdr:cNvPr>
            <xdr:cNvSpPr txBox="1"/>
          </xdr:nvSpPr>
          <xdr:spPr>
            <a:xfrm>
              <a:off x="2847302" y="39995027"/>
              <a:ext cx="3128484"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panose="02040503050406030204" pitchFamily="18" charset="0"/>
                            <a:ea typeface="+mn-ea"/>
                            <a:cs typeface="+mn-cs"/>
                          </a:rPr>
                          <m:t>𝑃</m:t>
                        </m:r>
                      </m:e>
                      <m:sub>
                        <m:r>
                          <a:rPr lang="en-US" sz="1100" b="0" i="1">
                            <a:solidFill>
                              <a:schemeClr val="tx1"/>
                            </a:solidFill>
                            <a:effectLst/>
                            <a:latin typeface="Cambria Math" panose="02040503050406030204" pitchFamily="18" charset="0"/>
                            <a:ea typeface="+mn-ea"/>
                            <a:cs typeface="+mn-cs"/>
                          </a:rPr>
                          <m:t>𝑡𝑜𝑡𝑎𝑙</m:t>
                        </m:r>
                      </m:sub>
                    </m:sSub>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6</m:t>
                        </m:r>
                      </m:den>
                    </m:f>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d>
                      <m:dPr>
                        <m:ctrlPr>
                          <a:rPr lang="en-US" sz="1100" b="0" i="1">
                            <a:latin typeface="Cambria Math" panose="02040503050406030204" pitchFamily="18" charset="0"/>
                          </a:rPr>
                        </m:ctrlPr>
                      </m:dPr>
                      <m:e>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𝑝𝑢𝑡𝑡𝑦</m:t>
                            </m:r>
                          </m:sub>
                        </m:sSub>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e>
                    </m:d>
                    <m:r>
                      <a:rPr lang="en-US" sz="1100" b="0" i="1">
                        <a:latin typeface="Cambria Math" panose="02040503050406030204" pitchFamily="18" charset="0"/>
                      </a:rPr>
                      <m:t>𝐷</m:t>
                    </m:r>
                    <m:r>
                      <a:rPr lang="en-US" sz="1100" b="0" i="1">
                        <a:latin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𝜃</m:t>
                        </m:r>
                      </m:e>
                      <m:sub>
                        <m:r>
                          <a:rPr lang="en-US" sz="1100" b="0" i="1">
                            <a:latin typeface="Cambria Math" panose="02040503050406030204" pitchFamily="18" charset="0"/>
                            <a:ea typeface="Cambria Math" panose="02040503050406030204" pitchFamily="18" charset="0"/>
                          </a:rPr>
                          <m:t>𝑑𝑒𝑓𝑒𝑐𝑡</m:t>
                        </m:r>
                      </m:sub>
                    </m:sSub>
                    <m:r>
                      <a:rPr lang="en-US" sz="1100" b="0" i="1">
                        <a:latin typeface="Cambria Math" panose="02040503050406030204" pitchFamily="18" charset="0"/>
                      </a:rPr>
                      <m:t>∗1.1</m:t>
                    </m:r>
                  </m:oMath>
                </m:oMathPara>
              </a14:m>
              <a:endParaRPr lang="en-US" sz="1100"/>
            </a:p>
          </xdr:txBody>
        </xdr:sp>
      </mc:Choice>
      <mc:Fallback xmlns="">
        <xdr:sp macro="" textlink="">
          <xdr:nvSpPr>
            <xdr:cNvPr id="363522" name="TextBox 363521">
              <a:extLst>
                <a:ext uri="{FF2B5EF4-FFF2-40B4-BE49-F238E27FC236}">
                  <a16:creationId xmlns:a16="http://schemas.microsoft.com/office/drawing/2014/main" id="{F75971B4-3413-4AEA-9214-6B530695555D}"/>
                </a:ext>
              </a:extLst>
            </xdr:cNvPr>
            <xdr:cNvSpPr txBox="1"/>
          </xdr:nvSpPr>
          <xdr:spPr>
            <a:xfrm>
              <a:off x="2847302" y="39995027"/>
              <a:ext cx="3128484" cy="3180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solidFill>
                    <a:schemeClr val="tx1"/>
                  </a:solidFill>
                  <a:effectLst/>
                  <a:latin typeface="Cambria Math" panose="02040503050406030204" pitchFamily="18" charset="0"/>
                  <a:ea typeface="+mn-ea"/>
                  <a:cs typeface="+mn-cs"/>
                </a:rPr>
                <a:t>𝑃_𝑡𝑜𝑡𝑎𝑙</a:t>
              </a:r>
              <a:r>
                <a:rPr lang="en-US" sz="1100" b="0" i="0">
                  <a:latin typeface="Cambria Math" panose="02040503050406030204" pitchFamily="18" charset="0"/>
                </a:rPr>
                <a:t>=1/6 ℎ_𝑑𝑒𝑓𝑒𝑐𝑡 (𝐿_𝑝𝑢𝑡𝑡𝑦−𝐿_𝑑𝑒𝑓𝑒𝑐𝑡 )𝐷∗</a:t>
              </a:r>
              <a:r>
                <a:rPr lang="en-US" sz="1100" b="0" i="0">
                  <a:latin typeface="Cambria Math" panose="02040503050406030204" pitchFamily="18" charset="0"/>
                  <a:ea typeface="Cambria Math" panose="02040503050406030204" pitchFamily="18" charset="0"/>
                </a:rPr>
                <a:t>𝜃_𝑑𝑒𝑓𝑒𝑐𝑡</a:t>
              </a:r>
              <a:r>
                <a:rPr lang="en-US" sz="1100" b="0" i="0">
                  <a:latin typeface="Cambria Math" panose="02040503050406030204" pitchFamily="18" charset="0"/>
                </a:rPr>
                <a:t>∗1.1</a:t>
              </a:r>
              <a:endParaRPr lang="en-US" sz="1100"/>
            </a:p>
          </xdr:txBody>
        </xdr:sp>
      </mc:Fallback>
    </mc:AlternateContent>
    <xdr:clientData/>
  </xdr:oneCellAnchor>
  <xdr:oneCellAnchor>
    <xdr:from>
      <xdr:col>4</xdr:col>
      <xdr:colOff>100853</xdr:colOff>
      <xdr:row>21</xdr:row>
      <xdr:rowOff>78441</xdr:rowOff>
    </xdr:from>
    <xdr:ext cx="451534" cy="183127"/>
    <mc:AlternateContent xmlns:mc="http://schemas.openxmlformats.org/markup-compatibility/2006" xmlns:a14="http://schemas.microsoft.com/office/drawing/2010/main">
      <mc:Choice Requires="a14">
        <xdr:sp macro="" textlink="">
          <xdr:nvSpPr>
            <xdr:cNvPr id="363523" name="TextBox 363522">
              <a:extLst>
                <a:ext uri="{FF2B5EF4-FFF2-40B4-BE49-F238E27FC236}">
                  <a16:creationId xmlns:a16="http://schemas.microsoft.com/office/drawing/2014/main" id="{00000000-0008-0000-0700-0000038C0500}"/>
                </a:ext>
              </a:extLst>
            </xdr:cNvPr>
            <xdr:cNvSpPr txBox="1"/>
          </xdr:nvSpPr>
          <xdr:spPr>
            <a:xfrm>
              <a:off x="2906918" y="6170631"/>
              <a:ext cx="4515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𝜃</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363523" name="TextBox 363522">
              <a:extLst>
                <a:ext uri="{FF2B5EF4-FFF2-40B4-BE49-F238E27FC236}">
                  <a16:creationId xmlns:a16="http://schemas.microsoft.com/office/drawing/2014/main" id="{C070F943-4E5C-4501-8DA4-B8C87D4D350E}"/>
                </a:ext>
              </a:extLst>
            </xdr:cNvPr>
            <xdr:cNvSpPr txBox="1"/>
          </xdr:nvSpPr>
          <xdr:spPr>
            <a:xfrm>
              <a:off x="2906918" y="6170631"/>
              <a:ext cx="4515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ea typeface="Cambria Math" panose="02040503050406030204" pitchFamily="18" charset="0"/>
                </a:rPr>
                <a:t>𝜃_</a:t>
              </a:r>
              <a:r>
                <a:rPr lang="en-US" sz="1100" b="0" i="0">
                  <a:latin typeface="Cambria Math" panose="02040503050406030204" pitchFamily="18" charset="0"/>
                </a:rPr>
                <a:t>𝑑𝑒𝑓𝑒𝑐𝑡</a:t>
              </a:r>
              <a:endParaRPr lang="en-US" sz="1100"/>
            </a:p>
          </xdr:txBody>
        </xdr:sp>
      </mc:Fallback>
    </mc:AlternateContent>
    <xdr:clientData/>
  </xdr:oneCellAnchor>
  <xdr:oneCellAnchor>
    <xdr:from>
      <xdr:col>5</xdr:col>
      <xdr:colOff>179294</xdr:colOff>
      <xdr:row>24</xdr:row>
      <xdr:rowOff>78441</xdr:rowOff>
    </xdr:from>
    <xdr:ext cx="1231234" cy="183127"/>
    <mc:AlternateContent xmlns:mc="http://schemas.openxmlformats.org/markup-compatibility/2006" xmlns:a14="http://schemas.microsoft.com/office/drawing/2010/main">
      <mc:Choice Requires="a14">
        <xdr:sp macro="" textlink="">
          <xdr:nvSpPr>
            <xdr:cNvPr id="363524" name="TextBox 363523">
              <a:extLst>
                <a:ext uri="{FF2B5EF4-FFF2-40B4-BE49-F238E27FC236}">
                  <a16:creationId xmlns:a16="http://schemas.microsoft.com/office/drawing/2014/main" id="{00000000-0008-0000-0700-0000048C0500}"/>
                </a:ext>
              </a:extLst>
            </xdr:cNvPr>
            <xdr:cNvSpPr txBox="1"/>
          </xdr:nvSpPr>
          <xdr:spPr>
            <a:xfrm>
              <a:off x="3629249" y="7199331"/>
              <a:ext cx="12312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𝑝𝑢𝑡𝑡𝑦</m:t>
                        </m:r>
                      </m:sub>
                    </m:sSub>
                    <m:r>
                      <a:rPr lang="en-US" sz="1100" b="0" i="1">
                        <a:latin typeface="Cambria Math" panose="02040503050406030204" pitchFamily="18" charset="0"/>
                      </a:rPr>
                      <m:t>=</m:t>
                    </m:r>
                    <m:r>
                      <a:rPr lang="en-US" sz="1100" b="0" i="1">
                        <a:latin typeface="Cambria Math" panose="02040503050406030204" pitchFamily="18" charset="0"/>
                      </a:rPr>
                      <m:t>𝐶</m:t>
                    </m:r>
                    <m:r>
                      <a:rPr lang="en-US" sz="1100" b="0" i="1">
                        <a:latin typeface="Cambria Math" panose="02040503050406030204" pitchFamily="18" charset="0"/>
                      </a:rPr>
                      <m:t>∗</m:t>
                    </m:r>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oMath>
                </m:oMathPara>
              </a14:m>
              <a:endParaRPr lang="en-US" sz="1100"/>
            </a:p>
          </xdr:txBody>
        </xdr:sp>
      </mc:Choice>
      <mc:Fallback xmlns="">
        <xdr:sp macro="" textlink="">
          <xdr:nvSpPr>
            <xdr:cNvPr id="363524" name="TextBox 363523">
              <a:extLst>
                <a:ext uri="{FF2B5EF4-FFF2-40B4-BE49-F238E27FC236}">
                  <a16:creationId xmlns:a16="http://schemas.microsoft.com/office/drawing/2014/main" id="{921294D2-B1F3-44BB-81F9-CA9DA533816B}"/>
                </a:ext>
              </a:extLst>
            </xdr:cNvPr>
            <xdr:cNvSpPr txBox="1"/>
          </xdr:nvSpPr>
          <xdr:spPr>
            <a:xfrm>
              <a:off x="3629249" y="7199331"/>
              <a:ext cx="1231234" cy="1831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𝐿_𝑝𝑢𝑡𝑡𝑦=𝐶∗ℎ_𝑑𝑒𝑓𝑒𝑐𝑡</a:t>
              </a:r>
              <a:endParaRPr lang="en-US" sz="1100"/>
            </a:p>
          </xdr:txBody>
        </xdr:sp>
      </mc:Fallback>
    </mc:AlternateContent>
    <xdr:clientData/>
  </xdr:oneCellAnchor>
  <xdr:oneCellAnchor>
    <xdr:from>
      <xdr:col>5</xdr:col>
      <xdr:colOff>187137</xdr:colOff>
      <xdr:row>21</xdr:row>
      <xdr:rowOff>344021</xdr:rowOff>
    </xdr:from>
    <xdr:ext cx="726994" cy="369332"/>
    <mc:AlternateContent xmlns:mc="http://schemas.openxmlformats.org/markup-compatibility/2006" xmlns:a14="http://schemas.microsoft.com/office/drawing/2010/main">
      <mc:Choice Requires="a14">
        <xdr:sp macro="" textlink="">
          <xdr:nvSpPr>
            <xdr:cNvPr id="363525" name="TextBox 363524">
              <a:extLst>
                <a:ext uri="{FF2B5EF4-FFF2-40B4-BE49-F238E27FC236}">
                  <a16:creationId xmlns:a16="http://schemas.microsoft.com/office/drawing/2014/main" id="{00000000-0008-0000-0700-0000058C0500}"/>
                </a:ext>
              </a:extLst>
            </xdr:cNvPr>
            <xdr:cNvSpPr txBox="1"/>
          </xdr:nvSpPr>
          <xdr:spPr>
            <a:xfrm>
              <a:off x="3638997" y="6440021"/>
              <a:ext cx="726994"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sty m:val="p"/>
                      </m:rPr>
                      <a:rPr lang="en-US" sz="1100" b="0" i="0">
                        <a:latin typeface="Cambria Math" panose="02040503050406030204" pitchFamily="18" charset="0"/>
                      </a:rPr>
                      <m:t>A</m:t>
                    </m:r>
                    <m:r>
                      <a:rPr lang="en-US" sz="1100" b="0" i="1">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𝑑𝑒𝑓𝑒𝑐𝑡</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den>
                    </m:f>
                  </m:oMath>
                </m:oMathPara>
              </a14:m>
              <a:endParaRPr lang="en-US" sz="1100"/>
            </a:p>
          </xdr:txBody>
        </xdr:sp>
      </mc:Choice>
      <mc:Fallback xmlns="">
        <xdr:sp macro="" textlink="">
          <xdr:nvSpPr>
            <xdr:cNvPr id="363525" name="TextBox 363524">
              <a:extLst>
                <a:ext uri="{FF2B5EF4-FFF2-40B4-BE49-F238E27FC236}">
                  <a16:creationId xmlns:a16="http://schemas.microsoft.com/office/drawing/2014/main" id="{F022DF45-157C-4AF3-A9D6-2914F5758A6E}"/>
                </a:ext>
              </a:extLst>
            </xdr:cNvPr>
            <xdr:cNvSpPr txBox="1"/>
          </xdr:nvSpPr>
          <xdr:spPr>
            <a:xfrm>
              <a:off x="3638997" y="6440021"/>
              <a:ext cx="726994" cy="3693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A=𝐿_𝑑𝑒𝑓𝑒𝑐𝑡/ℎ_𝑑𝑒𝑓𝑒𝑐𝑡 </a:t>
              </a:r>
              <a:endParaRPr lang="en-US" sz="1100"/>
            </a:p>
          </xdr:txBody>
        </xdr:sp>
      </mc:Fallback>
    </mc:AlternateContent>
    <xdr:clientData/>
  </xdr:oneCellAnchor>
  <xdr:oneCellAnchor>
    <xdr:from>
      <xdr:col>4</xdr:col>
      <xdr:colOff>246528</xdr:colOff>
      <xdr:row>23</xdr:row>
      <xdr:rowOff>78442</xdr:rowOff>
    </xdr:from>
    <xdr:ext cx="122277" cy="172227"/>
    <mc:AlternateContent xmlns:mc="http://schemas.openxmlformats.org/markup-compatibility/2006" xmlns:a14="http://schemas.microsoft.com/office/drawing/2010/main">
      <mc:Choice Requires="a14">
        <xdr:sp macro="" textlink="">
          <xdr:nvSpPr>
            <xdr:cNvPr id="363526" name="TextBox 363525">
              <a:extLst>
                <a:ext uri="{FF2B5EF4-FFF2-40B4-BE49-F238E27FC236}">
                  <a16:creationId xmlns:a16="http://schemas.microsoft.com/office/drawing/2014/main" id="{00000000-0008-0000-0700-0000068C0500}"/>
                </a:ext>
              </a:extLst>
            </xdr:cNvPr>
            <xdr:cNvSpPr txBox="1"/>
          </xdr:nvSpPr>
          <xdr:spPr>
            <a:xfrm>
              <a:off x="3056403" y="6856432"/>
              <a:ext cx="1222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𝐶</m:t>
                    </m:r>
                  </m:oMath>
                </m:oMathPara>
              </a14:m>
              <a:endParaRPr lang="en-US" sz="1100"/>
            </a:p>
          </xdr:txBody>
        </xdr:sp>
      </mc:Choice>
      <mc:Fallback xmlns="">
        <xdr:sp macro="" textlink="">
          <xdr:nvSpPr>
            <xdr:cNvPr id="363526" name="TextBox 363525">
              <a:extLst>
                <a:ext uri="{FF2B5EF4-FFF2-40B4-BE49-F238E27FC236}">
                  <a16:creationId xmlns:a16="http://schemas.microsoft.com/office/drawing/2014/main" id="{AB48034C-6642-4F50-8068-9FF9C60288DC}"/>
                </a:ext>
              </a:extLst>
            </xdr:cNvPr>
            <xdr:cNvSpPr txBox="1"/>
          </xdr:nvSpPr>
          <xdr:spPr>
            <a:xfrm>
              <a:off x="3056403" y="6856432"/>
              <a:ext cx="122277"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𝐶</a:t>
              </a:r>
              <a:endParaRPr lang="en-US" sz="1100"/>
            </a:p>
          </xdr:txBody>
        </xdr:sp>
      </mc:Fallback>
    </mc:AlternateContent>
    <xdr:clientData/>
  </xdr:oneCellAnchor>
  <xdr:oneCellAnchor>
    <xdr:from>
      <xdr:col>4</xdr:col>
      <xdr:colOff>156882</xdr:colOff>
      <xdr:row>24</xdr:row>
      <xdr:rowOff>78441</xdr:rowOff>
    </xdr:from>
    <xdr:ext cx="402803" cy="182935"/>
    <mc:AlternateContent xmlns:mc="http://schemas.openxmlformats.org/markup-compatibility/2006" xmlns:a14="http://schemas.microsoft.com/office/drawing/2010/main">
      <mc:Choice Requires="a14">
        <xdr:sp macro="" textlink="">
          <xdr:nvSpPr>
            <xdr:cNvPr id="363527" name="TextBox 363526">
              <a:extLst>
                <a:ext uri="{FF2B5EF4-FFF2-40B4-BE49-F238E27FC236}">
                  <a16:creationId xmlns:a16="http://schemas.microsoft.com/office/drawing/2014/main" id="{00000000-0008-0000-0700-0000078C0500}"/>
                </a:ext>
              </a:extLst>
            </xdr:cNvPr>
            <xdr:cNvSpPr txBox="1"/>
          </xdr:nvSpPr>
          <xdr:spPr>
            <a:xfrm>
              <a:off x="2962947" y="7199331"/>
              <a:ext cx="40280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𝑝𝑢𝑡𝑡𝑦</m:t>
                        </m:r>
                      </m:sub>
                    </m:sSub>
                  </m:oMath>
                </m:oMathPara>
              </a14:m>
              <a:endParaRPr lang="en-US" sz="1100"/>
            </a:p>
          </xdr:txBody>
        </xdr:sp>
      </mc:Choice>
      <mc:Fallback xmlns="">
        <xdr:sp macro="" textlink="">
          <xdr:nvSpPr>
            <xdr:cNvPr id="363527" name="TextBox 363526">
              <a:extLst>
                <a:ext uri="{FF2B5EF4-FFF2-40B4-BE49-F238E27FC236}">
                  <a16:creationId xmlns:a16="http://schemas.microsoft.com/office/drawing/2014/main" id="{DDE21EB7-EDFD-459D-8D59-8724CA498821}"/>
                </a:ext>
              </a:extLst>
            </xdr:cNvPr>
            <xdr:cNvSpPr txBox="1"/>
          </xdr:nvSpPr>
          <xdr:spPr>
            <a:xfrm>
              <a:off x="2962947" y="7199331"/>
              <a:ext cx="402803" cy="182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𝐿_𝑝𝑢𝑡𝑡𝑦</a:t>
              </a:r>
              <a:endParaRPr lang="en-US" sz="1100"/>
            </a:p>
          </xdr:txBody>
        </xdr:sp>
      </mc:Fallback>
    </mc:AlternateContent>
    <xdr:clientData/>
  </xdr:oneCellAnchor>
  <xdr:oneCellAnchor>
    <xdr:from>
      <xdr:col>5</xdr:col>
      <xdr:colOff>168088</xdr:colOff>
      <xdr:row>23</xdr:row>
      <xdr:rowOff>0</xdr:rowOff>
    </xdr:from>
    <xdr:ext cx="729494" cy="369140"/>
    <mc:AlternateContent xmlns:mc="http://schemas.openxmlformats.org/markup-compatibility/2006" xmlns:a14="http://schemas.microsoft.com/office/drawing/2010/main">
      <mc:Choice Requires="a14">
        <xdr:sp macro="" textlink="">
          <xdr:nvSpPr>
            <xdr:cNvPr id="363528" name="TextBox 363527">
              <a:extLst>
                <a:ext uri="{FF2B5EF4-FFF2-40B4-BE49-F238E27FC236}">
                  <a16:creationId xmlns:a16="http://schemas.microsoft.com/office/drawing/2014/main" id="{00000000-0008-0000-0700-0000088C0500}"/>
                </a:ext>
              </a:extLst>
            </xdr:cNvPr>
            <xdr:cNvSpPr txBox="1"/>
          </xdr:nvSpPr>
          <xdr:spPr>
            <a:xfrm>
              <a:off x="3619948" y="6781800"/>
              <a:ext cx="729494" cy="369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𝐶</m:t>
                    </m:r>
                    <m:r>
                      <a:rPr lang="en-US" sz="1100" b="0" i="1">
                        <a:latin typeface="Cambria Math" panose="02040503050406030204" pitchFamily="18" charset="0"/>
                      </a:rPr>
                      <m:t>=</m:t>
                    </m:r>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panose="02040503050406030204" pitchFamily="18" charset="0"/>
                              </a:rPr>
                              <m:t>𝐿</m:t>
                            </m:r>
                          </m:e>
                          <m:sub>
                            <m:r>
                              <a:rPr lang="en-US" sz="1100" b="0" i="1">
                                <a:latin typeface="Cambria Math" panose="02040503050406030204" pitchFamily="18" charset="0"/>
                              </a:rPr>
                              <m:t>𝑝𝑢𝑡𝑡𝑦</m:t>
                            </m:r>
                          </m:sub>
                        </m:sSub>
                      </m:num>
                      <m:den>
                        <m:sSub>
                          <m:sSubPr>
                            <m:ctrlPr>
                              <a:rPr lang="en-US" sz="1100" b="0" i="1">
                                <a:latin typeface="Cambria Math" panose="02040503050406030204" pitchFamily="18" charset="0"/>
                              </a:rPr>
                            </m:ctrlPr>
                          </m:sSubPr>
                          <m:e>
                            <m:r>
                              <a:rPr lang="en-US" sz="1100" b="0" i="1">
                                <a:latin typeface="Cambria Math" panose="02040503050406030204" pitchFamily="18" charset="0"/>
                              </a:rPr>
                              <m:t>h</m:t>
                            </m:r>
                          </m:e>
                          <m:sub>
                            <m:r>
                              <a:rPr lang="en-US" sz="1100" b="0" i="1">
                                <a:latin typeface="Cambria Math" panose="02040503050406030204" pitchFamily="18" charset="0"/>
                              </a:rPr>
                              <m:t>𝑑𝑒𝑓𝑒𝑐𝑡</m:t>
                            </m:r>
                          </m:sub>
                        </m:sSub>
                      </m:den>
                    </m:f>
                  </m:oMath>
                </m:oMathPara>
              </a14:m>
              <a:endParaRPr lang="en-US" sz="1100"/>
            </a:p>
          </xdr:txBody>
        </xdr:sp>
      </mc:Choice>
      <mc:Fallback xmlns="">
        <xdr:sp macro="" textlink="">
          <xdr:nvSpPr>
            <xdr:cNvPr id="363528" name="TextBox 363527">
              <a:extLst>
                <a:ext uri="{FF2B5EF4-FFF2-40B4-BE49-F238E27FC236}">
                  <a16:creationId xmlns:a16="http://schemas.microsoft.com/office/drawing/2014/main" id="{8B93C2D3-577A-4E7E-8759-79D1BD377EAB}"/>
                </a:ext>
              </a:extLst>
            </xdr:cNvPr>
            <xdr:cNvSpPr txBox="1"/>
          </xdr:nvSpPr>
          <xdr:spPr>
            <a:xfrm>
              <a:off x="3619948" y="6781800"/>
              <a:ext cx="729494" cy="3691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𝐶=𝐿_𝑝𝑢𝑡𝑡𝑦/ℎ_𝑑𝑒𝑓𝑒𝑐𝑡 </a:t>
              </a:r>
              <a:endParaRPr lang="en-US" sz="1100"/>
            </a:p>
          </xdr:txBody>
        </xdr:sp>
      </mc:Fallback>
    </mc:AlternateContent>
    <xdr:clientData/>
  </xdr:oneCellAnchor>
  <xdr:oneCellAnchor>
    <xdr:from>
      <xdr:col>4</xdr:col>
      <xdr:colOff>246530</xdr:colOff>
      <xdr:row>22</xdr:row>
      <xdr:rowOff>89647</xdr:rowOff>
    </xdr:from>
    <xdr:ext cx="122533" cy="172227"/>
    <mc:AlternateContent xmlns:mc="http://schemas.openxmlformats.org/markup-compatibility/2006" xmlns:a14="http://schemas.microsoft.com/office/drawing/2010/main">
      <mc:Choice Requires="a14">
        <xdr:sp macro="" textlink="">
          <xdr:nvSpPr>
            <xdr:cNvPr id="363529" name="TextBox 363528">
              <a:extLst>
                <a:ext uri="{FF2B5EF4-FFF2-40B4-BE49-F238E27FC236}">
                  <a16:creationId xmlns:a16="http://schemas.microsoft.com/office/drawing/2014/main" id="{00000000-0008-0000-0700-0000098C0500}"/>
                </a:ext>
              </a:extLst>
            </xdr:cNvPr>
            <xdr:cNvSpPr txBox="1"/>
          </xdr:nvSpPr>
          <xdr:spPr>
            <a:xfrm>
              <a:off x="3056405" y="6532357"/>
              <a:ext cx="1225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𝐴</m:t>
                    </m:r>
                  </m:oMath>
                </m:oMathPara>
              </a14:m>
              <a:endParaRPr lang="en-US" sz="1100"/>
            </a:p>
          </xdr:txBody>
        </xdr:sp>
      </mc:Choice>
      <mc:Fallback xmlns="">
        <xdr:sp macro="" textlink="">
          <xdr:nvSpPr>
            <xdr:cNvPr id="363529" name="TextBox 363528">
              <a:extLst>
                <a:ext uri="{FF2B5EF4-FFF2-40B4-BE49-F238E27FC236}">
                  <a16:creationId xmlns:a16="http://schemas.microsoft.com/office/drawing/2014/main" id="{9AE9DDAF-0B01-4F9C-B32C-44D5C9F0CA33}"/>
                </a:ext>
              </a:extLst>
            </xdr:cNvPr>
            <xdr:cNvSpPr txBox="1"/>
          </xdr:nvSpPr>
          <xdr:spPr>
            <a:xfrm>
              <a:off x="3056405" y="6532357"/>
              <a:ext cx="122533"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n-US" sz="1100" b="0" i="0">
                  <a:latin typeface="Cambria Math" panose="02040503050406030204" pitchFamily="18" charset="0"/>
                </a:rPr>
                <a:t>𝐴</a:t>
              </a:r>
              <a:endParaRPr lang="en-US" sz="1100"/>
            </a:p>
          </xdr:txBody>
        </xdr:sp>
      </mc:Fallback>
    </mc:AlternateContent>
    <xdr:clientData/>
  </xdr:oneCellAnchor>
</xdr:wsDr>
</file>

<file path=xl/drawings/drawing11.xml><?xml version="1.0" encoding="utf-8"?>
<xdr:wsDr xmlns:xdr="http://schemas.openxmlformats.org/drawingml/2006/spreadsheetDrawing" xmlns:a="http://schemas.openxmlformats.org/drawingml/2006/main">
  <xdr:twoCellAnchor editAs="oneCell">
    <xdr:from>
      <xdr:col>13</xdr:col>
      <xdr:colOff>323850</xdr:colOff>
      <xdr:row>16</xdr:row>
      <xdr:rowOff>57150</xdr:rowOff>
    </xdr:from>
    <xdr:to>
      <xdr:col>15</xdr:col>
      <xdr:colOff>1694718</xdr:colOff>
      <xdr:row>23</xdr:row>
      <xdr:rowOff>171450</xdr:rowOff>
    </xdr:to>
    <xdr:pic>
      <xdr:nvPicPr>
        <xdr:cNvPr id="5" name="Picture 4">
          <a:extLst>
            <a:ext uri="{FF2B5EF4-FFF2-40B4-BE49-F238E27FC236}">
              <a16:creationId xmlns:a16="http://schemas.microsoft.com/office/drawing/2014/main" id="{7E6CA00A-62E9-51EB-5A4E-156E84495C4E}"/>
            </a:ext>
            <a:ext uri="{147F2762-F138-4A5C-976F-8EAC2B608ADB}">
              <a16:predDERef xmlns:a16="http://schemas.microsoft.com/office/drawing/2014/main" pred="{7AF7D56F-7913-43EB-9C10-0B8ACDC5337C}"/>
            </a:ext>
          </a:extLst>
        </xdr:cNvPr>
        <xdr:cNvPicPr>
          <a:picLocks noChangeAspect="1"/>
        </xdr:cNvPicPr>
      </xdr:nvPicPr>
      <xdr:blipFill>
        <a:blip xmlns:r="http://schemas.openxmlformats.org/officeDocument/2006/relationships" r:embed="rId1"/>
        <a:stretch>
          <a:fillRect/>
        </a:stretch>
      </xdr:blipFill>
      <xdr:spPr>
        <a:xfrm>
          <a:off x="16821150" y="3495675"/>
          <a:ext cx="4210050" cy="1447800"/>
        </a:xfrm>
        <a:prstGeom prst="rect">
          <a:avLst/>
        </a:prstGeom>
      </xdr:spPr>
    </xdr:pic>
    <xdr:clientData/>
  </xdr:twoCellAnchor>
  <xdr:twoCellAnchor editAs="oneCell">
    <xdr:from>
      <xdr:col>22</xdr:col>
      <xdr:colOff>226401</xdr:colOff>
      <xdr:row>115</xdr:row>
      <xdr:rowOff>45427</xdr:rowOff>
    </xdr:from>
    <xdr:to>
      <xdr:col>24</xdr:col>
      <xdr:colOff>47624</xdr:colOff>
      <xdr:row>131</xdr:row>
      <xdr:rowOff>38100</xdr:rowOff>
    </xdr:to>
    <xdr:pic>
      <xdr:nvPicPr>
        <xdr:cNvPr id="6" name="Picture 5">
          <a:extLst>
            <a:ext uri="{FF2B5EF4-FFF2-40B4-BE49-F238E27FC236}">
              <a16:creationId xmlns:a16="http://schemas.microsoft.com/office/drawing/2014/main" id="{7E7AF907-C221-EFF6-F8AC-A15DB41EB69A}"/>
            </a:ext>
            <a:ext uri="{147F2762-F138-4A5C-976F-8EAC2B608ADB}">
              <a16:predDERef xmlns:a16="http://schemas.microsoft.com/office/drawing/2014/main" pred="{7E6CA00A-62E9-51EB-5A4E-156E84495C4E}"/>
            </a:ext>
          </a:extLst>
        </xdr:cNvPr>
        <xdr:cNvPicPr>
          <a:picLocks noChangeAspect="1"/>
        </xdr:cNvPicPr>
      </xdr:nvPicPr>
      <xdr:blipFill>
        <a:blip xmlns:r="http://schemas.openxmlformats.org/officeDocument/2006/relationships" r:embed="rId2"/>
        <a:stretch>
          <a:fillRect/>
        </a:stretch>
      </xdr:blipFill>
      <xdr:spPr>
        <a:xfrm>
          <a:off x="20250882" y="22202042"/>
          <a:ext cx="3369652" cy="3038475"/>
        </a:xfrm>
        <a:prstGeom prst="rect">
          <a:avLst/>
        </a:prstGeom>
      </xdr:spPr>
    </xdr:pic>
    <xdr:clientData/>
  </xdr:twoCellAnchor>
  <xdr:twoCellAnchor editAs="oneCell">
    <xdr:from>
      <xdr:col>13</xdr:col>
      <xdr:colOff>904875</xdr:colOff>
      <xdr:row>78</xdr:row>
      <xdr:rowOff>38100</xdr:rowOff>
    </xdr:from>
    <xdr:to>
      <xdr:col>15</xdr:col>
      <xdr:colOff>1237518</xdr:colOff>
      <xdr:row>85</xdr:row>
      <xdr:rowOff>19050</xdr:rowOff>
    </xdr:to>
    <xdr:pic>
      <xdr:nvPicPr>
        <xdr:cNvPr id="7" name="Picture 6">
          <a:extLst>
            <a:ext uri="{FF2B5EF4-FFF2-40B4-BE49-F238E27FC236}">
              <a16:creationId xmlns:a16="http://schemas.microsoft.com/office/drawing/2014/main" id="{6884BD19-3871-99EA-3B1E-54CA225369B9}"/>
            </a:ext>
            <a:ext uri="{147F2762-F138-4A5C-976F-8EAC2B608ADB}">
              <a16:predDERef xmlns:a16="http://schemas.microsoft.com/office/drawing/2014/main" pred="{7E7AF907-C221-EFF6-F8AC-A15DB41EB69A}"/>
            </a:ext>
          </a:extLst>
        </xdr:cNvPr>
        <xdr:cNvPicPr>
          <a:picLocks noChangeAspect="1"/>
        </xdr:cNvPicPr>
      </xdr:nvPicPr>
      <xdr:blipFill>
        <a:blip xmlns:r="http://schemas.openxmlformats.org/officeDocument/2006/relationships" r:embed="rId3"/>
        <a:stretch>
          <a:fillRect/>
        </a:stretch>
      </xdr:blipFill>
      <xdr:spPr>
        <a:xfrm>
          <a:off x="12973050" y="15287625"/>
          <a:ext cx="3171825" cy="1314450"/>
        </a:xfrm>
        <a:prstGeom prst="rect">
          <a:avLst/>
        </a:prstGeom>
      </xdr:spPr>
    </xdr:pic>
    <xdr:clientData/>
  </xdr:twoCellAnchor>
  <xdr:twoCellAnchor editAs="oneCell">
    <xdr:from>
      <xdr:col>13</xdr:col>
      <xdr:colOff>628650</xdr:colOff>
      <xdr:row>87</xdr:row>
      <xdr:rowOff>9525</xdr:rowOff>
    </xdr:from>
    <xdr:to>
      <xdr:col>15</xdr:col>
      <xdr:colOff>1475643</xdr:colOff>
      <xdr:row>93</xdr:row>
      <xdr:rowOff>0</xdr:rowOff>
    </xdr:to>
    <xdr:pic>
      <xdr:nvPicPr>
        <xdr:cNvPr id="8" name="Picture 7">
          <a:extLst>
            <a:ext uri="{FF2B5EF4-FFF2-40B4-BE49-F238E27FC236}">
              <a16:creationId xmlns:a16="http://schemas.microsoft.com/office/drawing/2014/main" id="{8DAACF59-5873-8B41-76A0-2C503C7A40B0}"/>
            </a:ext>
            <a:ext uri="{147F2762-F138-4A5C-976F-8EAC2B608ADB}">
              <a16:predDERef xmlns:a16="http://schemas.microsoft.com/office/drawing/2014/main" pred="{6884BD19-3871-99EA-3B1E-54CA225369B9}"/>
            </a:ext>
          </a:extLst>
        </xdr:cNvPr>
        <xdr:cNvPicPr>
          <a:picLocks noChangeAspect="1"/>
        </xdr:cNvPicPr>
      </xdr:nvPicPr>
      <xdr:blipFill>
        <a:blip xmlns:r="http://schemas.openxmlformats.org/officeDocument/2006/relationships" r:embed="rId4"/>
        <a:stretch>
          <a:fillRect/>
        </a:stretch>
      </xdr:blipFill>
      <xdr:spPr>
        <a:xfrm>
          <a:off x="12696825" y="16973550"/>
          <a:ext cx="3686175" cy="1133475"/>
        </a:xfrm>
        <a:prstGeom prst="rect">
          <a:avLst/>
        </a:prstGeom>
      </xdr:spPr>
    </xdr:pic>
    <xdr:clientData/>
  </xdr:twoCellAnchor>
  <xdr:twoCellAnchor editAs="oneCell">
    <xdr:from>
      <xdr:col>13</xdr:col>
      <xdr:colOff>352425</xdr:colOff>
      <xdr:row>44</xdr:row>
      <xdr:rowOff>66675</xdr:rowOff>
    </xdr:from>
    <xdr:to>
      <xdr:col>15</xdr:col>
      <xdr:colOff>781050</xdr:colOff>
      <xdr:row>55</xdr:row>
      <xdr:rowOff>9525</xdr:rowOff>
    </xdr:to>
    <xdr:pic>
      <xdr:nvPicPr>
        <xdr:cNvPr id="9" name="Picture 8">
          <a:extLst>
            <a:ext uri="{FF2B5EF4-FFF2-40B4-BE49-F238E27FC236}">
              <a16:creationId xmlns:a16="http://schemas.microsoft.com/office/drawing/2014/main" id="{FC277C84-A32E-EB29-4FE3-DFE58BB5FE19}"/>
            </a:ext>
            <a:ext uri="{147F2762-F138-4A5C-976F-8EAC2B608ADB}">
              <a16:predDERef xmlns:a16="http://schemas.microsoft.com/office/drawing/2014/main" pred="{8DAACF59-5873-8B41-76A0-2C503C7A40B0}"/>
            </a:ext>
          </a:extLst>
        </xdr:cNvPr>
        <xdr:cNvPicPr>
          <a:picLocks noChangeAspect="1"/>
        </xdr:cNvPicPr>
      </xdr:nvPicPr>
      <xdr:blipFill>
        <a:blip xmlns:r="http://schemas.openxmlformats.org/officeDocument/2006/relationships" r:embed="rId5"/>
        <a:stretch>
          <a:fillRect/>
        </a:stretch>
      </xdr:blipFill>
      <xdr:spPr>
        <a:xfrm>
          <a:off x="12420600" y="8839200"/>
          <a:ext cx="3267075" cy="2038350"/>
        </a:xfrm>
        <a:prstGeom prst="rect">
          <a:avLst/>
        </a:prstGeom>
      </xdr:spPr>
    </xdr:pic>
    <xdr:clientData/>
  </xdr:twoCellAnchor>
  <xdr:twoCellAnchor editAs="oneCell">
    <xdr:from>
      <xdr:col>22</xdr:col>
      <xdr:colOff>547322</xdr:colOff>
      <xdr:row>97</xdr:row>
      <xdr:rowOff>153133</xdr:rowOff>
    </xdr:from>
    <xdr:to>
      <xdr:col>24</xdr:col>
      <xdr:colOff>167787</xdr:colOff>
      <xdr:row>111</xdr:row>
      <xdr:rowOff>115033</xdr:rowOff>
    </xdr:to>
    <xdr:pic>
      <xdr:nvPicPr>
        <xdr:cNvPr id="10" name="Picture 9">
          <a:extLst>
            <a:ext uri="{FF2B5EF4-FFF2-40B4-BE49-F238E27FC236}">
              <a16:creationId xmlns:a16="http://schemas.microsoft.com/office/drawing/2014/main" id="{5C543FE5-FE6D-4B02-C8E6-7507B19A3059}"/>
            </a:ext>
            <a:ext uri="{147F2762-F138-4A5C-976F-8EAC2B608ADB}">
              <a16:predDERef xmlns:a16="http://schemas.microsoft.com/office/drawing/2014/main" pred="{FC277C84-A32E-EB29-4FE3-DFE58BB5FE19}"/>
            </a:ext>
          </a:extLst>
        </xdr:cNvPr>
        <xdr:cNvPicPr>
          <a:picLocks noChangeAspect="1"/>
        </xdr:cNvPicPr>
      </xdr:nvPicPr>
      <xdr:blipFill>
        <a:blip xmlns:r="http://schemas.openxmlformats.org/officeDocument/2006/relationships" r:embed="rId6"/>
        <a:stretch>
          <a:fillRect/>
        </a:stretch>
      </xdr:blipFill>
      <xdr:spPr>
        <a:xfrm>
          <a:off x="20571803" y="18873421"/>
          <a:ext cx="3168894" cy="2628900"/>
        </a:xfrm>
        <a:prstGeom prst="rect">
          <a:avLst/>
        </a:prstGeom>
      </xdr:spPr>
    </xdr:pic>
    <xdr:clientData/>
  </xdr:twoCellAnchor>
  <xdr:twoCellAnchor editAs="oneCell">
    <xdr:from>
      <xdr:col>37</xdr:col>
      <xdr:colOff>123825</xdr:colOff>
      <xdr:row>112</xdr:row>
      <xdr:rowOff>19050</xdr:rowOff>
    </xdr:from>
    <xdr:to>
      <xdr:col>41</xdr:col>
      <xdr:colOff>638175</xdr:colOff>
      <xdr:row>115</xdr:row>
      <xdr:rowOff>49823</xdr:rowOff>
    </xdr:to>
    <xdr:pic>
      <xdr:nvPicPr>
        <xdr:cNvPr id="11" name="Picture 10">
          <a:extLst>
            <a:ext uri="{FF2B5EF4-FFF2-40B4-BE49-F238E27FC236}">
              <a16:creationId xmlns:a16="http://schemas.microsoft.com/office/drawing/2014/main" id="{27A2759A-DB97-B3CA-81FD-E2994354A999}"/>
            </a:ext>
            <a:ext uri="{147F2762-F138-4A5C-976F-8EAC2B608ADB}">
              <a16:predDERef xmlns:a16="http://schemas.microsoft.com/office/drawing/2014/main" pred="{5C543FE5-FE6D-4B02-C8E6-7507B19A3059}"/>
            </a:ext>
          </a:extLst>
        </xdr:cNvPr>
        <xdr:cNvPicPr>
          <a:picLocks noChangeAspect="1"/>
        </xdr:cNvPicPr>
      </xdr:nvPicPr>
      <xdr:blipFill>
        <a:blip xmlns:r="http://schemas.openxmlformats.org/officeDocument/2006/relationships" r:embed="rId7"/>
        <a:stretch>
          <a:fillRect/>
        </a:stretch>
      </xdr:blipFill>
      <xdr:spPr>
        <a:xfrm>
          <a:off x="23622000" y="21555075"/>
          <a:ext cx="3019425" cy="600075"/>
        </a:xfrm>
        <a:prstGeom prst="rect">
          <a:avLst/>
        </a:prstGeom>
      </xdr:spPr>
    </xdr:pic>
    <xdr:clientData/>
  </xdr:twoCellAnchor>
  <xdr:twoCellAnchor editAs="oneCell">
    <xdr:from>
      <xdr:col>22</xdr:col>
      <xdr:colOff>95250</xdr:colOff>
      <xdr:row>63</xdr:row>
      <xdr:rowOff>171450</xdr:rowOff>
    </xdr:from>
    <xdr:to>
      <xdr:col>23</xdr:col>
      <xdr:colOff>1428018</xdr:colOff>
      <xdr:row>66</xdr:row>
      <xdr:rowOff>85725</xdr:rowOff>
    </xdr:to>
    <xdr:pic>
      <xdr:nvPicPr>
        <xdr:cNvPr id="12" name="Picture 11">
          <a:extLst>
            <a:ext uri="{FF2B5EF4-FFF2-40B4-BE49-F238E27FC236}">
              <a16:creationId xmlns:a16="http://schemas.microsoft.com/office/drawing/2014/main" id="{549D25CE-1A4D-32A7-7329-E364E7BD88D6}"/>
            </a:ext>
            <a:ext uri="{147F2762-F138-4A5C-976F-8EAC2B608ADB}">
              <a16:predDERef xmlns:a16="http://schemas.microsoft.com/office/drawing/2014/main" pred="{27A2759A-DB97-B3CA-81FD-E2994354A999}"/>
            </a:ext>
          </a:extLst>
        </xdr:cNvPr>
        <xdr:cNvPicPr>
          <a:picLocks noChangeAspect="1"/>
        </xdr:cNvPicPr>
      </xdr:nvPicPr>
      <xdr:blipFill>
        <a:blip xmlns:r="http://schemas.openxmlformats.org/officeDocument/2006/relationships" r:embed="rId8"/>
        <a:stretch>
          <a:fillRect/>
        </a:stretch>
      </xdr:blipFill>
      <xdr:spPr>
        <a:xfrm>
          <a:off x="18916650" y="12372975"/>
          <a:ext cx="3019425" cy="485775"/>
        </a:xfrm>
        <a:prstGeom prst="rect">
          <a:avLst/>
        </a:prstGeom>
      </xdr:spPr>
    </xdr:pic>
    <xdr:clientData/>
  </xdr:twoCellAnchor>
  <xdr:twoCellAnchor editAs="oneCell">
    <xdr:from>
      <xdr:col>22</xdr:col>
      <xdr:colOff>532667</xdr:colOff>
      <xdr:row>268</xdr:row>
      <xdr:rowOff>146539</xdr:rowOff>
    </xdr:from>
    <xdr:to>
      <xdr:col>23</xdr:col>
      <xdr:colOff>904142</xdr:colOff>
      <xdr:row>272</xdr:row>
      <xdr:rowOff>3664</xdr:rowOff>
    </xdr:to>
    <xdr:pic>
      <xdr:nvPicPr>
        <xdr:cNvPr id="15" name="Picture 14">
          <a:extLst>
            <a:ext uri="{FF2B5EF4-FFF2-40B4-BE49-F238E27FC236}">
              <a16:creationId xmlns:a16="http://schemas.microsoft.com/office/drawing/2014/main" id="{E23A0B71-4CC8-E2ED-5A7F-1127AA8D94BF}"/>
            </a:ext>
            <a:ext uri="{147F2762-F138-4A5C-976F-8EAC2B608ADB}">
              <a16:predDERef xmlns:a16="http://schemas.microsoft.com/office/drawing/2014/main" pred="{549D25CE-1A4D-32A7-7329-E364E7BD88D6}"/>
            </a:ext>
          </a:extLst>
        </xdr:cNvPr>
        <xdr:cNvPicPr>
          <a:picLocks noChangeAspect="1"/>
        </xdr:cNvPicPr>
      </xdr:nvPicPr>
      <xdr:blipFill>
        <a:blip xmlns:r="http://schemas.openxmlformats.org/officeDocument/2006/relationships" r:embed="rId9"/>
        <a:stretch>
          <a:fillRect/>
        </a:stretch>
      </xdr:blipFill>
      <xdr:spPr>
        <a:xfrm>
          <a:off x="20366648" y="32568174"/>
          <a:ext cx="2059598" cy="609600"/>
        </a:xfrm>
        <a:prstGeom prst="rect">
          <a:avLst/>
        </a:prstGeom>
      </xdr:spPr>
    </xdr:pic>
    <xdr:clientData/>
  </xdr:twoCellAnchor>
  <xdr:twoCellAnchor editAs="oneCell">
    <xdr:from>
      <xdr:col>13</xdr:col>
      <xdr:colOff>1279281</xdr:colOff>
      <xdr:row>262</xdr:row>
      <xdr:rowOff>163390</xdr:rowOff>
    </xdr:from>
    <xdr:to>
      <xdr:col>18</xdr:col>
      <xdr:colOff>859448</xdr:colOff>
      <xdr:row>266</xdr:row>
      <xdr:rowOff>1465</xdr:rowOff>
    </xdr:to>
    <xdr:pic>
      <xdr:nvPicPr>
        <xdr:cNvPr id="17" name="Picture 16">
          <a:extLst>
            <a:ext uri="{FF2B5EF4-FFF2-40B4-BE49-F238E27FC236}">
              <a16:creationId xmlns:a16="http://schemas.microsoft.com/office/drawing/2014/main" id="{0524ED0E-E186-8FC7-37F1-53ADDAF337BF}"/>
            </a:ext>
            <a:ext uri="{147F2762-F138-4A5C-976F-8EAC2B608ADB}">
              <a16:predDERef xmlns:a16="http://schemas.microsoft.com/office/drawing/2014/main" pred="{E23A0B71-4CC8-E2ED-5A7F-1127AA8D94BF}"/>
            </a:ext>
          </a:extLst>
        </xdr:cNvPr>
        <xdr:cNvPicPr>
          <a:picLocks noChangeAspect="1"/>
        </xdr:cNvPicPr>
      </xdr:nvPicPr>
      <xdr:blipFill>
        <a:blip xmlns:r="http://schemas.openxmlformats.org/officeDocument/2006/relationships" r:embed="rId10"/>
        <a:stretch>
          <a:fillRect/>
        </a:stretch>
      </xdr:blipFill>
      <xdr:spPr>
        <a:xfrm>
          <a:off x="22701006" y="49436215"/>
          <a:ext cx="7247792" cy="600075"/>
        </a:xfrm>
        <a:prstGeom prst="rect">
          <a:avLst/>
        </a:prstGeom>
      </xdr:spPr>
    </xdr:pic>
    <xdr:clientData/>
  </xdr:twoCellAnchor>
  <xdr:twoCellAnchor editAs="oneCell">
    <xdr:from>
      <xdr:col>55</xdr:col>
      <xdr:colOff>301137</xdr:colOff>
      <xdr:row>23</xdr:row>
      <xdr:rowOff>88655</xdr:rowOff>
    </xdr:from>
    <xdr:to>
      <xdr:col>58</xdr:col>
      <xdr:colOff>839666</xdr:colOff>
      <xdr:row>28</xdr:row>
      <xdr:rowOff>24178</xdr:rowOff>
    </xdr:to>
    <xdr:pic>
      <xdr:nvPicPr>
        <xdr:cNvPr id="2" name="Picture 1">
          <a:extLst>
            <a:ext uri="{FF2B5EF4-FFF2-40B4-BE49-F238E27FC236}">
              <a16:creationId xmlns:a16="http://schemas.microsoft.com/office/drawing/2014/main" id="{26DB8ADB-37E1-A1E7-5F71-1D44B43ED82D}"/>
            </a:ext>
            <a:ext uri="{147F2762-F138-4A5C-976F-8EAC2B608ADB}">
              <a16:predDERef xmlns:a16="http://schemas.microsoft.com/office/drawing/2014/main" pred="{AB7FD250-3DDF-807F-C4ED-49B053A1A58F}"/>
            </a:ext>
          </a:extLst>
        </xdr:cNvPr>
        <xdr:cNvPicPr>
          <a:picLocks noChangeAspect="1"/>
        </xdr:cNvPicPr>
      </xdr:nvPicPr>
      <xdr:blipFill>
        <a:blip xmlns:r="http://schemas.openxmlformats.org/officeDocument/2006/relationships" r:embed="rId11"/>
        <a:stretch>
          <a:fillRect/>
        </a:stretch>
      </xdr:blipFill>
      <xdr:spPr>
        <a:xfrm>
          <a:off x="30260925" y="4660655"/>
          <a:ext cx="2764448" cy="885825"/>
        </a:xfrm>
        <a:prstGeom prst="rect">
          <a:avLst/>
        </a:prstGeom>
      </xdr:spPr>
    </xdr:pic>
    <xdr:clientData/>
  </xdr:twoCellAnchor>
  <xdr:twoCellAnchor>
    <xdr:from>
      <xdr:col>67</xdr:col>
      <xdr:colOff>597143</xdr:colOff>
      <xdr:row>8</xdr:row>
      <xdr:rowOff>79130</xdr:rowOff>
    </xdr:from>
    <xdr:to>
      <xdr:col>75</xdr:col>
      <xdr:colOff>337038</xdr:colOff>
      <xdr:row>24</xdr:row>
      <xdr:rowOff>146538</xdr:rowOff>
    </xdr:to>
    <xdr:graphicFrame macro="">
      <xdr:nvGraphicFramePr>
        <xdr:cNvPr id="14" name="Chart 13">
          <a:extLst>
            <a:ext uri="{FF2B5EF4-FFF2-40B4-BE49-F238E27FC236}">
              <a16:creationId xmlns:a16="http://schemas.microsoft.com/office/drawing/2014/main" id="{510A3075-683E-DF64-7A0C-E7754C851726}"/>
            </a:ext>
            <a:ext uri="{147F2762-F138-4A5C-976F-8EAC2B608ADB}">
              <a16:predDERef xmlns:a16="http://schemas.microsoft.com/office/drawing/2014/main" pred="{26DB8ADB-37E1-A1E7-5F71-1D44B43ED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75</xdr:col>
      <xdr:colOff>527538</xdr:colOff>
      <xdr:row>8</xdr:row>
      <xdr:rowOff>95250</xdr:rowOff>
    </xdr:from>
    <xdr:to>
      <xdr:col>86</xdr:col>
      <xdr:colOff>190500</xdr:colOff>
      <xdr:row>24</xdr:row>
      <xdr:rowOff>153866</xdr:rowOff>
    </xdr:to>
    <xdr:graphicFrame macro="">
      <xdr:nvGraphicFramePr>
        <xdr:cNvPr id="16" name="Chart 15">
          <a:extLst>
            <a:ext uri="{FF2B5EF4-FFF2-40B4-BE49-F238E27FC236}">
              <a16:creationId xmlns:a16="http://schemas.microsoft.com/office/drawing/2014/main" id="{523B2AB2-A2D8-494A-8259-6F0913F629E9}"/>
            </a:ext>
            <a:ext uri="{147F2762-F138-4A5C-976F-8EAC2B608ADB}">
              <a16:predDERef xmlns:a16="http://schemas.microsoft.com/office/drawing/2014/main" pred="{510A3075-683E-DF64-7A0C-E7754C851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image" Target="../media/image2.emf"/><Relationship Id="rId5" Type="http://schemas.openxmlformats.org/officeDocument/2006/relationships/control" Target="../activeX/activeX1.xml"/><Relationship Id="rId10" Type="http://schemas.openxmlformats.org/officeDocument/2006/relationships/image" Target="../media/image4.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image" Target="../media/image6.emf"/><Relationship Id="rId5" Type="http://schemas.openxmlformats.org/officeDocument/2006/relationships/control" Target="../activeX/activeX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omments" Target="../comments2.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image" Target="../media/image9.emf"/><Relationship Id="rId5" Type="http://schemas.openxmlformats.org/officeDocument/2006/relationships/control" Target="../activeX/activeX6.xml"/><Relationship Id="rId4" Type="http://schemas.openxmlformats.org/officeDocument/2006/relationships/vmlDrawing" Target="../drawings/vmlDrawing12.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3.xml"/><Relationship Id="rId2" Type="http://schemas.openxmlformats.org/officeDocument/2006/relationships/drawing" Target="../drawings/drawing10.xml"/><Relationship Id="rId1" Type="http://schemas.openxmlformats.org/officeDocument/2006/relationships/printerSettings" Target="../printerSettings/printerSettings9.bin"/><Relationship Id="rId6" Type="http://schemas.openxmlformats.org/officeDocument/2006/relationships/image" Target="../media/image12.emf"/><Relationship Id="rId5" Type="http://schemas.openxmlformats.org/officeDocument/2006/relationships/control" Target="../activeX/activeX7.xml"/><Relationship Id="rId4" Type="http://schemas.openxmlformats.org/officeDocument/2006/relationships/vmlDrawing" Target="../drawings/vmlDrawing14.v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bsee.gov/sites/bsee.gov/files/research-reports/763af.pdf" TargetMode="External"/><Relationship Id="rId1" Type="http://schemas.openxmlformats.org/officeDocument/2006/relationships/hyperlink" Target="https://www.armorplateinc.com/wp-content/uploads/ASME-PCC-2-ISO-24817.pdf" TargetMode="Externa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47738-A260-4A5A-A7CB-D4AB8E0D49C1}">
  <sheetPr codeName="Sheet00"/>
  <dimension ref="C10:J43"/>
  <sheetViews>
    <sheetView showGridLines="0" showRowColHeaders="0" showRuler="0" view="pageBreakPreview" zoomScale="85" zoomScaleNormal="85" zoomScaleSheetLayoutView="85" zoomScalePageLayoutView="70" workbookViewId="0">
      <selection activeCell="E6" sqref="E6"/>
    </sheetView>
  </sheetViews>
  <sheetFormatPr defaultColWidth="8.140625" defaultRowHeight="15"/>
  <cols>
    <col min="1" max="4" width="10.140625" customWidth="1"/>
    <col min="5" max="6" width="5.140625" customWidth="1"/>
    <col min="7" max="12" width="10.140625" customWidth="1"/>
  </cols>
  <sheetData>
    <row r="10" spans="3:10" ht="26.25">
      <c r="D10" s="1018" t="s">
        <v>0</v>
      </c>
      <c r="E10" s="1018"/>
      <c r="F10" s="1018"/>
      <c r="G10" s="1018"/>
      <c r="H10" s="1018"/>
      <c r="I10" s="1018"/>
    </row>
    <row r="14" spans="3:10" ht="21">
      <c r="C14" s="1016" t="s">
        <v>1</v>
      </c>
      <c r="D14" s="1016"/>
      <c r="F14" s="1019" t="str">
        <f>IF(ISBLANK(Main!$C$4),"",Main!$C$4)</f>
        <v/>
      </c>
      <c r="G14" s="1019"/>
      <c r="H14" s="1019"/>
      <c r="I14" s="1019"/>
      <c r="J14" s="1019"/>
    </row>
    <row r="15" spans="3:10" ht="9.75" customHeight="1"/>
    <row r="16" spans="3:10" ht="21">
      <c r="C16" s="1016" t="s">
        <v>2</v>
      </c>
      <c r="D16" s="1016"/>
      <c r="F16" s="1020" t="str">
        <f>IF(ISBLANK(Main!$H$4),"",Main!$H$4)</f>
        <v/>
      </c>
      <c r="G16" s="1020"/>
      <c r="H16" s="1020"/>
      <c r="I16" s="113"/>
      <c r="J16" s="113"/>
    </row>
    <row r="17" spans="3:10" ht="9.75" customHeight="1"/>
    <row r="18" spans="3:10" ht="21" customHeight="1">
      <c r="C18" s="1016" t="s">
        <v>3</v>
      </c>
      <c r="D18" s="1016"/>
      <c r="F18" s="1015" t="str">
        <f>IF(ISBLANK(Main!$C$3),"",Main!$C$3)</f>
        <v/>
      </c>
      <c r="G18" s="1015"/>
      <c r="H18" s="1015"/>
      <c r="I18" s="1015"/>
      <c r="J18" s="1015"/>
    </row>
    <row r="19" spans="3:10" ht="21" customHeight="1">
      <c r="C19" s="1016"/>
      <c r="D19" s="1016"/>
      <c r="F19" s="1015"/>
      <c r="G19" s="1015"/>
      <c r="H19" s="1015"/>
      <c r="I19" s="1015"/>
      <c r="J19" s="1015"/>
    </row>
    <row r="23" spans="3:10" ht="21.75" customHeight="1">
      <c r="C23" s="1016" t="s">
        <v>4</v>
      </c>
      <c r="D23" s="1016"/>
      <c r="F23" s="1017" t="str">
        <f>IF(ISBLANK(Main!$C$13),"",Main!$C$13)</f>
        <v>--</v>
      </c>
      <c r="G23" s="1017"/>
      <c r="H23" s="1017"/>
      <c r="I23" s="1017"/>
      <c r="J23" s="1017"/>
    </row>
    <row r="24" spans="3:10" ht="21.75" customHeight="1">
      <c r="C24" s="1016"/>
      <c r="D24" s="1016"/>
      <c r="F24" s="1017"/>
      <c r="G24" s="1017"/>
      <c r="H24" s="1017"/>
      <c r="I24" s="1017"/>
      <c r="J24" s="1017"/>
    </row>
    <row r="39" spans="3:10" ht="21.75" customHeight="1">
      <c r="C39" s="1016" t="s">
        <v>5</v>
      </c>
      <c r="D39" s="1016"/>
      <c r="E39" s="113"/>
      <c r="F39" s="1019" t="str">
        <f>IF(ISBLANK(Main!$C$7),"",Main!$C$7)</f>
        <v/>
      </c>
      <c r="G39" s="1019"/>
      <c r="H39" s="1019"/>
      <c r="I39" s="1019"/>
      <c r="J39" s="1019"/>
    </row>
    <row r="40" spans="3:10" ht="9.75" customHeight="1">
      <c r="C40" s="113"/>
      <c r="D40" s="113"/>
      <c r="E40" s="113"/>
      <c r="F40" s="113"/>
      <c r="G40" s="113"/>
      <c r="H40" s="113"/>
      <c r="I40" s="113"/>
      <c r="J40" s="113"/>
    </row>
    <row r="41" spans="3:10" ht="21.75" customHeight="1">
      <c r="C41" s="1016" t="s">
        <v>6</v>
      </c>
      <c r="D41" s="1016"/>
      <c r="E41" s="113"/>
      <c r="F41" s="1021" t="str">
        <f>IF(ISBLANK(Main!$H$7),"",Main!$H$7)</f>
        <v/>
      </c>
      <c r="G41" s="1021"/>
      <c r="H41" s="1021"/>
      <c r="I41" s="113"/>
      <c r="J41" s="113"/>
    </row>
    <row r="42" spans="3:10" ht="9.75" customHeight="1">
      <c r="C42" s="113"/>
      <c r="D42" s="113"/>
      <c r="E42" s="113"/>
      <c r="F42" s="113"/>
      <c r="G42" s="113"/>
      <c r="H42" s="113"/>
      <c r="I42" s="113"/>
      <c r="J42" s="113"/>
    </row>
    <row r="43" spans="3:10" ht="21.75" customHeight="1">
      <c r="C43" s="1016" t="s">
        <v>7</v>
      </c>
      <c r="D43" s="1016"/>
      <c r="E43" s="113"/>
      <c r="F43" s="1019" t="str">
        <f>IF(ISBLANK(Main!$C$8),"",Main!$C$8)</f>
        <v/>
      </c>
      <c r="G43" s="1019"/>
      <c r="H43" s="1019"/>
      <c r="I43" s="1019"/>
      <c r="J43" s="1019"/>
    </row>
  </sheetData>
  <mergeCells count="15">
    <mergeCell ref="C39:D39"/>
    <mergeCell ref="C41:D41"/>
    <mergeCell ref="C43:D43"/>
    <mergeCell ref="F41:H41"/>
    <mergeCell ref="F43:J43"/>
    <mergeCell ref="F39:J39"/>
    <mergeCell ref="F18:J19"/>
    <mergeCell ref="C18:D19"/>
    <mergeCell ref="F23:J24"/>
    <mergeCell ref="C23:D24"/>
    <mergeCell ref="D10:I10"/>
    <mergeCell ref="F14:J14"/>
    <mergeCell ref="C14:D14"/>
    <mergeCell ref="C16:D16"/>
    <mergeCell ref="F16:H16"/>
  </mergeCells>
  <pageMargins left="0.25" right="0.25" top="1" bottom="0.75" header="0.25" footer="0.3"/>
  <pageSetup scale="90" orientation="portrait" r:id="rId1"/>
  <headerFooter alignWithMargins="0">
    <oddHeader xml:space="preserve">&amp;L&amp;G&amp;R&amp;"-,Bold"&amp;16OmegaWrap®&amp;14
&amp;"-,Regular" (832) 947-4488
www.omegawrap.com </oddHeader>
    <oddFooter>&amp;L&amp;16Calculator Version &amp;F&amp;R&amp;16Page &amp;P of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3A763-B38C-477E-A465-044CDD0BFF88}">
  <sheetPr codeName="Sheet01">
    <tabColor rgb="FF009C4B"/>
    <pageSetUpPr fitToPage="1"/>
  </sheetPr>
  <dimension ref="A1:Y55"/>
  <sheetViews>
    <sheetView showGridLines="0" showRowColHeaders="0" showRuler="0" view="pageLayout" zoomScaleNormal="70" zoomScaleSheetLayoutView="85" workbookViewId="0">
      <selection activeCell="C8" sqref="C8:I8"/>
    </sheetView>
  </sheetViews>
  <sheetFormatPr defaultColWidth="1" defaultRowHeight="15"/>
  <cols>
    <col min="1" max="1" width="4" customWidth="1"/>
    <col min="2" max="2" width="17" customWidth="1"/>
    <col min="3" max="3" width="11.5703125" customWidth="1"/>
    <col min="4" max="4" width="10.85546875" customWidth="1"/>
    <col min="5" max="5" width="18" customWidth="1"/>
    <col min="6" max="6" width="7" customWidth="1"/>
    <col min="7" max="7" width="11.5703125" customWidth="1"/>
    <col min="8" max="8" width="12.5703125" customWidth="1"/>
    <col min="9" max="9" width="12.42578125" customWidth="1"/>
    <col min="10" max="10" width="3.140625" customWidth="1"/>
    <col min="11" max="12" width="2" customWidth="1"/>
  </cols>
  <sheetData>
    <row r="1" spans="1:10" ht="26.25">
      <c r="A1" s="1022" t="s">
        <v>8</v>
      </c>
      <c r="B1" s="1023"/>
      <c r="C1" s="1023"/>
      <c r="D1" s="1023"/>
      <c r="E1" s="1023"/>
      <c r="F1" s="1023"/>
      <c r="G1" s="1023"/>
      <c r="H1" s="1023"/>
      <c r="I1" s="1023"/>
      <c r="J1" s="1024"/>
    </row>
    <row r="2" spans="1:10" ht="12.4" customHeight="1">
      <c r="A2" s="1025" t="s">
        <v>9</v>
      </c>
      <c r="B2" s="1025"/>
      <c r="C2" s="1025"/>
      <c r="D2" s="1025"/>
      <c r="E2" s="1025"/>
      <c r="F2" s="1025"/>
      <c r="G2" s="1025"/>
      <c r="H2" s="1025"/>
      <c r="I2" s="1025"/>
      <c r="J2" s="1026"/>
    </row>
    <row r="3" spans="1:10" ht="19.5" customHeight="1">
      <c r="A3" s="1041" t="s">
        <v>10</v>
      </c>
      <c r="B3" s="1035"/>
      <c r="C3" s="1034"/>
      <c r="D3" s="1034"/>
      <c r="E3" s="1034"/>
      <c r="F3" s="1034"/>
      <c r="G3" s="1034"/>
      <c r="H3" s="1034"/>
      <c r="I3" s="1034"/>
      <c r="J3" s="188"/>
    </row>
    <row r="4" spans="1:10" ht="19.5" customHeight="1">
      <c r="A4" s="1027" t="s">
        <v>11</v>
      </c>
      <c r="B4" s="1028"/>
      <c r="C4" s="1034"/>
      <c r="D4" s="1034"/>
      <c r="E4" s="1034"/>
      <c r="F4" s="1035" t="s">
        <v>2</v>
      </c>
      <c r="G4" s="1035"/>
      <c r="H4" s="1038"/>
      <c r="I4" s="1038"/>
      <c r="J4" s="188"/>
    </row>
    <row r="5" spans="1:10" ht="19.5" customHeight="1">
      <c r="A5" s="1027" t="s">
        <v>12</v>
      </c>
      <c r="B5" s="1028"/>
      <c r="C5" s="1034"/>
      <c r="D5" s="1034"/>
      <c r="E5" s="1034"/>
      <c r="F5" s="1034"/>
      <c r="G5" s="1034"/>
      <c r="H5" s="1034"/>
      <c r="I5" s="1034"/>
      <c r="J5" s="188"/>
    </row>
    <row r="6" spans="1:10" ht="19.5" customHeight="1">
      <c r="A6" s="1027" t="s">
        <v>13</v>
      </c>
      <c r="B6" s="1028"/>
      <c r="C6" s="1042"/>
      <c r="D6" s="1042"/>
      <c r="E6" s="1042"/>
      <c r="F6" s="1042"/>
      <c r="G6" s="1042"/>
      <c r="H6" s="1042"/>
      <c r="I6" s="1042"/>
      <c r="J6" s="188"/>
    </row>
    <row r="7" spans="1:10" ht="19.5" customHeight="1">
      <c r="A7" s="1027" t="s">
        <v>5</v>
      </c>
      <c r="B7" s="1028"/>
      <c r="C7" s="1034"/>
      <c r="D7" s="1034"/>
      <c r="E7" s="1034"/>
      <c r="F7" s="1035" t="s">
        <v>6</v>
      </c>
      <c r="G7" s="1035"/>
      <c r="H7" s="1029"/>
      <c r="I7" s="1029"/>
      <c r="J7" s="188"/>
    </row>
    <row r="8" spans="1:10" ht="19.5" customHeight="1">
      <c r="A8" s="1027" t="s">
        <v>14</v>
      </c>
      <c r="B8" s="1028"/>
      <c r="C8" s="1030"/>
      <c r="D8" s="1031"/>
      <c r="E8" s="1031"/>
      <c r="F8" s="1031"/>
      <c r="G8" s="1031"/>
      <c r="H8" s="1031"/>
      <c r="I8" s="1031"/>
      <c r="J8" s="188"/>
    </row>
    <row r="9" spans="1:10" ht="19.5" customHeight="1">
      <c r="A9" s="1039" t="str">
        <f>IF(C9="","Repair Location:",
HYPERLINK(
"https://www.google.com/search?q=weather+" &amp; SUBSTITUTE(C9," ","+"),
"Repair Location"
))</f>
        <v>Repair Location:</v>
      </c>
      <c r="B9" s="1040"/>
      <c r="C9" s="1034"/>
      <c r="D9" s="1034"/>
      <c r="E9" s="1034"/>
      <c r="F9" s="1036" t="str">
        <f>IF(H9="","Latitude/Longitude:",
HYPERLINK("https://www.google.com/maps/search/?api=1&amp;query=" &amp; TRIM(LEFT(H9,FIND(",",H9)-1)) &amp; "," &amp; TRIM(MID(H9,FIND(",",H9)+1,100)),
"Latitude/Longitude:"))</f>
        <v>Latitude/Longitude:</v>
      </c>
      <c r="G9" s="1037"/>
      <c r="H9" s="1032"/>
      <c r="I9" s="1033"/>
      <c r="J9" s="188"/>
    </row>
    <row r="10" spans="1:10" ht="19.5" customHeight="1">
      <c r="A10" s="1027" t="s">
        <v>15</v>
      </c>
      <c r="B10" s="1028"/>
      <c r="C10" s="1038"/>
      <c r="D10" s="1038"/>
      <c r="E10" s="1038"/>
      <c r="F10" s="1028" t="s">
        <v>16</v>
      </c>
      <c r="G10" s="1028"/>
      <c r="H10" s="1034"/>
      <c r="I10" s="1034"/>
      <c r="J10" s="188"/>
    </row>
    <row r="11" spans="1:10" ht="23.25" customHeight="1">
      <c r="A11" s="1027" t="s">
        <v>17</v>
      </c>
      <c r="B11" s="1028"/>
      <c r="C11" s="1067"/>
      <c r="D11" s="1067"/>
      <c r="E11" s="1067"/>
      <c r="F11" s="1067"/>
      <c r="G11" s="1067"/>
      <c r="H11" s="1067"/>
      <c r="I11" s="1067"/>
      <c r="J11" s="188"/>
    </row>
    <row r="12" spans="1:10" ht="23.25" customHeight="1">
      <c r="A12" s="1027"/>
      <c r="B12" s="1028"/>
      <c r="C12" s="1068"/>
      <c r="D12" s="1068"/>
      <c r="E12" s="1068"/>
      <c r="F12" s="1068"/>
      <c r="G12" s="1068"/>
      <c r="H12" s="1068"/>
      <c r="I12" s="1068"/>
      <c r="J12" s="188"/>
    </row>
    <row r="13" spans="1:10" ht="19.5" customHeight="1">
      <c r="A13" s="1065" t="s">
        <v>18</v>
      </c>
      <c r="B13" s="1066" t="s">
        <v>18</v>
      </c>
      <c r="C13" s="1064" t="str">
        <f>IF(ISBLANK(Main!H4),"",TEXT(Main!H4,"mm.dd.yyy"))&amp;"-"&amp;LEFT(SUBSTITUTE(Main!C4," ",""),10)&amp;"-"&amp;LEFT(SUBSTITUTE(Main!C3," ",""),20)</f>
        <v>--</v>
      </c>
      <c r="D13" s="1064"/>
      <c r="E13" s="1064"/>
      <c r="F13" s="1064"/>
      <c r="G13" s="1064"/>
      <c r="H13" s="1064"/>
      <c r="I13" s="1064"/>
      <c r="J13" s="189"/>
    </row>
    <row r="14" spans="1:10" ht="12.2" customHeight="1">
      <c r="A14" s="1043" t="s">
        <v>19</v>
      </c>
      <c r="B14" s="1044"/>
      <c r="C14" s="1044"/>
      <c r="D14" s="1044"/>
      <c r="E14" s="1044"/>
      <c r="F14" s="1044"/>
      <c r="G14" s="1044"/>
      <c r="H14" s="1044"/>
      <c r="I14" s="1044"/>
      <c r="J14" s="1045"/>
    </row>
    <row r="15" spans="1:10" ht="18" customHeight="1">
      <c r="A15" s="1027" t="s">
        <v>20</v>
      </c>
      <c r="B15" s="1028"/>
      <c r="C15" s="1034" t="s">
        <v>21</v>
      </c>
      <c r="D15" s="1034"/>
      <c r="E15" s="59"/>
      <c r="F15" s="21"/>
      <c r="G15" s="190"/>
      <c r="H15" s="191" t="s">
        <v>22</v>
      </c>
      <c r="I15" s="86"/>
      <c r="J15" s="18"/>
    </row>
    <row r="16" spans="1:10" ht="18" customHeight="1">
      <c r="A16" s="1027"/>
      <c r="B16" s="1028"/>
      <c r="C16" s="115"/>
      <c r="D16" s="190"/>
      <c r="E16" s="190"/>
      <c r="F16" s="21"/>
      <c r="G16" s="190"/>
      <c r="H16" s="192" t="str" cm="1">
        <f t="array" ref="H16:H17">'OW Variables'!AE4:AE5</f>
        <v>Corrosion</v>
      </c>
      <c r="I16" s="21"/>
      <c r="J16" s="18"/>
    </row>
    <row r="17" spans="1:10" ht="18" customHeight="1">
      <c r="A17" s="1027"/>
      <c r="B17" s="1028"/>
      <c r="C17" s="115"/>
      <c r="D17" s="115"/>
      <c r="E17" s="115"/>
      <c r="F17" s="115"/>
      <c r="G17" s="115"/>
      <c r="H17" s="192" t="str">
        <v>Mechanical</v>
      </c>
      <c r="I17" s="115"/>
      <c r="J17" s="116"/>
    </row>
    <row r="18" spans="1:10" ht="18" customHeight="1">
      <c r="A18" s="1027"/>
      <c r="B18" s="1028"/>
      <c r="C18" s="115"/>
      <c r="D18" s="19"/>
      <c r="E18" s="115"/>
      <c r="F18" s="21"/>
      <c r="G18" s="24"/>
      <c r="H18" s="192"/>
      <c r="I18" s="24"/>
      <c r="J18" s="18"/>
    </row>
    <row r="19" spans="1:10" ht="18" customHeight="1">
      <c r="A19" s="1027"/>
      <c r="B19" s="1028"/>
      <c r="C19" s="115"/>
      <c r="D19" s="19"/>
      <c r="E19" s="58"/>
      <c r="F19" s="21"/>
      <c r="G19" s="22"/>
      <c r="H19" s="192"/>
      <c r="I19" s="24"/>
      <c r="J19" s="18"/>
    </row>
    <row r="20" spans="1:10" ht="18" customHeight="1">
      <c r="A20" s="1027"/>
      <c r="B20" s="1028"/>
      <c r="C20" s="115"/>
      <c r="D20" s="19"/>
      <c r="E20" s="58"/>
      <c r="F20" s="86"/>
      <c r="G20" s="86"/>
      <c r="H20" s="192"/>
      <c r="I20" s="24"/>
      <c r="J20" s="18"/>
    </row>
    <row r="21" spans="1:10" ht="18" customHeight="1">
      <c r="A21" s="193"/>
      <c r="B21" s="194"/>
      <c r="C21" s="194"/>
      <c r="D21" s="194"/>
      <c r="E21" s="194"/>
      <c r="F21" s="194"/>
      <c r="G21" s="194"/>
      <c r="H21" s="192"/>
      <c r="I21" s="194"/>
      <c r="J21" s="195"/>
    </row>
    <row r="22" spans="1:10" ht="12.2" customHeight="1">
      <c r="A22" s="1043" t="s">
        <v>23</v>
      </c>
      <c r="B22" s="1044"/>
      <c r="C22" s="1044"/>
      <c r="D22" s="1044"/>
      <c r="E22" s="1044"/>
      <c r="F22" s="1044"/>
      <c r="G22" s="1044"/>
      <c r="H22" s="1044"/>
      <c r="I22" s="1044"/>
      <c r="J22" s="1045"/>
    </row>
    <row r="23" spans="1:10" ht="15" customHeight="1">
      <c r="A23" s="1055" t="s">
        <v>24</v>
      </c>
      <c r="B23" s="1056"/>
      <c r="C23" s="1056"/>
      <c r="D23" s="1056"/>
      <c r="E23" s="1056"/>
      <c r="F23" s="1056"/>
      <c r="G23" s="1056"/>
      <c r="H23" s="1056"/>
      <c r="I23" s="1056"/>
      <c r="J23" s="1057"/>
    </row>
    <row r="24" spans="1:10" ht="15" customHeight="1">
      <c r="A24" s="1058"/>
      <c r="B24" s="1059"/>
      <c r="C24" s="1059"/>
      <c r="D24" s="1059"/>
      <c r="E24" s="1059"/>
      <c r="F24" s="1059"/>
      <c r="G24" s="1059"/>
      <c r="H24" s="1059"/>
      <c r="I24" s="1059"/>
      <c r="J24" s="1060"/>
    </row>
    <row r="25" spans="1:10" ht="15" customHeight="1">
      <c r="A25" s="1058"/>
      <c r="B25" s="1059"/>
      <c r="C25" s="1059"/>
      <c r="D25" s="1059"/>
      <c r="E25" s="1059"/>
      <c r="F25" s="1059"/>
      <c r="G25" s="1059"/>
      <c r="H25" s="1059"/>
      <c r="I25" s="1059"/>
      <c r="J25" s="1060"/>
    </row>
    <row r="26" spans="1:10" ht="15" customHeight="1">
      <c r="A26" s="1058"/>
      <c r="B26" s="1059"/>
      <c r="C26" s="1059"/>
      <c r="D26" s="1059"/>
      <c r="E26" s="1059"/>
      <c r="F26" s="1059"/>
      <c r="G26" s="1059"/>
      <c r="H26" s="1059"/>
      <c r="I26" s="1059"/>
      <c r="J26" s="1060"/>
    </row>
    <row r="27" spans="1:10" ht="15" customHeight="1">
      <c r="A27" s="1058"/>
      <c r="B27" s="1059"/>
      <c r="C27" s="1059"/>
      <c r="D27" s="1059"/>
      <c r="E27" s="1059"/>
      <c r="F27" s="1059"/>
      <c r="G27" s="1059"/>
      <c r="H27" s="1059"/>
      <c r="I27" s="1059"/>
      <c r="J27" s="1060"/>
    </row>
    <row r="28" spans="1:10" ht="15" customHeight="1">
      <c r="A28" s="1058"/>
      <c r="B28" s="1059"/>
      <c r="C28" s="1059"/>
      <c r="D28" s="1059"/>
      <c r="E28" s="1059"/>
      <c r="F28" s="1059"/>
      <c r="G28" s="1059"/>
      <c r="H28" s="1059"/>
      <c r="I28" s="1059"/>
      <c r="J28" s="1060"/>
    </row>
    <row r="29" spans="1:10" ht="15" customHeight="1">
      <c r="A29" s="1058"/>
      <c r="B29" s="1059"/>
      <c r="C29" s="1059"/>
      <c r="D29" s="1059"/>
      <c r="E29" s="1059"/>
      <c r="F29" s="1059"/>
      <c r="G29" s="1059"/>
      <c r="H29" s="1059"/>
      <c r="I29" s="1059"/>
      <c r="J29" s="1060"/>
    </row>
    <row r="30" spans="1:10" ht="15" customHeight="1">
      <c r="A30" s="1058"/>
      <c r="B30" s="1059"/>
      <c r="C30" s="1059"/>
      <c r="D30" s="1059"/>
      <c r="E30" s="1059"/>
      <c r="F30" s="1059"/>
      <c r="G30" s="1059"/>
      <c r="H30" s="1059"/>
      <c r="I30" s="1059"/>
      <c r="J30" s="1060"/>
    </row>
    <row r="31" spans="1:10" ht="15" customHeight="1">
      <c r="A31" s="1058"/>
      <c r="B31" s="1059"/>
      <c r="C31" s="1059"/>
      <c r="D31" s="1059"/>
      <c r="E31" s="1059"/>
      <c r="F31" s="1059"/>
      <c r="G31" s="1059"/>
      <c r="H31" s="1059"/>
      <c r="I31" s="1059"/>
      <c r="J31" s="1060"/>
    </row>
    <row r="32" spans="1:10" ht="15" customHeight="1">
      <c r="A32" s="1061"/>
      <c r="B32" s="1062"/>
      <c r="C32" s="1062"/>
      <c r="D32" s="1062"/>
      <c r="E32" s="1062"/>
      <c r="F32" s="1062"/>
      <c r="G32" s="1062"/>
      <c r="H32" s="1062"/>
      <c r="I32" s="1062"/>
      <c r="J32" s="1063"/>
    </row>
    <row r="33" spans="1:25" ht="12" customHeight="1">
      <c r="A33" s="1043" t="s">
        <v>25</v>
      </c>
      <c r="B33" s="1044"/>
      <c r="C33" s="1044"/>
      <c r="D33" s="1044"/>
      <c r="E33" s="1044"/>
      <c r="F33" s="1044"/>
      <c r="G33" s="1044"/>
      <c r="H33" s="1044"/>
      <c r="I33" s="1044"/>
      <c r="J33" s="1045"/>
    </row>
    <row r="34" spans="1:25" ht="15" customHeight="1">
      <c r="A34" s="1046" t="s">
        <v>26</v>
      </c>
      <c r="B34" s="1047"/>
      <c r="C34" s="1047"/>
      <c r="D34" s="1047"/>
      <c r="E34" s="1047"/>
      <c r="F34" s="1047"/>
      <c r="G34" s="1047"/>
      <c r="H34" s="1047"/>
      <c r="I34" s="1047"/>
      <c r="J34" s="1048"/>
    </row>
    <row r="35" spans="1:25" ht="15" customHeight="1">
      <c r="A35" s="1049"/>
      <c r="B35" s="1050"/>
      <c r="C35" s="1050"/>
      <c r="D35" s="1050"/>
      <c r="E35" s="1050"/>
      <c r="F35" s="1050"/>
      <c r="G35" s="1050"/>
      <c r="H35" s="1050"/>
      <c r="I35" s="1050"/>
      <c r="J35" s="1051"/>
    </row>
    <row r="36" spans="1:25" ht="15" customHeight="1">
      <c r="A36" s="1049"/>
      <c r="B36" s="1050"/>
      <c r="C36" s="1050"/>
      <c r="D36" s="1050"/>
      <c r="E36" s="1050"/>
      <c r="F36" s="1050"/>
      <c r="G36" s="1050"/>
      <c r="H36" s="1050"/>
      <c r="I36" s="1050"/>
      <c r="J36" s="1051"/>
    </row>
    <row r="37" spans="1:25" ht="15" customHeight="1">
      <c r="A37" s="1049"/>
      <c r="B37" s="1050"/>
      <c r="C37" s="1050"/>
      <c r="D37" s="1050"/>
      <c r="E37" s="1050"/>
      <c r="F37" s="1050"/>
      <c r="G37" s="1050"/>
      <c r="H37" s="1050"/>
      <c r="I37" s="1050"/>
      <c r="J37" s="1051"/>
    </row>
    <row r="38" spans="1:25" ht="15" customHeight="1">
      <c r="A38" s="1049"/>
      <c r="B38" s="1050"/>
      <c r="C38" s="1050"/>
      <c r="D38" s="1050"/>
      <c r="E38" s="1050"/>
      <c r="F38" s="1050"/>
      <c r="G38" s="1050"/>
      <c r="H38" s="1050"/>
      <c r="I38" s="1050"/>
      <c r="J38" s="1051"/>
    </row>
    <row r="39" spans="1:25" ht="15" customHeight="1">
      <c r="A39" s="1049"/>
      <c r="B39" s="1050"/>
      <c r="C39" s="1050"/>
      <c r="D39" s="1050"/>
      <c r="E39" s="1050"/>
      <c r="F39" s="1050"/>
      <c r="G39" s="1050"/>
      <c r="H39" s="1050"/>
      <c r="I39" s="1050"/>
      <c r="J39" s="1051"/>
    </row>
    <row r="40" spans="1:25" ht="15" customHeight="1">
      <c r="A40" s="1049"/>
      <c r="B40" s="1050"/>
      <c r="C40" s="1050"/>
      <c r="D40" s="1050"/>
      <c r="E40" s="1050"/>
      <c r="F40" s="1050"/>
      <c r="G40" s="1050"/>
      <c r="H40" s="1050"/>
      <c r="I40" s="1050"/>
      <c r="J40" s="1051"/>
    </row>
    <row r="41" spans="1:25" ht="15" customHeight="1">
      <c r="A41" s="1052"/>
      <c r="B41" s="1053"/>
      <c r="C41" s="1053"/>
      <c r="D41" s="1053"/>
      <c r="E41" s="1053"/>
      <c r="F41" s="1053"/>
      <c r="G41" s="1053"/>
      <c r="H41" s="1053"/>
      <c r="I41" s="1053"/>
      <c r="J41" s="1054"/>
    </row>
    <row r="42" spans="1:25">
      <c r="C42" s="260"/>
      <c r="D42" s="260"/>
      <c r="E42" s="260"/>
      <c r="F42" s="260"/>
      <c r="G42" s="260"/>
      <c r="H42" s="260"/>
      <c r="I42" s="260"/>
      <c r="J42" s="260"/>
      <c r="K42" s="260"/>
      <c r="L42" s="260"/>
      <c r="M42" s="260"/>
      <c r="N42" s="260"/>
      <c r="O42" s="260"/>
      <c r="P42" s="260"/>
      <c r="Q42" s="260"/>
      <c r="R42" s="260"/>
      <c r="S42" s="260"/>
      <c r="T42" s="260"/>
      <c r="U42" s="260"/>
      <c r="V42" s="260"/>
      <c r="W42" s="260"/>
      <c r="X42" s="260"/>
      <c r="Y42" s="260"/>
    </row>
    <row r="43" spans="1:25">
      <c r="C43" s="260"/>
      <c r="D43" s="260"/>
      <c r="E43" s="260"/>
      <c r="F43" s="260"/>
      <c r="G43" s="260"/>
      <c r="H43" s="260"/>
      <c r="I43" s="260"/>
      <c r="J43" s="260"/>
      <c r="K43" s="260"/>
      <c r="L43" s="260"/>
      <c r="M43" s="260"/>
      <c r="N43" s="260"/>
      <c r="O43" s="260"/>
      <c r="P43" s="260"/>
      <c r="Q43" s="260"/>
      <c r="R43" s="260"/>
      <c r="S43" s="260"/>
      <c r="T43" s="260"/>
      <c r="U43" s="260"/>
      <c r="V43" s="260"/>
      <c r="W43" s="260"/>
      <c r="X43" s="260"/>
      <c r="Y43" s="260"/>
    </row>
    <row r="44" spans="1:25">
      <c r="C44" s="260"/>
      <c r="D44" s="260"/>
      <c r="E44" s="260"/>
      <c r="F44" s="260"/>
      <c r="G44" s="260"/>
      <c r="H44" s="260"/>
      <c r="I44" s="260"/>
      <c r="J44" s="260"/>
      <c r="K44" s="260"/>
      <c r="L44" s="260"/>
      <c r="M44" s="260"/>
      <c r="N44" s="260"/>
      <c r="O44" s="260"/>
      <c r="P44" s="260"/>
      <c r="Q44" s="260"/>
      <c r="R44" s="260"/>
      <c r="S44" s="260"/>
      <c r="T44" s="260"/>
      <c r="U44" s="260"/>
      <c r="V44" s="260"/>
      <c r="W44" s="260"/>
      <c r="X44" s="260"/>
      <c r="Y44" s="260"/>
    </row>
    <row r="45" spans="1:25">
      <c r="C45" s="260"/>
      <c r="D45" s="260"/>
      <c r="E45" s="260"/>
      <c r="F45" s="260"/>
      <c r="G45" s="260"/>
      <c r="H45" s="260"/>
      <c r="I45" s="260"/>
      <c r="J45" s="260"/>
      <c r="K45" s="260"/>
      <c r="L45" s="260"/>
      <c r="M45" s="260"/>
      <c r="N45" s="260"/>
      <c r="O45" s="260"/>
      <c r="P45" s="260"/>
      <c r="Q45" s="260"/>
      <c r="R45" s="260"/>
      <c r="S45" s="260"/>
      <c r="T45" s="260"/>
      <c r="U45" s="260"/>
      <c r="V45" s="260"/>
      <c r="W45" s="260"/>
      <c r="X45" s="260"/>
      <c r="Y45" s="260"/>
    </row>
    <row r="46" spans="1:25">
      <c r="C46" s="260"/>
      <c r="D46" s="260"/>
      <c r="E46" s="260"/>
      <c r="F46" s="260"/>
      <c r="G46" s="260"/>
      <c r="H46" s="260"/>
      <c r="I46" s="260"/>
      <c r="J46" s="260"/>
      <c r="K46" s="260"/>
      <c r="L46" s="260"/>
      <c r="M46" s="260"/>
      <c r="N46" s="260"/>
      <c r="O46" s="260"/>
      <c r="P46" s="260"/>
      <c r="Q46" s="260"/>
      <c r="R46" s="260"/>
      <c r="S46" s="260"/>
      <c r="T46" s="260"/>
      <c r="U46" s="260"/>
      <c r="V46" s="260"/>
      <c r="W46" s="260"/>
      <c r="X46" s="260"/>
      <c r="Y46" s="260"/>
    </row>
    <row r="47" spans="1:25">
      <c r="C47" s="260"/>
      <c r="D47" s="260"/>
      <c r="E47" s="260"/>
      <c r="F47" s="260"/>
      <c r="G47" s="260"/>
      <c r="H47" s="260"/>
      <c r="I47" s="260"/>
      <c r="J47" s="260"/>
      <c r="K47" s="260"/>
      <c r="L47" s="260"/>
      <c r="M47" s="260"/>
      <c r="N47" s="260"/>
      <c r="O47" s="260"/>
      <c r="P47" s="260"/>
      <c r="Q47" s="260"/>
      <c r="R47" s="260"/>
      <c r="S47" s="260"/>
      <c r="T47" s="260"/>
      <c r="U47" s="260"/>
      <c r="V47" s="260"/>
      <c r="W47" s="260"/>
      <c r="X47" s="260"/>
      <c r="Y47" s="260"/>
    </row>
    <row r="48" spans="1:25">
      <c r="C48" s="260"/>
      <c r="D48" s="260"/>
      <c r="E48" s="260"/>
      <c r="F48" s="260"/>
      <c r="G48" s="260"/>
      <c r="H48" s="260"/>
      <c r="I48" s="260"/>
      <c r="J48" s="260"/>
      <c r="K48" s="260"/>
      <c r="L48" s="260"/>
      <c r="M48" s="260"/>
      <c r="N48" s="260"/>
      <c r="O48" s="260"/>
      <c r="P48" s="260"/>
      <c r="Q48" s="260"/>
      <c r="R48" s="260"/>
      <c r="S48" s="260"/>
      <c r="T48" s="260"/>
      <c r="U48" s="260"/>
      <c r="V48" s="260"/>
      <c r="W48" s="260"/>
      <c r="X48" s="260"/>
      <c r="Y48" s="260"/>
    </row>
    <row r="49" spans="3:25">
      <c r="C49" s="260"/>
      <c r="D49" s="260"/>
      <c r="E49" s="260"/>
      <c r="F49" s="260"/>
      <c r="G49" s="260"/>
      <c r="H49" s="260"/>
      <c r="I49" s="260"/>
      <c r="J49" s="260"/>
      <c r="K49" s="260"/>
      <c r="L49" s="260"/>
      <c r="M49" s="260"/>
      <c r="N49" s="260"/>
      <c r="O49" s="260"/>
      <c r="P49" s="260"/>
      <c r="Q49" s="260"/>
      <c r="R49" s="260"/>
      <c r="S49" s="260"/>
      <c r="T49" s="260"/>
      <c r="U49" s="260"/>
      <c r="V49" s="260"/>
      <c r="W49" s="260"/>
      <c r="X49" s="260"/>
      <c r="Y49" s="260"/>
    </row>
    <row r="50" spans="3:25">
      <c r="C50" s="260"/>
      <c r="D50" s="260"/>
      <c r="E50" s="260"/>
      <c r="F50" s="260"/>
      <c r="G50" s="260"/>
      <c r="H50" s="260"/>
      <c r="I50" s="260"/>
      <c r="J50" s="260"/>
      <c r="K50" s="260"/>
      <c r="L50" s="260"/>
      <c r="M50" s="260"/>
      <c r="N50" s="260"/>
      <c r="O50" s="260"/>
      <c r="P50" s="260"/>
      <c r="Q50" s="260"/>
      <c r="R50" s="260"/>
      <c r="S50" s="260"/>
      <c r="T50" s="260"/>
      <c r="U50" s="260"/>
      <c r="V50" s="260"/>
      <c r="W50" s="260"/>
      <c r="X50" s="260"/>
      <c r="Y50" s="260"/>
    </row>
    <row r="51" spans="3:25">
      <c r="C51" s="260"/>
      <c r="D51" s="260"/>
      <c r="E51" s="260"/>
      <c r="F51" s="260"/>
      <c r="G51" s="260"/>
      <c r="H51" s="260"/>
      <c r="I51" s="260"/>
      <c r="J51" s="260"/>
      <c r="K51" s="260"/>
      <c r="L51" s="260"/>
      <c r="M51" s="260"/>
      <c r="N51" s="260"/>
      <c r="O51" s="260"/>
      <c r="P51" s="260"/>
      <c r="Q51" s="260"/>
      <c r="R51" s="260"/>
      <c r="S51" s="260"/>
      <c r="T51" s="260"/>
      <c r="U51" s="260"/>
      <c r="V51" s="260"/>
      <c r="W51" s="260"/>
      <c r="X51" s="260"/>
      <c r="Y51" s="260"/>
    </row>
    <row r="52" spans="3:25">
      <c r="C52" s="260"/>
      <c r="D52" s="260"/>
      <c r="E52" s="260"/>
      <c r="F52" s="260"/>
      <c r="G52" s="260"/>
      <c r="H52" s="260"/>
      <c r="I52" s="260"/>
      <c r="J52" s="260"/>
      <c r="K52" s="260"/>
      <c r="L52" s="260"/>
      <c r="M52" s="260"/>
      <c r="N52" s="260"/>
      <c r="O52" s="260"/>
      <c r="P52" s="260"/>
      <c r="Q52" s="260"/>
      <c r="R52" s="260"/>
      <c r="S52" s="260"/>
      <c r="T52" s="260"/>
      <c r="U52" s="260"/>
      <c r="V52" s="260"/>
      <c r="W52" s="260"/>
      <c r="X52" s="260"/>
      <c r="Y52" s="260"/>
    </row>
    <row r="53" spans="3:25">
      <c r="C53" s="260"/>
      <c r="D53" s="260"/>
      <c r="E53" s="260"/>
      <c r="F53" s="260"/>
      <c r="G53" s="260"/>
      <c r="H53" s="260"/>
      <c r="I53" s="260"/>
      <c r="J53" s="260"/>
      <c r="K53" s="260"/>
      <c r="L53" s="260"/>
      <c r="M53" s="260"/>
      <c r="N53" s="260"/>
      <c r="O53" s="260"/>
      <c r="P53" s="260"/>
      <c r="Q53" s="260"/>
      <c r="R53" s="260"/>
      <c r="S53" s="260"/>
      <c r="T53" s="260"/>
      <c r="U53" s="260"/>
      <c r="V53" s="260"/>
      <c r="W53" s="260"/>
      <c r="X53" s="260"/>
      <c r="Y53" s="260"/>
    </row>
    <row r="54" spans="3:25">
      <c r="C54" s="260"/>
      <c r="D54" s="260"/>
      <c r="E54" s="260"/>
      <c r="F54" s="260"/>
      <c r="G54" s="260"/>
      <c r="H54" s="260"/>
      <c r="I54" s="260"/>
      <c r="J54" s="260"/>
      <c r="K54" s="260"/>
      <c r="L54" s="260"/>
      <c r="M54" s="260"/>
      <c r="N54" s="260"/>
      <c r="O54" s="260"/>
      <c r="P54" s="260"/>
      <c r="Q54" s="260"/>
      <c r="R54" s="260"/>
      <c r="S54" s="260"/>
      <c r="T54" s="260"/>
      <c r="U54" s="260"/>
      <c r="V54" s="260"/>
      <c r="W54" s="260"/>
      <c r="X54" s="260"/>
      <c r="Y54" s="260"/>
    </row>
    <row r="55" spans="3:25">
      <c r="C55" s="260"/>
      <c r="D55" s="260"/>
      <c r="E55" s="260"/>
      <c r="F55" s="260"/>
      <c r="G55" s="260"/>
      <c r="H55" s="260"/>
      <c r="I55" s="260"/>
      <c r="J55" s="260"/>
      <c r="K55" s="260"/>
      <c r="L55" s="260"/>
      <c r="M55" s="260"/>
      <c r="N55" s="260"/>
      <c r="O55" s="260"/>
      <c r="P55" s="260"/>
      <c r="Q55" s="260"/>
      <c r="R55" s="260"/>
      <c r="S55" s="260"/>
      <c r="T55" s="260"/>
      <c r="U55" s="260"/>
      <c r="V55" s="260"/>
      <c r="W55" s="260"/>
      <c r="X55" s="260"/>
      <c r="Y55" s="260"/>
    </row>
  </sheetData>
  <sheetProtection selectLockedCells="1"/>
  <mergeCells count="42">
    <mergeCell ref="A11:B12"/>
    <mergeCell ref="A22:J22"/>
    <mergeCell ref="A19:B19"/>
    <mergeCell ref="A20:B20"/>
    <mergeCell ref="C13:I13"/>
    <mergeCell ref="A13:B13"/>
    <mergeCell ref="A14:J14"/>
    <mergeCell ref="C11:I12"/>
    <mergeCell ref="A33:J33"/>
    <mergeCell ref="A34:J41"/>
    <mergeCell ref="A15:B15"/>
    <mergeCell ref="C15:D15"/>
    <mergeCell ref="A23:J32"/>
    <mergeCell ref="A17:B17"/>
    <mergeCell ref="A18:B18"/>
    <mergeCell ref="A16:B16"/>
    <mergeCell ref="F10:G10"/>
    <mergeCell ref="C3:I3"/>
    <mergeCell ref="H4:I4"/>
    <mergeCell ref="C5:I5"/>
    <mergeCell ref="A3:B3"/>
    <mergeCell ref="F4:G4"/>
    <mergeCell ref="C4:E4"/>
    <mergeCell ref="A4:B4"/>
    <mergeCell ref="A5:B5"/>
    <mergeCell ref="C6:I6"/>
    <mergeCell ref="A1:J1"/>
    <mergeCell ref="A2:J2"/>
    <mergeCell ref="A8:B8"/>
    <mergeCell ref="A10:B10"/>
    <mergeCell ref="H7:I7"/>
    <mergeCell ref="C8:I8"/>
    <mergeCell ref="H9:I9"/>
    <mergeCell ref="H10:I10"/>
    <mergeCell ref="F7:G7"/>
    <mergeCell ref="F9:G9"/>
    <mergeCell ref="C7:E7"/>
    <mergeCell ref="C9:E9"/>
    <mergeCell ref="C10:E10"/>
    <mergeCell ref="A6:B6"/>
    <mergeCell ref="A7:B7"/>
    <mergeCell ref="A9:B9"/>
  </mergeCells>
  <dataValidations count="2">
    <dataValidation type="date" operator="greaterThan" allowBlank="1" showInputMessage="1" showErrorMessage="1" promptTitle="Date Format" prompt="Use the following date format:_x000a_mm/dd/yyyy" sqref="H4 C10:E10" xr:uid="{F9AAB314-FE6F-47DF-A96D-7DBD24C49BC0}">
      <formula1>1</formula1>
    </dataValidation>
    <dataValidation allowBlank="1" showInputMessage="1" showErrorMessage="1" prompt="Diameter, WC, Line ID, PN" sqref="C3:I3" xr:uid="{7D3083B9-8A8C-419C-8C33-1AA9F552B23F}"/>
  </dataValidations>
  <pageMargins left="0.25" right="0.25" top="1" bottom="0.75" header="0.25" footer="0.3"/>
  <pageSetup scale="94" fitToHeight="3" orientation="portrait" r:id="rId1"/>
  <headerFooter alignWithMargins="0">
    <oddHeader xml:space="preserve">&amp;L&amp;G&amp;R&amp;"-,Bold"&amp;16OmegaWrap®&amp;14
&amp;"-,Regular" (832) 947-4488
www.omegawrap.com </oddHeader>
    <oddFooter>&amp;L&amp;9Calculator Version &amp;F&amp;R&amp;9Page &amp;P of &amp;N</oddFooter>
  </headerFooter>
  <drawing r:id="rId2"/>
  <legacyDrawing r:id="rId3"/>
  <legacyDrawingHF r:id="rId4"/>
  <controls>
    <mc:AlternateContent xmlns:mc="http://schemas.openxmlformats.org/markup-compatibility/2006">
      <mc:Choice Requires="x14">
        <control shapeId="15363" r:id="rId5" name="OpenSheets">
          <controlPr defaultSize="0" print="0" autoLine="0" r:id="rId6">
            <anchor moveWithCells="1">
              <from>
                <xdr:col>2</xdr:col>
                <xdr:colOff>0</xdr:colOff>
                <xdr:row>15</xdr:row>
                <xdr:rowOff>133350</xdr:rowOff>
              </from>
              <to>
                <xdr:col>4</xdr:col>
                <xdr:colOff>38100</xdr:colOff>
                <xdr:row>17</xdr:row>
                <xdr:rowOff>85725</xdr:rowOff>
              </to>
            </anchor>
          </controlPr>
        </control>
      </mc:Choice>
      <mc:Fallback>
        <control shapeId="15363" r:id="rId5" name="OpenSheets"/>
      </mc:Fallback>
    </mc:AlternateContent>
    <mc:AlternateContent xmlns:mc="http://schemas.openxmlformats.org/markup-compatibility/2006">
      <mc:Choice Requires="x14">
        <control shapeId="15391" r:id="rId7" name="ExportAll">
          <controlPr defaultSize="0" print="0" autoLine="0" r:id="rId8">
            <anchor moveWithCells="1">
              <from>
                <xdr:col>4</xdr:col>
                <xdr:colOff>495300</xdr:colOff>
                <xdr:row>15</xdr:row>
                <xdr:rowOff>133350</xdr:rowOff>
              </from>
              <to>
                <xdr:col>6</xdr:col>
                <xdr:colOff>352425</xdr:colOff>
                <xdr:row>17</xdr:row>
                <xdr:rowOff>85725</xdr:rowOff>
              </to>
            </anchor>
          </controlPr>
        </control>
      </mc:Choice>
      <mc:Fallback>
        <control shapeId="15391" r:id="rId7" name="ExportAll"/>
      </mc:Fallback>
    </mc:AlternateContent>
    <mc:AlternateContent xmlns:mc="http://schemas.openxmlformats.org/markup-compatibility/2006">
      <mc:Choice Requires="x14">
        <control shapeId="15395" r:id="rId9" name="SendEmail">
          <controlPr defaultSize="0" print="0" autoLine="0" r:id="rId10">
            <anchor moveWithCells="1">
              <from>
                <xdr:col>4</xdr:col>
                <xdr:colOff>495300</xdr:colOff>
                <xdr:row>18</xdr:row>
                <xdr:rowOff>85725</xdr:rowOff>
              </from>
              <to>
                <xdr:col>6</xdr:col>
                <xdr:colOff>352425</xdr:colOff>
                <xdr:row>20</xdr:row>
                <xdr:rowOff>38100</xdr:rowOff>
              </to>
            </anchor>
          </controlPr>
        </control>
      </mc:Choice>
      <mc:Fallback>
        <control shapeId="15395" r:id="rId9" name="SendEmai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592690D-DD92-4CF3-AB5A-2153C47076FF}">
          <x14:formula1>
            <xm:f>'OW Variables'!$AE$4:$AE$5</xm:f>
          </x14:formula1>
          <xm:sqref>C15:D15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2">
    <tabColor theme="8" tint="-0.249977111117893"/>
    <pageSetUpPr fitToPage="1"/>
  </sheetPr>
  <dimension ref="A1:CT44"/>
  <sheetViews>
    <sheetView showGridLines="0" showRuler="0" showWhiteSpace="0" view="pageLayout" zoomScaleNormal="85" zoomScaleSheetLayoutView="85" workbookViewId="0">
      <selection activeCell="A11" sqref="A11:C11"/>
    </sheetView>
  </sheetViews>
  <sheetFormatPr defaultColWidth="2" defaultRowHeight="15"/>
  <cols>
    <col min="1" max="1" width="7.42578125" customWidth="1"/>
    <col min="2" max="2" width="17" customWidth="1"/>
    <col min="3" max="3" width="11.5703125" customWidth="1"/>
    <col min="4" max="4" width="10.85546875" customWidth="1"/>
    <col min="5" max="5" width="18" customWidth="1"/>
    <col min="6" max="6" width="7" customWidth="1"/>
    <col min="7" max="7" width="11.5703125" customWidth="1"/>
    <col min="8" max="8" width="12.5703125" customWidth="1"/>
    <col min="9" max="9" width="12.42578125" customWidth="1"/>
    <col min="10" max="10" width="6" customWidth="1"/>
    <col min="11" max="12" width="2" customWidth="1"/>
    <col min="15" max="15" width="2" bestFit="1" customWidth="1"/>
    <col min="16" max="18" width="2" hidden="1" customWidth="1"/>
    <col min="19" max="19" width="41.42578125" hidden="1" customWidth="1"/>
    <col min="20" max="20" width="4.140625" hidden="1" customWidth="1"/>
    <col min="21" max="21" width="24.5703125" hidden="1" customWidth="1"/>
    <col min="22" max="24" width="2" hidden="1" customWidth="1"/>
    <col min="25" max="25" width="6.5703125" hidden="1" customWidth="1"/>
    <col min="26" max="26" width="28.42578125" hidden="1" customWidth="1"/>
    <col min="27" max="27" width="0" hidden="1" customWidth="1"/>
  </cols>
  <sheetData>
    <row r="1" spans="1:98" ht="26.25">
      <c r="A1" s="117"/>
      <c r="B1" s="118" t="s">
        <v>27</v>
      </c>
      <c r="C1" s="118"/>
      <c r="D1" s="118"/>
      <c r="E1" s="118"/>
      <c r="F1" s="119" t="s">
        <v>4</v>
      </c>
      <c r="G1" s="120" t="str">
        <f>'Corrosion Calculations'!N24</f>
        <v>--</v>
      </c>
      <c r="H1" s="118"/>
      <c r="I1" s="118"/>
      <c r="J1" s="121"/>
      <c r="K1" s="382"/>
      <c r="L1" s="382"/>
      <c r="M1" s="382"/>
      <c r="N1" s="382"/>
      <c r="O1" s="382"/>
      <c r="P1" s="382"/>
      <c r="Q1" s="382"/>
      <c r="R1" s="382"/>
      <c r="S1" s="409"/>
      <c r="T1" s="382"/>
      <c r="U1" s="409"/>
      <c r="V1" s="382"/>
      <c r="W1" s="382"/>
      <c r="X1" s="382"/>
      <c r="Y1" s="382"/>
      <c r="Z1" s="382"/>
      <c r="AA1" s="382"/>
      <c r="AB1" s="382"/>
      <c r="AC1" s="382"/>
      <c r="AD1" s="382"/>
      <c r="AE1" s="382"/>
      <c r="AF1" s="382"/>
      <c r="AG1" s="382"/>
      <c r="AH1" s="382"/>
      <c r="AI1" s="382"/>
      <c r="AJ1" s="382"/>
      <c r="AK1" s="382"/>
      <c r="AL1" s="382"/>
      <c r="AM1" s="382"/>
      <c r="AN1" s="382"/>
      <c r="AO1" s="382"/>
      <c r="AP1" s="382"/>
      <c r="AQ1" s="382"/>
      <c r="AR1" s="382"/>
      <c r="AS1" s="382"/>
      <c r="AT1" s="382"/>
      <c r="AU1" s="382"/>
      <c r="AV1" s="382"/>
      <c r="AW1" s="382"/>
      <c r="AX1" s="382"/>
      <c r="AY1" s="382"/>
      <c r="AZ1" s="382"/>
      <c r="BA1" s="382"/>
      <c r="BB1" s="382"/>
      <c r="BC1" s="382"/>
      <c r="BD1" s="382"/>
      <c r="BE1" s="382"/>
      <c r="BF1" s="382"/>
      <c r="BG1" s="382"/>
      <c r="BH1" s="382"/>
      <c r="BI1" s="382"/>
      <c r="BJ1" s="382"/>
      <c r="BK1" s="382"/>
      <c r="BL1" s="382"/>
      <c r="BM1" s="382"/>
      <c r="BN1" s="382"/>
      <c r="BO1" s="382"/>
      <c r="BP1" s="382"/>
      <c r="BQ1" s="382"/>
      <c r="BR1" s="382"/>
      <c r="BS1" s="382"/>
      <c r="BT1" s="382"/>
      <c r="BU1" s="382"/>
      <c r="BV1" s="382"/>
      <c r="BW1" s="382"/>
      <c r="BX1" s="382"/>
      <c r="BY1" s="382"/>
      <c r="BZ1" s="382"/>
      <c r="CA1" s="382"/>
      <c r="CB1" s="382"/>
      <c r="CC1" s="382"/>
      <c r="CD1" s="382"/>
      <c r="CE1" s="382"/>
      <c r="CF1" s="382"/>
      <c r="CG1" s="382"/>
      <c r="CH1" s="382"/>
      <c r="CI1" s="382"/>
      <c r="CJ1" s="382"/>
      <c r="CK1" s="382"/>
      <c r="CL1" s="382"/>
      <c r="CM1" s="382"/>
      <c r="CN1" s="382"/>
      <c r="CO1" s="382"/>
      <c r="CP1" s="382"/>
      <c r="CQ1" s="382"/>
      <c r="CR1" s="382"/>
      <c r="CS1" s="382"/>
      <c r="CT1" s="382"/>
    </row>
    <row r="2" spans="1:98" ht="18" customHeight="1">
      <c r="A2" s="1094" t="s">
        <v>28</v>
      </c>
      <c r="B2" s="1095"/>
      <c r="C2" s="1095"/>
      <c r="D2" s="1095"/>
      <c r="E2" s="1095"/>
      <c r="F2" s="1095"/>
      <c r="G2" s="1095"/>
      <c r="H2" s="1095"/>
      <c r="I2" s="1095"/>
      <c r="J2" s="1096"/>
      <c r="K2" s="382"/>
      <c r="L2" s="382"/>
      <c r="M2" s="382"/>
      <c r="N2" s="382"/>
      <c r="O2" s="382"/>
      <c r="P2" s="382"/>
      <c r="Q2" s="382"/>
      <c r="R2" s="382"/>
      <c r="S2" s="409"/>
      <c r="T2" s="382"/>
      <c r="U2" s="409"/>
      <c r="V2" s="382"/>
      <c r="W2" s="382"/>
      <c r="X2" s="382"/>
      <c r="Y2" s="382"/>
      <c r="Z2" s="382"/>
      <c r="AA2" s="382"/>
      <c r="AB2" s="382"/>
      <c r="AC2" s="382"/>
      <c r="AD2" s="382"/>
      <c r="AE2" s="382"/>
      <c r="AF2" s="382"/>
      <c r="AG2" s="382"/>
      <c r="AH2" s="382"/>
      <c r="AI2" s="382"/>
      <c r="AJ2" s="382"/>
      <c r="AK2" s="382"/>
      <c r="AL2" s="382"/>
      <c r="AM2" s="382"/>
      <c r="AN2" s="382"/>
      <c r="AO2" s="382"/>
      <c r="AP2" s="382"/>
      <c r="AQ2" s="382"/>
      <c r="AR2" s="382"/>
      <c r="AS2" s="382"/>
      <c r="AT2" s="382"/>
      <c r="AU2" s="382"/>
      <c r="AV2" s="382"/>
      <c r="AW2" s="382"/>
      <c r="AX2" s="382"/>
      <c r="AY2" s="382"/>
      <c r="AZ2" s="382"/>
      <c r="BA2" s="382"/>
      <c r="BB2" s="382"/>
      <c r="BC2" s="382"/>
      <c r="BD2" s="382"/>
      <c r="BE2" s="382"/>
      <c r="BF2" s="382"/>
      <c r="BG2" s="382"/>
      <c r="BH2" s="382"/>
      <c r="BI2" s="382"/>
      <c r="BJ2" s="382"/>
      <c r="BK2" s="382"/>
      <c r="BL2" s="382"/>
      <c r="BM2" s="382"/>
      <c r="BN2" s="382"/>
      <c r="BO2" s="382"/>
      <c r="BP2" s="382"/>
      <c r="BQ2" s="382"/>
      <c r="BR2" s="382"/>
      <c r="BS2" s="382"/>
      <c r="BT2" s="382"/>
      <c r="BU2" s="382"/>
      <c r="BV2" s="382"/>
      <c r="BW2" s="382"/>
      <c r="BX2" s="382"/>
      <c r="BY2" s="382"/>
      <c r="BZ2" s="382"/>
      <c r="CA2" s="382"/>
      <c r="CB2" s="382"/>
      <c r="CC2" s="382"/>
      <c r="CD2" s="382"/>
      <c r="CE2" s="382"/>
      <c r="CF2" s="382"/>
      <c r="CG2" s="382"/>
      <c r="CH2" s="382"/>
      <c r="CI2" s="382"/>
      <c r="CJ2" s="382"/>
      <c r="CK2" s="382"/>
      <c r="CL2" s="382"/>
      <c r="CM2" s="382"/>
      <c r="CN2" s="382"/>
      <c r="CO2" s="382"/>
      <c r="CP2" s="382"/>
      <c r="CQ2" s="382"/>
      <c r="CR2" s="382"/>
      <c r="CS2" s="382"/>
      <c r="CT2" s="382"/>
    </row>
    <row r="3" spans="1:98" ht="12.4" customHeight="1">
      <c r="A3" s="1101" t="s">
        <v>29</v>
      </c>
      <c r="B3" s="1102"/>
      <c r="C3" s="1102"/>
      <c r="D3" s="1102"/>
      <c r="E3" s="1102"/>
      <c r="F3" s="1102"/>
      <c r="G3" s="1102"/>
      <c r="H3" s="1102"/>
      <c r="I3" s="1102"/>
      <c r="J3" s="1103"/>
      <c r="K3" s="382"/>
      <c r="L3" s="382"/>
      <c r="M3" s="382"/>
      <c r="N3" s="382"/>
      <c r="O3" s="382"/>
      <c r="P3" s="382"/>
      <c r="Q3" s="382"/>
      <c r="R3" s="382"/>
      <c r="S3" s="409"/>
      <c r="T3" s="382"/>
      <c r="U3" s="409"/>
      <c r="V3" s="382"/>
      <c r="W3" s="382"/>
      <c r="X3" s="382"/>
      <c r="Y3" s="382"/>
      <c r="Z3" s="382"/>
      <c r="AA3" s="382"/>
      <c r="AB3" s="382"/>
      <c r="AC3" s="382"/>
      <c r="AD3" s="382"/>
      <c r="AE3" s="382"/>
      <c r="AF3" s="382"/>
      <c r="AG3" s="382"/>
      <c r="AH3" s="382"/>
      <c r="AI3" s="382"/>
      <c r="AJ3" s="382"/>
      <c r="AK3" s="382"/>
      <c r="AL3" s="382"/>
      <c r="AM3" s="382"/>
      <c r="AN3" s="382"/>
      <c r="AO3" s="382"/>
      <c r="AP3" s="382"/>
      <c r="AQ3" s="382"/>
      <c r="AR3" s="382"/>
      <c r="AS3" s="382"/>
      <c r="AT3" s="382"/>
      <c r="AU3" s="382"/>
      <c r="AV3" s="382"/>
      <c r="AW3" s="382"/>
      <c r="AX3" s="382"/>
      <c r="AY3" s="382"/>
      <c r="AZ3" s="382"/>
      <c r="BA3" s="382"/>
      <c r="BB3" s="382"/>
      <c r="BC3" s="382"/>
      <c r="BD3" s="382"/>
      <c r="BE3" s="382"/>
      <c r="BF3" s="382"/>
      <c r="BG3" s="382"/>
      <c r="BH3" s="382"/>
      <c r="BI3" s="382"/>
      <c r="BJ3" s="382"/>
      <c r="BK3" s="382"/>
      <c r="BL3" s="382"/>
      <c r="BM3" s="382"/>
      <c r="BN3" s="382"/>
      <c r="BO3" s="382"/>
      <c r="BP3" s="382"/>
      <c r="BQ3" s="382"/>
      <c r="BR3" s="382"/>
      <c r="BS3" s="382"/>
      <c r="BT3" s="382"/>
      <c r="BU3" s="382"/>
      <c r="BV3" s="382"/>
      <c r="BW3" s="382"/>
      <c r="BX3" s="382"/>
      <c r="BY3" s="382"/>
      <c r="BZ3" s="382"/>
      <c r="CA3" s="382"/>
      <c r="CB3" s="382"/>
      <c r="CC3" s="382"/>
      <c r="CD3" s="382"/>
      <c r="CE3" s="382"/>
      <c r="CF3" s="382"/>
      <c r="CG3" s="382"/>
      <c r="CH3" s="382"/>
      <c r="CI3" s="382"/>
      <c r="CJ3" s="382"/>
      <c r="CK3" s="382"/>
      <c r="CL3" s="382"/>
      <c r="CM3" s="382"/>
      <c r="CN3" s="382"/>
      <c r="CO3" s="382"/>
      <c r="CP3" s="382"/>
      <c r="CQ3" s="382"/>
      <c r="CR3" s="382"/>
      <c r="CS3" s="382"/>
      <c r="CT3" s="382"/>
    </row>
    <row r="4" spans="1:98" ht="17.45" customHeight="1">
      <c r="A4" s="1093" t="s">
        <v>30</v>
      </c>
      <c r="B4" s="1028"/>
      <c r="C4" s="1028"/>
      <c r="D4" s="19"/>
      <c r="E4" s="386">
        <v>20</v>
      </c>
      <c r="F4" s="21" t="str">
        <f>IF(I8="Imperial", "in","mm")</f>
        <v>in</v>
      </c>
      <c r="G4" s="93">
        <f>IF(I8="Imperial", S4*25.4,S4)</f>
        <v>508</v>
      </c>
      <c r="H4" s="86" t="str">
        <f>IF(I8="Imperial", "mm","in")</f>
        <v>mm</v>
      </c>
      <c r="I4" s="103" t="s">
        <v>31</v>
      </c>
      <c r="J4" s="975"/>
      <c r="K4" s="382"/>
      <c r="L4" s="382"/>
      <c r="M4" s="382"/>
      <c r="N4" s="382"/>
      <c r="O4" s="382"/>
      <c r="P4" s="382"/>
      <c r="Q4" s="382"/>
      <c r="R4" s="382"/>
      <c r="S4" s="423">
        <f>IF(I8="Imperial", E4,E4/25.4)</f>
        <v>20</v>
      </c>
      <c r="T4" s="382" t="s">
        <v>32</v>
      </c>
      <c r="U4" s="409"/>
      <c r="V4" s="382"/>
      <c r="W4" s="382"/>
      <c r="X4" s="382"/>
      <c r="Y4" s="382"/>
      <c r="Z4" s="382"/>
      <c r="AA4" s="382"/>
      <c r="AB4" s="382"/>
      <c r="AC4" s="382"/>
      <c r="AD4" s="382"/>
      <c r="AE4" s="382"/>
      <c r="AF4" s="382"/>
      <c r="AG4" s="382"/>
      <c r="AH4" s="382"/>
      <c r="AI4" s="382"/>
      <c r="AJ4" s="382"/>
      <c r="AK4" s="382"/>
      <c r="AL4" s="382"/>
      <c r="AM4" s="382"/>
      <c r="AN4" s="382"/>
      <c r="AO4" s="382"/>
      <c r="AP4" s="382"/>
      <c r="AQ4" s="382"/>
      <c r="AR4" s="382"/>
      <c r="AS4" s="382"/>
      <c r="AT4" s="382"/>
      <c r="AU4" s="382"/>
      <c r="AV4" s="382"/>
      <c r="AW4" s="382"/>
      <c r="AX4" s="382"/>
      <c r="AY4" s="382"/>
      <c r="AZ4" s="382"/>
      <c r="BA4" s="382"/>
      <c r="BB4" s="382"/>
      <c r="BC4" s="382"/>
      <c r="BD4" s="382"/>
      <c r="BE4" s="382"/>
      <c r="BF4" s="382"/>
      <c r="BG4" s="382"/>
      <c r="BH4" s="382"/>
      <c r="BI4" s="382"/>
      <c r="BJ4" s="382"/>
      <c r="BK4" s="382"/>
      <c r="BL4" s="382"/>
      <c r="BM4" s="382"/>
      <c r="BN4" s="382"/>
      <c r="BO4" s="382"/>
      <c r="BP4" s="382"/>
      <c r="BQ4" s="382"/>
      <c r="BR4" s="382"/>
      <c r="BS4" s="382"/>
      <c r="BT4" s="382"/>
      <c r="BU4" s="382"/>
      <c r="BV4" s="382"/>
      <c r="BW4" s="382"/>
      <c r="BX4" s="382"/>
      <c r="BY4" s="382"/>
      <c r="BZ4" s="382"/>
      <c r="CA4" s="382"/>
      <c r="CB4" s="382"/>
      <c r="CC4" s="382"/>
      <c r="CD4" s="382"/>
      <c r="CE4" s="382"/>
      <c r="CF4" s="382"/>
      <c r="CG4" s="382"/>
      <c r="CH4" s="382"/>
      <c r="CI4" s="382"/>
      <c r="CJ4" s="382"/>
      <c r="CK4" s="382"/>
      <c r="CL4" s="382"/>
      <c r="CM4" s="382"/>
      <c r="CN4" s="382"/>
      <c r="CO4" s="382"/>
      <c r="CP4" s="382"/>
      <c r="CQ4" s="382"/>
      <c r="CR4" s="382"/>
      <c r="CS4" s="382"/>
      <c r="CT4" s="382"/>
    </row>
    <row r="5" spans="1:98" ht="17.45" customHeight="1">
      <c r="A5" s="1093" t="s">
        <v>33</v>
      </c>
      <c r="B5" s="1028"/>
      <c r="C5" s="1028"/>
      <c r="D5" s="19"/>
      <c r="E5" s="386">
        <v>0.25</v>
      </c>
      <c r="F5" s="21" t="str">
        <f>IF(I8="Imperial", "in","mm")</f>
        <v>in</v>
      </c>
      <c r="G5" s="93">
        <f>IF(I8="Imperial", S5*25.4,S5)</f>
        <v>6.35</v>
      </c>
      <c r="H5" s="86" t="str">
        <f>IF(I8="Imperial", "mm","in")</f>
        <v>mm</v>
      </c>
      <c r="I5" s="1097" t="s">
        <v>34</v>
      </c>
      <c r="J5" s="1098"/>
      <c r="K5" s="382"/>
      <c r="L5" s="382"/>
      <c r="M5" s="382"/>
      <c r="N5" s="382"/>
      <c r="O5" s="382"/>
      <c r="P5" s="382" t="s">
        <v>35</v>
      </c>
      <c r="Q5" s="382"/>
      <c r="R5" s="382"/>
      <c r="S5" s="423">
        <f>IF(I8="Imperial", E5,E5/25.4)</f>
        <v>0.25</v>
      </c>
      <c r="T5" s="382" t="s">
        <v>32</v>
      </c>
      <c r="U5" s="409"/>
      <c r="V5" s="382"/>
      <c r="W5" s="382"/>
      <c r="X5" s="382"/>
      <c r="Y5" s="382"/>
      <c r="Z5" s="382"/>
      <c r="AA5" s="382"/>
      <c r="AB5" s="382"/>
      <c r="AC5" s="382"/>
      <c r="AD5" s="382"/>
      <c r="AE5" s="382"/>
      <c r="AF5" s="382"/>
      <c r="AG5" s="416"/>
      <c r="AH5" s="382"/>
      <c r="AI5" s="382"/>
      <c r="AJ5" s="382"/>
      <c r="AK5" s="382"/>
      <c r="AL5" s="382"/>
      <c r="AM5" s="382"/>
      <c r="AN5" s="382"/>
      <c r="AO5" s="382"/>
      <c r="AP5" s="382"/>
      <c r="AQ5" s="382"/>
      <c r="AR5" s="382"/>
      <c r="AS5" s="382"/>
      <c r="AT5" s="382"/>
      <c r="AU5" s="382"/>
      <c r="AV5" s="382"/>
      <c r="AW5" s="382"/>
      <c r="AX5" s="382"/>
      <c r="AY5" s="382"/>
      <c r="AZ5" s="382"/>
      <c r="BA5" s="382"/>
      <c r="BB5" s="382"/>
      <c r="BC5" s="382"/>
      <c r="BD5" s="382"/>
      <c r="BE5" s="382"/>
      <c r="BF5" s="382"/>
      <c r="BG5" s="382"/>
      <c r="BH5" s="382"/>
      <c r="BI5" s="382"/>
      <c r="BJ5" s="382"/>
      <c r="BK5" s="382"/>
      <c r="BL5" s="382"/>
      <c r="BM5" s="382"/>
      <c r="BN5" s="382"/>
      <c r="BO5" s="382"/>
      <c r="BP5" s="382"/>
      <c r="BQ5" s="382"/>
      <c r="BR5" s="382"/>
      <c r="BS5" s="382"/>
      <c r="BT5" s="382"/>
      <c r="BU5" s="382"/>
      <c r="BV5" s="382"/>
      <c r="BW5" s="382"/>
      <c r="BX5" s="382"/>
      <c r="BY5" s="382"/>
      <c r="BZ5" s="382"/>
      <c r="CA5" s="382"/>
      <c r="CB5" s="382"/>
      <c r="CC5" s="382"/>
      <c r="CD5" s="382"/>
      <c r="CE5" s="382"/>
      <c r="CF5" s="382"/>
      <c r="CG5" s="382"/>
      <c r="CH5" s="382"/>
      <c r="CI5" s="382"/>
      <c r="CJ5" s="382"/>
      <c r="CK5" s="382"/>
      <c r="CL5" s="382"/>
      <c r="CM5" s="382"/>
      <c r="CN5" s="382"/>
      <c r="CO5" s="382"/>
      <c r="CP5" s="382"/>
      <c r="CQ5" s="382"/>
      <c r="CR5" s="382"/>
      <c r="CS5" s="382"/>
      <c r="CT5" s="382"/>
    </row>
    <row r="6" spans="1:98" ht="17.45" customHeight="1">
      <c r="A6" s="1093" t="s">
        <v>36</v>
      </c>
      <c r="B6" s="1028"/>
      <c r="C6" s="1028"/>
      <c r="D6" s="19"/>
      <c r="E6" s="386">
        <v>70</v>
      </c>
      <c r="F6" s="21" t="str">
        <f>IF(I8="Imperial", "°F","°C")</f>
        <v>°F</v>
      </c>
      <c r="G6" s="72">
        <f>IF(I8="Imperial",'Corrosion Calculations'!G19,S6)</f>
        <v>21.111111111111111</v>
      </c>
      <c r="H6" s="984" t="str">
        <f>IF(I8="Imperial", "°C","°F")</f>
        <v>°C</v>
      </c>
      <c r="I6" s="1099" t="s">
        <v>37</v>
      </c>
      <c r="J6" s="1100"/>
      <c r="K6" s="382"/>
      <c r="L6" s="382"/>
      <c r="M6" s="382"/>
      <c r="N6" s="382"/>
      <c r="O6" s="382"/>
      <c r="P6" s="382" t="s">
        <v>38</v>
      </c>
      <c r="Q6" s="382"/>
      <c r="R6" s="382"/>
      <c r="S6" s="424">
        <f>IF(I8="Imperial", E6,(E6*9/5)+32)</f>
        <v>70</v>
      </c>
      <c r="T6" s="382" t="s">
        <v>39</v>
      </c>
      <c r="U6" s="409"/>
      <c r="V6" s="382"/>
      <c r="W6" s="382"/>
      <c r="X6" s="382" t="s">
        <v>40</v>
      </c>
      <c r="Y6" s="382"/>
      <c r="Z6" s="382"/>
      <c r="AA6" s="382"/>
      <c r="AB6" s="382"/>
      <c r="AC6" s="382"/>
      <c r="AD6" s="382"/>
      <c r="AE6" s="382"/>
      <c r="AF6" s="382"/>
      <c r="AG6" s="416"/>
      <c r="AH6" s="382"/>
      <c r="AI6" s="382"/>
      <c r="AJ6" s="382"/>
      <c r="AK6" s="382"/>
      <c r="AL6" s="382"/>
      <c r="AM6" s="382"/>
      <c r="AN6" s="382"/>
      <c r="AO6" s="382"/>
      <c r="AP6" s="382"/>
      <c r="AQ6" s="382"/>
      <c r="AR6" s="382"/>
      <c r="AS6" s="382"/>
      <c r="AT6" s="382"/>
      <c r="AU6" s="382"/>
      <c r="AV6" s="382"/>
      <c r="AW6" s="382"/>
      <c r="AX6" s="382"/>
      <c r="AY6" s="382"/>
      <c r="AZ6" s="382"/>
      <c r="BA6" s="382"/>
      <c r="BB6" s="382"/>
      <c r="BC6" s="382"/>
      <c r="BD6" s="382"/>
      <c r="BE6" s="382"/>
      <c r="BF6" s="382"/>
      <c r="BG6" s="382"/>
      <c r="BH6" s="382"/>
      <c r="BI6" s="382"/>
      <c r="BJ6" s="382"/>
      <c r="BK6" s="382"/>
      <c r="BL6" s="382"/>
      <c r="BM6" s="382"/>
      <c r="BN6" s="382"/>
      <c r="BO6" s="382"/>
      <c r="BP6" s="382"/>
      <c r="BQ6" s="382"/>
      <c r="BR6" s="382"/>
      <c r="BS6" s="382"/>
      <c r="BT6" s="382"/>
      <c r="BU6" s="382"/>
      <c r="BV6" s="382"/>
      <c r="BW6" s="382"/>
      <c r="BX6" s="382"/>
      <c r="BY6" s="382"/>
      <c r="BZ6" s="382"/>
      <c r="CA6" s="382"/>
      <c r="CB6" s="382"/>
      <c r="CC6" s="382"/>
      <c r="CD6" s="382"/>
      <c r="CE6" s="382"/>
      <c r="CF6" s="382"/>
      <c r="CG6" s="382"/>
      <c r="CH6" s="382"/>
      <c r="CI6" s="382"/>
      <c r="CJ6" s="382"/>
      <c r="CK6" s="382"/>
      <c r="CL6" s="382"/>
      <c r="CM6" s="382"/>
      <c r="CN6" s="382"/>
      <c r="CO6" s="382"/>
      <c r="CP6" s="382"/>
      <c r="CQ6" s="382"/>
      <c r="CR6" s="382"/>
      <c r="CS6" s="382"/>
      <c r="CT6" s="382"/>
    </row>
    <row r="7" spans="1:98" ht="17.45" customHeight="1">
      <c r="A7" s="1093" t="s">
        <v>41</v>
      </c>
      <c r="B7" s="1028"/>
      <c r="C7" s="1028"/>
      <c r="D7" s="19"/>
      <c r="E7" s="20" t="s">
        <v>42</v>
      </c>
      <c r="F7" s="21"/>
      <c r="G7" s="21"/>
      <c r="H7" s="21"/>
      <c r="I7" s="985" t="s">
        <v>43</v>
      </c>
      <c r="J7" s="975"/>
      <c r="K7" s="382"/>
      <c r="L7" s="382"/>
      <c r="M7" s="382"/>
      <c r="N7" s="382"/>
      <c r="O7" s="382"/>
      <c r="P7" s="382"/>
      <c r="Q7" s="382"/>
      <c r="R7" s="382"/>
      <c r="S7" s="409"/>
      <c r="T7" s="382"/>
      <c r="U7" s="409"/>
      <c r="V7" s="382"/>
      <c r="W7" s="382"/>
      <c r="X7" s="382"/>
      <c r="Y7" s="382"/>
      <c r="Z7" s="382"/>
      <c r="AA7" s="382"/>
      <c r="AB7" s="382"/>
      <c r="AC7" s="382"/>
      <c r="AD7" s="382"/>
      <c r="AE7" s="382"/>
      <c r="AF7" s="382"/>
      <c r="AG7" s="416"/>
      <c r="AH7" s="382"/>
      <c r="AI7" s="382"/>
      <c r="AJ7" s="382"/>
      <c r="AK7" s="382"/>
      <c r="AL7" s="382"/>
      <c r="AM7" s="382"/>
      <c r="AN7" s="382"/>
      <c r="AO7" s="382"/>
      <c r="AP7" s="382"/>
      <c r="AQ7" s="382"/>
      <c r="AR7" s="382"/>
      <c r="AS7" s="382"/>
      <c r="AT7" s="382"/>
      <c r="AU7" s="382"/>
      <c r="AV7" s="382"/>
      <c r="AW7" s="382"/>
      <c r="AX7" s="382"/>
      <c r="AY7" s="382"/>
      <c r="AZ7" s="382"/>
      <c r="BA7" s="382"/>
      <c r="BB7" s="382"/>
      <c r="BC7" s="382"/>
      <c r="BD7" s="382"/>
      <c r="BE7" s="382"/>
      <c r="BF7" s="382"/>
      <c r="BG7" s="382"/>
      <c r="BH7" s="382"/>
      <c r="BI7" s="382"/>
      <c r="BJ7" s="382"/>
      <c r="BK7" s="382"/>
      <c r="BL7" s="382"/>
      <c r="BM7" s="382"/>
      <c r="BN7" s="382"/>
      <c r="BO7" s="382"/>
      <c r="BP7" s="382"/>
      <c r="BQ7" s="382"/>
      <c r="BR7" s="382"/>
      <c r="BS7" s="382"/>
      <c r="BT7" s="382"/>
      <c r="BU7" s="382"/>
      <c r="BV7" s="382"/>
      <c r="BW7" s="382"/>
      <c r="BX7" s="382"/>
      <c r="BY7" s="382"/>
      <c r="BZ7" s="382"/>
      <c r="CA7" s="382"/>
      <c r="CB7" s="382"/>
      <c r="CC7" s="382"/>
      <c r="CD7" s="382"/>
      <c r="CE7" s="382"/>
      <c r="CF7" s="382"/>
      <c r="CG7" s="382"/>
      <c r="CH7" s="382"/>
      <c r="CI7" s="382"/>
      <c r="CJ7" s="382"/>
      <c r="CK7" s="382"/>
      <c r="CL7" s="382"/>
      <c r="CM7" s="382"/>
      <c r="CN7" s="382"/>
      <c r="CO7" s="382"/>
      <c r="CP7" s="382"/>
      <c r="CQ7" s="382"/>
      <c r="CR7" s="382"/>
      <c r="CS7" s="382"/>
      <c r="CT7" s="382"/>
    </row>
    <row r="8" spans="1:98" ht="17.45" customHeight="1">
      <c r="A8" s="1093" t="s">
        <v>44</v>
      </c>
      <c r="B8" s="1028"/>
      <c r="C8" s="1028"/>
      <c r="D8" s="19"/>
      <c r="E8" s="58">
        <f>'Corrosion Calculations'!J13</f>
        <v>70300</v>
      </c>
      <c r="F8" s="21" t="s">
        <v>45</v>
      </c>
      <c r="G8" s="72">
        <f>E8*6.895</f>
        <v>484718.49999999994</v>
      </c>
      <c r="H8" s="586" t="s">
        <v>46</v>
      </c>
      <c r="I8" s="386" t="s">
        <v>35</v>
      </c>
      <c r="J8" s="975"/>
      <c r="K8" s="382"/>
      <c r="L8" s="382"/>
      <c r="M8" s="382"/>
      <c r="N8" s="382"/>
      <c r="O8" s="382"/>
      <c r="P8" s="382"/>
      <c r="Q8" s="382"/>
      <c r="R8" s="382"/>
      <c r="S8" s="424"/>
      <c r="T8" s="382"/>
      <c r="U8" s="409"/>
      <c r="V8" s="382"/>
      <c r="W8" s="382"/>
      <c r="X8" s="382"/>
      <c r="Y8" s="382"/>
      <c r="Z8" s="382"/>
      <c r="AA8" s="382"/>
      <c r="AB8" s="382"/>
      <c r="AC8" s="382"/>
      <c r="AD8" s="382"/>
      <c r="AE8" s="382"/>
      <c r="AF8" s="382"/>
      <c r="AG8" s="382"/>
      <c r="AH8" s="382"/>
      <c r="AI8" s="382"/>
      <c r="AJ8" s="382"/>
      <c r="AK8" s="382"/>
      <c r="AL8" s="382"/>
      <c r="AM8" s="382"/>
      <c r="AN8" s="382"/>
      <c r="AO8" s="382"/>
      <c r="AP8" s="382"/>
      <c r="AQ8" s="382"/>
      <c r="AR8" s="382"/>
      <c r="AS8" s="382"/>
      <c r="AT8" s="382"/>
      <c r="AU8" s="382"/>
      <c r="AV8" s="382"/>
      <c r="AW8" s="382"/>
      <c r="AX8" s="382"/>
      <c r="AY8" s="382"/>
      <c r="AZ8" s="382"/>
      <c r="BA8" s="382"/>
      <c r="BB8" s="382"/>
      <c r="BC8" s="382"/>
      <c r="BD8" s="382"/>
      <c r="BE8" s="382"/>
      <c r="BF8" s="382"/>
      <c r="BG8" s="382"/>
      <c r="BH8" s="382"/>
      <c r="BI8" s="382"/>
      <c r="BJ8" s="382"/>
      <c r="BK8" s="382"/>
      <c r="BL8" s="382"/>
      <c r="BM8" s="382"/>
      <c r="BN8" s="382"/>
      <c r="BO8" s="382"/>
      <c r="BP8" s="382"/>
      <c r="BQ8" s="382"/>
      <c r="BR8" s="382"/>
      <c r="BS8" s="382"/>
      <c r="BT8" s="382"/>
      <c r="BU8" s="382"/>
      <c r="BV8" s="382"/>
      <c r="BW8" s="382"/>
      <c r="BX8" s="382"/>
      <c r="BY8" s="382"/>
      <c r="BZ8" s="382"/>
      <c r="CA8" s="382"/>
      <c r="CB8" s="382"/>
      <c r="CC8" s="382"/>
      <c r="CD8" s="382"/>
      <c r="CE8" s="382"/>
      <c r="CF8" s="382"/>
      <c r="CG8" s="382"/>
      <c r="CH8" s="382"/>
      <c r="CI8" s="382"/>
      <c r="CJ8" s="382"/>
      <c r="CK8" s="382"/>
      <c r="CL8" s="382"/>
      <c r="CM8" s="382"/>
      <c r="CN8" s="382"/>
      <c r="CO8" s="382"/>
      <c r="CP8" s="382"/>
      <c r="CQ8" s="382"/>
      <c r="CR8" s="382"/>
      <c r="CS8" s="382"/>
      <c r="CT8" s="382"/>
    </row>
    <row r="9" spans="1:98" ht="17.45" customHeight="1">
      <c r="A9" s="1093" t="s">
        <v>47</v>
      </c>
      <c r="B9" s="1028"/>
      <c r="C9" s="1028"/>
      <c r="D9" s="19"/>
      <c r="E9" s="58">
        <f>'Corrosion Calculations'!J14</f>
        <v>82700</v>
      </c>
      <c r="F9" s="21" t="s">
        <v>45</v>
      </c>
      <c r="G9" s="72">
        <f>E9*6.895</f>
        <v>570216.5</v>
      </c>
      <c r="H9" s="586" t="s">
        <v>46</v>
      </c>
      <c r="I9" s="1069" t="str">
        <f>'Corrosion Calculations'!N28</f>
        <v/>
      </c>
      <c r="J9" s="1070"/>
      <c r="K9" s="382"/>
      <c r="L9" s="382"/>
      <c r="M9" s="382"/>
      <c r="N9" s="382"/>
      <c r="O9" s="382"/>
      <c r="P9" s="382"/>
      <c r="Q9" s="382"/>
      <c r="R9" s="382"/>
      <c r="S9" s="424"/>
      <c r="T9" s="382"/>
      <c r="U9" s="409"/>
      <c r="V9" s="382"/>
      <c r="W9" s="382"/>
      <c r="X9" s="382"/>
      <c r="Y9" s="382">
        <v>24000</v>
      </c>
      <c r="Z9" s="382"/>
      <c r="AA9" s="382"/>
      <c r="AB9" s="382"/>
      <c r="AC9" s="382"/>
      <c r="AD9" s="382"/>
      <c r="AE9" s="382"/>
      <c r="AF9" s="382"/>
      <c r="AG9" s="382"/>
      <c r="AH9" s="382"/>
      <c r="AI9" s="382"/>
      <c r="AJ9" s="382"/>
      <c r="AK9" s="382"/>
      <c r="AL9" s="382"/>
      <c r="AM9" s="382"/>
      <c r="AN9" s="382"/>
      <c r="AO9" s="382"/>
      <c r="AP9" s="382"/>
      <c r="AQ9" s="382"/>
      <c r="AR9" s="382"/>
      <c r="AS9" s="382"/>
      <c r="AT9" s="382"/>
      <c r="AU9" s="382"/>
      <c r="AV9" s="382"/>
      <c r="AW9" s="382"/>
      <c r="AX9" s="382"/>
      <c r="AY9" s="382"/>
      <c r="AZ9" s="382"/>
      <c r="BA9" s="382"/>
      <c r="BB9" s="382"/>
      <c r="BC9" s="382"/>
      <c r="BD9" s="382"/>
      <c r="BE9" s="382"/>
      <c r="BF9" s="382"/>
      <c r="BG9" s="382"/>
      <c r="BH9" s="382"/>
      <c r="BI9" s="382"/>
      <c r="BJ9" s="382"/>
      <c r="BK9" s="382"/>
      <c r="BL9" s="382"/>
      <c r="BM9" s="382"/>
      <c r="BN9" s="382"/>
      <c r="BO9" s="382"/>
      <c r="BP9" s="382"/>
      <c r="BQ9" s="382"/>
      <c r="BR9" s="382"/>
      <c r="BS9" s="382"/>
      <c r="BT9" s="382"/>
      <c r="BU9" s="382"/>
      <c r="BV9" s="382"/>
      <c r="BW9" s="382"/>
      <c r="BX9" s="382"/>
      <c r="BY9" s="382"/>
      <c r="BZ9" s="382"/>
      <c r="CA9" s="382"/>
      <c r="CB9" s="382"/>
      <c r="CC9" s="382"/>
      <c r="CD9" s="382"/>
      <c r="CE9" s="382"/>
      <c r="CF9" s="382"/>
      <c r="CG9" s="382"/>
      <c r="CH9" s="382"/>
      <c r="CI9" s="382"/>
      <c r="CJ9" s="382"/>
      <c r="CK9" s="382"/>
      <c r="CL9" s="382"/>
      <c r="CM9" s="382"/>
      <c r="CN9" s="382"/>
      <c r="CO9" s="382"/>
      <c r="CP9" s="382"/>
      <c r="CQ9" s="382"/>
      <c r="CR9" s="382"/>
      <c r="CS9" s="382"/>
      <c r="CT9" s="382"/>
    </row>
    <row r="10" spans="1:98" ht="17.45" customHeight="1">
      <c r="A10" s="1093" t="s">
        <v>48</v>
      </c>
      <c r="B10" s="1028"/>
      <c r="C10" s="1028"/>
      <c r="D10" s="19"/>
      <c r="E10" s="20">
        <v>40</v>
      </c>
      <c r="F10" s="21" t="s">
        <v>49</v>
      </c>
      <c r="G10" s="72"/>
      <c r="H10" s="72"/>
      <c r="I10" s="1069"/>
      <c r="J10" s="1070"/>
      <c r="K10" s="382"/>
      <c r="L10" s="382"/>
      <c r="M10" s="382"/>
      <c r="N10" s="382"/>
      <c r="O10" s="382"/>
      <c r="P10" s="382"/>
      <c r="Q10" s="382"/>
      <c r="R10" s="382"/>
      <c r="S10" s="409"/>
      <c r="T10" s="382"/>
      <c r="U10" s="409"/>
      <c r="V10" s="382"/>
      <c r="W10" s="382"/>
      <c r="X10" s="382"/>
      <c r="Y10" s="425">
        <v>0.72</v>
      </c>
      <c r="Z10" s="382"/>
      <c r="AA10" s="382"/>
      <c r="AB10" s="382"/>
      <c r="AC10" s="382"/>
      <c r="AD10" s="382"/>
      <c r="AE10" s="382"/>
      <c r="AF10" s="382"/>
      <c r="AG10" s="382"/>
      <c r="AH10" s="382"/>
      <c r="AI10" s="382"/>
      <c r="AJ10" s="382"/>
      <c r="AK10" s="382"/>
      <c r="AL10" s="382"/>
      <c r="AM10" s="382"/>
      <c r="AN10" s="382"/>
      <c r="AO10" s="382"/>
      <c r="AP10" s="382"/>
      <c r="AQ10" s="382"/>
      <c r="AR10" s="382"/>
      <c r="AS10" s="382"/>
      <c r="AT10" s="382"/>
      <c r="AU10" s="382"/>
      <c r="AV10" s="382"/>
      <c r="AW10" s="382"/>
      <c r="AX10" s="382"/>
      <c r="AY10" s="382"/>
      <c r="AZ10" s="382"/>
      <c r="BA10" s="382"/>
      <c r="BB10" s="382"/>
      <c r="BC10" s="382"/>
      <c r="BD10" s="382"/>
      <c r="BE10" s="382"/>
      <c r="BF10" s="382"/>
      <c r="BG10" s="382"/>
      <c r="BH10" s="382"/>
      <c r="BI10" s="382"/>
      <c r="BJ10" s="382"/>
      <c r="BK10" s="382"/>
      <c r="BL10" s="382"/>
      <c r="BM10" s="382"/>
      <c r="BN10" s="382"/>
      <c r="BO10" s="382"/>
      <c r="BP10" s="382"/>
      <c r="BQ10" s="382"/>
      <c r="BR10" s="382"/>
      <c r="BS10" s="382"/>
      <c r="BT10" s="382"/>
      <c r="BU10" s="382"/>
      <c r="BV10" s="382"/>
      <c r="BW10" s="382"/>
      <c r="BX10" s="382"/>
      <c r="BY10" s="382"/>
      <c r="BZ10" s="382"/>
      <c r="CA10" s="382"/>
      <c r="CB10" s="382"/>
      <c r="CC10" s="382"/>
      <c r="CD10" s="382"/>
      <c r="CE10" s="382"/>
      <c r="CF10" s="382"/>
      <c r="CG10" s="382"/>
      <c r="CH10" s="382"/>
      <c r="CI10" s="382"/>
      <c r="CJ10" s="382"/>
      <c r="CK10" s="382"/>
      <c r="CL10" s="382"/>
      <c r="CM10" s="382"/>
      <c r="CN10" s="382"/>
      <c r="CO10" s="382"/>
      <c r="CP10" s="382"/>
      <c r="CQ10" s="382"/>
      <c r="CR10" s="382"/>
      <c r="CS10" s="382"/>
      <c r="CT10" s="382"/>
    </row>
    <row r="11" spans="1:98" ht="17.45" customHeight="1">
      <c r="A11" s="1104" t="s">
        <v>50</v>
      </c>
      <c r="B11" s="1105"/>
      <c r="C11" s="1105"/>
      <c r="D11" s="976"/>
      <c r="E11" s="986">
        <f>'Corrosion Calculations'!J16</f>
        <v>703</v>
      </c>
      <c r="F11" s="977" t="s">
        <v>45</v>
      </c>
      <c r="G11" s="987">
        <f>E11*6.895</f>
        <v>4847.1849999999995</v>
      </c>
      <c r="H11" s="988" t="s">
        <v>46</v>
      </c>
      <c r="I11" s="1071"/>
      <c r="J11" s="1072"/>
      <c r="K11" s="382"/>
      <c r="L11" s="382"/>
      <c r="M11" s="382"/>
      <c r="N11" s="382"/>
      <c r="O11" s="382"/>
      <c r="P11" s="382"/>
      <c r="Q11" s="382"/>
      <c r="R11" s="382"/>
      <c r="S11" s="424"/>
      <c r="T11" s="382"/>
      <c r="U11" s="409"/>
      <c r="V11" s="382"/>
      <c r="W11" s="382"/>
      <c r="X11" s="382"/>
      <c r="Y11" s="382"/>
      <c r="Z11" s="382"/>
      <c r="AA11" s="382"/>
      <c r="AB11" s="382"/>
      <c r="AC11" s="382"/>
      <c r="AD11" s="382"/>
      <c r="AE11" s="382"/>
      <c r="AF11" s="382"/>
      <c r="AG11" s="382"/>
      <c r="AH11" s="382"/>
      <c r="AI11" s="382"/>
      <c r="AJ11" s="382"/>
      <c r="AK11" s="382"/>
      <c r="AL11" s="382"/>
      <c r="AM11" s="382"/>
      <c r="AN11" s="382"/>
      <c r="AO11" s="382"/>
      <c r="AP11" s="382"/>
      <c r="AQ11" s="382"/>
      <c r="AR11" s="382"/>
      <c r="AS11" s="382"/>
      <c r="AT11" s="382"/>
      <c r="AU11" s="382"/>
      <c r="AV11" s="382"/>
      <c r="AW11" s="382"/>
      <c r="AX11" s="382"/>
      <c r="AY11" s="382"/>
      <c r="AZ11" s="382"/>
      <c r="BA11" s="382"/>
      <c r="BB11" s="382"/>
      <c r="BC11" s="382"/>
      <c r="BD11" s="382"/>
      <c r="BE11" s="382"/>
      <c r="BF11" s="382"/>
      <c r="BG11" s="382"/>
      <c r="BH11" s="382"/>
      <c r="BI11" s="382"/>
      <c r="BJ11" s="382"/>
      <c r="BK11" s="382"/>
      <c r="BL11" s="382"/>
      <c r="BM11" s="382"/>
      <c r="BN11" s="382"/>
      <c r="BO11" s="382"/>
      <c r="BP11" s="382"/>
      <c r="BQ11" s="382"/>
      <c r="BR11" s="382"/>
      <c r="BS11" s="382"/>
      <c r="BT11" s="382"/>
      <c r="BU11" s="382"/>
      <c r="BV11" s="382"/>
      <c r="BW11" s="382"/>
      <c r="BX11" s="382"/>
      <c r="BY11" s="382"/>
      <c r="BZ11" s="382"/>
      <c r="CA11" s="382"/>
      <c r="CB11" s="382"/>
      <c r="CC11" s="382"/>
      <c r="CD11" s="382"/>
      <c r="CE11" s="382"/>
      <c r="CF11" s="382"/>
      <c r="CG11" s="382"/>
      <c r="CH11" s="382"/>
      <c r="CI11" s="382"/>
      <c r="CJ11" s="382"/>
      <c r="CK11" s="382"/>
      <c r="CL11" s="382"/>
      <c r="CM11" s="382"/>
      <c r="CN11" s="382"/>
      <c r="CO11" s="382"/>
      <c r="CP11" s="382"/>
      <c r="CQ11" s="382"/>
      <c r="CR11" s="382"/>
      <c r="CS11" s="382"/>
      <c r="CT11" s="382"/>
    </row>
    <row r="12" spans="1:98" ht="10.9" customHeight="1">
      <c r="A12" s="1090" t="s">
        <v>51</v>
      </c>
      <c r="B12" s="1091"/>
      <c r="C12" s="1091"/>
      <c r="D12" s="1091"/>
      <c r="E12" s="1091"/>
      <c r="F12" s="1091"/>
      <c r="G12" s="1091"/>
      <c r="H12" s="1091"/>
      <c r="I12" s="1091"/>
      <c r="J12" s="1092"/>
      <c r="K12" s="382"/>
      <c r="L12" s="382"/>
      <c r="M12" s="382"/>
      <c r="N12" s="382"/>
      <c r="O12" s="382"/>
      <c r="P12" s="382"/>
      <c r="Q12" s="382"/>
      <c r="R12" s="382"/>
      <c r="S12" s="409"/>
      <c r="T12" s="382"/>
      <c r="U12" s="409"/>
      <c r="V12" s="382"/>
      <c r="W12" s="382"/>
      <c r="X12" s="382"/>
      <c r="Y12" s="382"/>
      <c r="Z12" s="382"/>
      <c r="AA12" s="382"/>
      <c r="AB12" s="382"/>
      <c r="AC12" s="382"/>
      <c r="AD12" s="382"/>
      <c r="AE12" s="382"/>
      <c r="AF12" s="382"/>
      <c r="AG12" s="382"/>
      <c r="AH12" s="382"/>
      <c r="AI12" s="382"/>
      <c r="AJ12" s="382"/>
      <c r="AK12" s="382"/>
      <c r="AL12" s="382"/>
      <c r="AM12" s="382"/>
      <c r="AN12" s="382"/>
      <c r="AO12" s="382"/>
      <c r="AP12" s="382"/>
      <c r="AQ12" s="382"/>
      <c r="AR12" s="382"/>
      <c r="AS12" s="382"/>
      <c r="AT12" s="382"/>
      <c r="AU12" s="382"/>
      <c r="AV12" s="382"/>
      <c r="AW12" s="382"/>
      <c r="AX12" s="382"/>
      <c r="AY12" s="382"/>
      <c r="AZ12" s="382"/>
      <c r="BA12" s="382"/>
      <c r="BB12" s="382"/>
      <c r="BC12" s="382"/>
      <c r="BD12" s="382"/>
      <c r="BE12" s="382"/>
      <c r="BF12" s="382"/>
      <c r="BG12" s="382"/>
      <c r="BH12" s="382"/>
      <c r="BI12" s="382"/>
      <c r="BJ12" s="382"/>
      <c r="BK12" s="382"/>
      <c r="BL12" s="382"/>
      <c r="BM12" s="382"/>
      <c r="BN12" s="382"/>
      <c r="BO12" s="382"/>
      <c r="BP12" s="382"/>
      <c r="BQ12" s="382"/>
      <c r="BR12" s="382"/>
      <c r="BS12" s="382"/>
      <c r="BT12" s="382"/>
      <c r="BU12" s="382"/>
      <c r="BV12" s="382"/>
      <c r="BW12" s="382"/>
      <c r="BX12" s="382"/>
      <c r="BY12" s="382"/>
      <c r="BZ12" s="382"/>
      <c r="CA12" s="382"/>
      <c r="CB12" s="382"/>
      <c r="CC12" s="382"/>
      <c r="CD12" s="382"/>
      <c r="CE12" s="382"/>
      <c r="CF12" s="382"/>
      <c r="CG12" s="382"/>
      <c r="CH12" s="382"/>
      <c r="CI12" s="382"/>
      <c r="CJ12" s="382"/>
      <c r="CK12" s="382"/>
      <c r="CL12" s="382"/>
      <c r="CM12" s="382"/>
      <c r="CN12" s="382"/>
      <c r="CO12" s="382"/>
      <c r="CP12" s="382"/>
      <c r="CQ12" s="382"/>
      <c r="CR12" s="382"/>
      <c r="CS12" s="382"/>
      <c r="CT12" s="382"/>
    </row>
    <row r="13" spans="1:98" ht="19.5" customHeight="1">
      <c r="A13" s="1093" t="s">
        <v>52</v>
      </c>
      <c r="B13" s="1028"/>
      <c r="C13" s="1028"/>
      <c r="D13" s="19"/>
      <c r="E13" s="983">
        <v>0.21</v>
      </c>
      <c r="F13" s="21" t="str">
        <f>IF(I8="Imperial", "in","mm")</f>
        <v>in</v>
      </c>
      <c r="G13" s="93">
        <f>IF(I8="Imperial",'Corrosion Calculations'!G20,S13)</f>
        <v>5.3339999999999996</v>
      </c>
      <c r="H13" s="86" t="str">
        <f>IF(I8="Imperial", "mm","in")</f>
        <v>mm</v>
      </c>
      <c r="I13" s="1087" t="str">
        <f>'Corrosion Calculations'!N29</f>
        <v/>
      </c>
      <c r="J13" s="975"/>
      <c r="K13" s="382"/>
      <c r="L13" s="382"/>
      <c r="M13" s="382"/>
      <c r="N13" s="382"/>
      <c r="O13" s="382"/>
      <c r="P13" s="382"/>
      <c r="Q13" s="382"/>
      <c r="R13" s="382"/>
      <c r="S13" s="426">
        <f>IF(I8="Imperial", E13,E13/25.4)</f>
        <v>0.21</v>
      </c>
      <c r="T13" s="382" t="s">
        <v>32</v>
      </c>
      <c r="U13" s="409"/>
      <c r="V13" s="382"/>
      <c r="W13" s="382"/>
      <c r="X13" s="382"/>
      <c r="Y13" s="382"/>
      <c r="Z13" s="382"/>
      <c r="AA13" s="382"/>
      <c r="AB13" s="382"/>
      <c r="AC13" s="382"/>
      <c r="AD13" s="382"/>
      <c r="AE13" s="382"/>
      <c r="AF13" s="382"/>
      <c r="AG13" s="382"/>
      <c r="AH13" s="382"/>
      <c r="AI13" s="382"/>
      <c r="AJ13" s="382"/>
      <c r="AK13" s="382"/>
      <c r="AL13" s="382"/>
      <c r="AM13" s="382"/>
      <c r="AN13" s="382"/>
      <c r="AO13" s="382"/>
      <c r="AP13" s="382"/>
      <c r="AQ13" s="382"/>
      <c r="AR13" s="382"/>
      <c r="AS13" s="382"/>
      <c r="AT13" s="382"/>
      <c r="AU13" s="382"/>
      <c r="AV13" s="382"/>
      <c r="AW13" s="382"/>
      <c r="AX13" s="382"/>
      <c r="AY13" s="382"/>
      <c r="AZ13" s="382"/>
      <c r="BA13" s="382"/>
      <c r="BB13" s="382"/>
      <c r="BC13" s="382"/>
      <c r="BD13" s="382"/>
      <c r="BE13" s="382"/>
      <c r="BF13" s="382"/>
      <c r="BG13" s="382"/>
      <c r="BH13" s="382"/>
      <c r="BI13" s="382"/>
      <c r="BJ13" s="382"/>
      <c r="BK13" s="382"/>
      <c r="BL13" s="382"/>
      <c r="BM13" s="382"/>
      <c r="BN13" s="382"/>
      <c r="BO13" s="382"/>
      <c r="BP13" s="382"/>
      <c r="BQ13" s="382"/>
      <c r="BR13" s="382"/>
      <c r="BS13" s="382"/>
      <c r="BT13" s="382"/>
      <c r="BU13" s="382"/>
      <c r="BV13" s="382"/>
      <c r="BW13" s="382"/>
      <c r="BX13" s="382"/>
      <c r="BY13" s="382"/>
      <c r="BZ13" s="382"/>
      <c r="CA13" s="382"/>
      <c r="CB13" s="382"/>
      <c r="CC13" s="382"/>
      <c r="CD13" s="382"/>
      <c r="CE13" s="382"/>
      <c r="CF13" s="382"/>
      <c r="CG13" s="382"/>
      <c r="CH13" s="382"/>
      <c r="CI13" s="382"/>
      <c r="CJ13" s="382"/>
      <c r="CK13" s="382"/>
      <c r="CL13" s="382"/>
      <c r="CM13" s="382"/>
      <c r="CN13" s="382"/>
      <c r="CO13" s="382"/>
      <c r="CP13" s="382"/>
      <c r="CQ13" s="382"/>
      <c r="CR13" s="382"/>
      <c r="CS13" s="382"/>
      <c r="CT13" s="382"/>
    </row>
    <row r="14" spans="1:98" ht="19.5" customHeight="1">
      <c r="A14" s="1093" t="s">
        <v>53</v>
      </c>
      <c r="B14" s="1028"/>
      <c r="C14" s="1028"/>
      <c r="D14" s="19"/>
      <c r="E14" s="216">
        <f>'Corrosion Calculations'!J21</f>
        <v>84</v>
      </c>
      <c r="F14" s="21" t="s">
        <v>49</v>
      </c>
      <c r="G14" s="978">
        <v>6</v>
      </c>
      <c r="H14" s="86"/>
      <c r="I14" s="1087"/>
      <c r="J14" s="975"/>
      <c r="K14" s="382"/>
      <c r="L14" s="382"/>
      <c r="M14" s="382"/>
      <c r="N14" s="382"/>
      <c r="O14" s="382"/>
      <c r="P14" s="382"/>
      <c r="Q14" s="382"/>
      <c r="R14" s="382"/>
      <c r="S14" s="409"/>
      <c r="T14" s="382"/>
      <c r="U14" s="409"/>
      <c r="V14" s="382"/>
      <c r="W14" s="382"/>
      <c r="X14" s="382"/>
      <c r="Y14" s="382">
        <v>40</v>
      </c>
      <c r="Z14" s="382" t="s">
        <v>54</v>
      </c>
      <c r="AA14" s="382"/>
      <c r="AB14" s="382"/>
      <c r="AC14" s="382"/>
      <c r="AD14" s="382"/>
      <c r="AE14" s="382"/>
      <c r="AF14" s="382"/>
      <c r="AG14" s="382"/>
      <c r="AH14" s="382"/>
      <c r="AI14" s="382"/>
      <c r="AJ14" s="382"/>
      <c r="AK14" s="382"/>
      <c r="AL14" s="382"/>
      <c r="AM14" s="382"/>
      <c r="AN14" s="382"/>
      <c r="AO14" s="382"/>
      <c r="AP14" s="382"/>
      <c r="AQ14" s="382"/>
      <c r="AR14" s="382"/>
      <c r="AS14" s="382"/>
      <c r="AT14" s="382"/>
      <c r="AU14" s="382"/>
      <c r="AV14" s="382"/>
      <c r="AW14" s="382"/>
      <c r="AX14" s="382"/>
      <c r="AY14" s="382"/>
      <c r="AZ14" s="382"/>
      <c r="BA14" s="382"/>
      <c r="BB14" s="382"/>
      <c r="BC14" s="382"/>
      <c r="BD14" s="382"/>
      <c r="BE14" s="382"/>
      <c r="BF14" s="382"/>
      <c r="BG14" s="382"/>
      <c r="BH14" s="382"/>
      <c r="BI14" s="382"/>
      <c r="BJ14" s="382"/>
      <c r="BK14" s="382"/>
      <c r="BL14" s="382"/>
      <c r="BM14" s="382"/>
      <c r="BN14" s="382"/>
      <c r="BO14" s="382"/>
      <c r="BP14" s="382"/>
      <c r="BQ14" s="382"/>
      <c r="BR14" s="382"/>
      <c r="BS14" s="382"/>
      <c r="BT14" s="382"/>
      <c r="BU14" s="382"/>
      <c r="BV14" s="382"/>
      <c r="BW14" s="382"/>
      <c r="BX14" s="382"/>
      <c r="BY14" s="382"/>
      <c r="BZ14" s="382"/>
      <c r="CA14" s="382"/>
      <c r="CB14" s="382"/>
      <c r="CC14" s="382"/>
      <c r="CD14" s="382"/>
      <c r="CE14" s="382"/>
      <c r="CF14" s="382"/>
      <c r="CG14" s="382"/>
      <c r="CH14" s="382"/>
      <c r="CI14" s="382"/>
      <c r="CJ14" s="382"/>
      <c r="CK14" s="382"/>
      <c r="CL14" s="382"/>
      <c r="CM14" s="382"/>
      <c r="CN14" s="382"/>
      <c r="CO14" s="382"/>
      <c r="CP14" s="382"/>
      <c r="CQ14" s="382"/>
      <c r="CR14" s="382"/>
      <c r="CS14" s="382"/>
      <c r="CT14" s="382"/>
    </row>
    <row r="15" spans="1:98" ht="19.5" customHeight="1">
      <c r="A15" s="1093" t="s">
        <v>55</v>
      </c>
      <c r="B15" s="1028"/>
      <c r="C15" s="1028"/>
      <c r="D15" s="19"/>
      <c r="E15" s="386">
        <v>52.81</v>
      </c>
      <c r="F15" s="21" t="str">
        <f>IF(I8="Imperial", "in","mm")</f>
        <v>in</v>
      </c>
      <c r="G15" s="93">
        <f>IF(I8="Imperial",'Corrosion Calculations'!G22,S15)</f>
        <v>1341.374</v>
      </c>
      <c r="H15" s="86" t="str">
        <f>IF(I8="Imperial", "mm","in")</f>
        <v>mm</v>
      </c>
      <c r="I15" s="1087"/>
      <c r="J15" s="975"/>
      <c r="K15" s="382"/>
      <c r="L15" s="382"/>
      <c r="M15" s="382"/>
      <c r="N15" s="382"/>
      <c r="O15" s="382"/>
      <c r="P15" s="382"/>
      <c r="Q15" s="382"/>
      <c r="R15" s="382"/>
      <c r="S15" s="423">
        <f>IF(I8="Imperial", E15,E15/25.4)</f>
        <v>52.81</v>
      </c>
      <c r="T15" s="382" t="s">
        <v>32</v>
      </c>
      <c r="U15" s="409"/>
      <c r="V15" s="382"/>
      <c r="W15" s="382"/>
      <c r="X15" s="382"/>
      <c r="Y15" s="382">
        <v>50</v>
      </c>
      <c r="Z15" s="382" t="s">
        <v>56</v>
      </c>
      <c r="AA15" s="382"/>
      <c r="AB15" s="382"/>
      <c r="AC15" s="382"/>
      <c r="AD15" s="382"/>
      <c r="AE15" s="382"/>
      <c r="AF15" s="382"/>
      <c r="AG15" s="382"/>
      <c r="AH15" s="382"/>
      <c r="AI15" s="382"/>
      <c r="AJ15" s="382"/>
      <c r="AK15" s="382"/>
      <c r="AL15" s="382"/>
      <c r="AM15" s="382"/>
      <c r="AN15" s="382"/>
      <c r="AO15" s="382"/>
      <c r="AP15" s="382"/>
      <c r="AQ15" s="382"/>
      <c r="AR15" s="382"/>
      <c r="AS15" s="382"/>
      <c r="AT15" s="382"/>
      <c r="AU15" s="382"/>
      <c r="AV15" s="382"/>
      <c r="AW15" s="382"/>
      <c r="AX15" s="382"/>
      <c r="AY15" s="382"/>
      <c r="AZ15" s="382"/>
      <c r="BA15" s="382"/>
      <c r="BB15" s="382"/>
      <c r="BC15" s="382"/>
      <c r="BD15" s="382"/>
      <c r="BE15" s="382"/>
      <c r="BF15" s="382"/>
      <c r="BG15" s="382"/>
      <c r="BH15" s="382"/>
      <c r="BI15" s="382"/>
      <c r="BJ15" s="382"/>
      <c r="BK15" s="382"/>
      <c r="BL15" s="382"/>
      <c r="BM15" s="382"/>
      <c r="BN15" s="382"/>
      <c r="BO15" s="382"/>
      <c r="BP15" s="382"/>
      <c r="BQ15" s="382"/>
      <c r="BR15" s="382"/>
      <c r="BS15" s="382"/>
      <c r="BT15" s="382"/>
      <c r="BU15" s="382"/>
      <c r="BV15" s="382"/>
      <c r="BW15" s="382"/>
      <c r="BX15" s="382"/>
      <c r="BY15" s="382"/>
      <c r="BZ15" s="382"/>
      <c r="CA15" s="382"/>
      <c r="CB15" s="382"/>
      <c r="CC15" s="382"/>
      <c r="CD15" s="382"/>
      <c r="CE15" s="382"/>
      <c r="CF15" s="382"/>
      <c r="CG15" s="382"/>
      <c r="CH15" s="382"/>
      <c r="CI15" s="382"/>
      <c r="CJ15" s="382"/>
      <c r="CK15" s="382"/>
      <c r="CL15" s="382"/>
      <c r="CM15" s="382"/>
      <c r="CN15" s="382"/>
      <c r="CO15" s="382"/>
      <c r="CP15" s="382"/>
      <c r="CQ15" s="382"/>
      <c r="CR15" s="382"/>
      <c r="CS15" s="382"/>
      <c r="CT15" s="382"/>
    </row>
    <row r="16" spans="1:98" ht="19.5" customHeight="1">
      <c r="A16" s="1093" t="s">
        <v>57</v>
      </c>
      <c r="B16" s="1028"/>
      <c r="C16" s="1028"/>
      <c r="D16" s="19"/>
      <c r="E16" s="386">
        <v>6</v>
      </c>
      <c r="F16" s="21" t="str">
        <f>IF(I8="Imperial", "in","mm")</f>
        <v>in</v>
      </c>
      <c r="G16" s="93">
        <f>IF(I8="Imperial",'Corrosion Calculations'!G23,S16)</f>
        <v>152.39999999999998</v>
      </c>
      <c r="H16" s="86" t="str">
        <f>IF(I8="Imperial", "mm","in")</f>
        <v>mm</v>
      </c>
      <c r="I16" s="1087"/>
      <c r="J16" s="975"/>
      <c r="K16" s="382"/>
      <c r="L16" s="382"/>
      <c r="M16" s="382"/>
      <c r="N16" s="382"/>
      <c r="O16" s="382"/>
      <c r="P16" s="382"/>
      <c r="Q16" s="382"/>
      <c r="R16" s="382"/>
      <c r="S16" s="423">
        <f>IF(I8="Imperial", E16,E16/25.4)</f>
        <v>6</v>
      </c>
      <c r="T16" s="382" t="s">
        <v>32</v>
      </c>
      <c r="U16" s="409"/>
      <c r="V16" s="382"/>
      <c r="W16" s="382"/>
      <c r="X16" s="382"/>
      <c r="Y16" s="382">
        <v>60</v>
      </c>
      <c r="Z16" s="382" t="s">
        <v>58</v>
      </c>
      <c r="AA16" s="382"/>
      <c r="AB16" s="382"/>
      <c r="AC16" s="382"/>
      <c r="AD16" s="382"/>
      <c r="AE16" s="382"/>
      <c r="AF16" s="382"/>
      <c r="AG16" s="382"/>
      <c r="AH16" s="382"/>
      <c r="AI16" s="382"/>
      <c r="AJ16" s="382"/>
      <c r="AK16" s="382"/>
      <c r="AL16" s="382"/>
      <c r="AM16" s="382"/>
      <c r="AN16" s="382"/>
      <c r="AO16" s="382"/>
      <c r="AP16" s="382"/>
      <c r="AQ16" s="382"/>
      <c r="AR16" s="382"/>
      <c r="AS16" s="382"/>
      <c r="AT16" s="382"/>
      <c r="AU16" s="382"/>
      <c r="AV16" s="382"/>
      <c r="AW16" s="382"/>
      <c r="AX16" s="382"/>
      <c r="AY16" s="382"/>
      <c r="AZ16" s="382"/>
      <c r="BA16" s="382"/>
      <c r="BB16" s="382"/>
      <c r="BC16" s="382"/>
      <c r="BD16" s="382"/>
      <c r="BE16" s="382"/>
      <c r="BF16" s="382"/>
      <c r="BG16" s="382"/>
      <c r="BH16" s="382"/>
      <c r="BI16" s="382"/>
      <c r="BJ16" s="382"/>
      <c r="BK16" s="382"/>
      <c r="BL16" s="382"/>
      <c r="BM16" s="382"/>
      <c r="BN16" s="382"/>
      <c r="BO16" s="382"/>
      <c r="BP16" s="382"/>
      <c r="BQ16" s="382"/>
      <c r="BR16" s="382"/>
      <c r="BS16" s="382"/>
      <c r="BT16" s="382"/>
      <c r="BU16" s="382"/>
      <c r="BV16" s="382"/>
      <c r="BW16" s="382"/>
      <c r="BX16" s="382"/>
      <c r="BY16" s="382"/>
      <c r="BZ16" s="382"/>
      <c r="CA16" s="382"/>
      <c r="CB16" s="382"/>
      <c r="CC16" s="382"/>
      <c r="CD16" s="382"/>
      <c r="CE16" s="382"/>
      <c r="CF16" s="382"/>
      <c r="CG16" s="382"/>
      <c r="CH16" s="382"/>
      <c r="CI16" s="382"/>
      <c r="CJ16" s="382"/>
      <c r="CK16" s="382"/>
      <c r="CL16" s="382"/>
      <c r="CM16" s="382"/>
      <c r="CN16" s="382"/>
      <c r="CO16" s="382"/>
      <c r="CP16" s="382"/>
      <c r="CQ16" s="382"/>
      <c r="CR16" s="382"/>
      <c r="CS16" s="382"/>
      <c r="CT16" s="382"/>
    </row>
    <row r="17" spans="1:98" ht="19.5" customHeight="1">
      <c r="A17" s="1104" t="s">
        <v>59</v>
      </c>
      <c r="B17" s="1105"/>
      <c r="C17" s="1105"/>
      <c r="D17" s="976"/>
      <c r="E17" s="979">
        <f>'Corrosion Calculations'!J24</f>
        <v>0.04</v>
      </c>
      <c r="F17" s="977" t="str">
        <f>IF(I8="Imperial", "in","mm")</f>
        <v>in</v>
      </c>
      <c r="G17" s="980">
        <f>'Corrosion Calculations'!G24</f>
        <v>1.016</v>
      </c>
      <c r="H17" s="981" t="str">
        <f>IF(I8="Imperial", "mm","in")</f>
        <v>mm</v>
      </c>
      <c r="I17" s="1088"/>
      <c r="J17" s="982"/>
      <c r="K17" s="382"/>
      <c r="L17" s="382"/>
      <c r="M17" s="382"/>
      <c r="N17" s="382"/>
      <c r="O17" s="382"/>
      <c r="P17" s="382"/>
      <c r="Q17" s="382"/>
      <c r="R17" s="382"/>
      <c r="S17" s="409"/>
      <c r="T17" s="382"/>
      <c r="U17" s="409"/>
      <c r="V17" s="382"/>
      <c r="W17" s="382"/>
      <c r="X17" s="382"/>
      <c r="Y17" s="382">
        <v>72</v>
      </c>
      <c r="Z17" s="382" t="s">
        <v>60</v>
      </c>
      <c r="AA17" s="382"/>
      <c r="AB17" s="382"/>
      <c r="AC17" s="382"/>
      <c r="AD17" s="382"/>
      <c r="AE17" s="382"/>
      <c r="AF17" s="382"/>
      <c r="AG17" s="382"/>
      <c r="AH17" s="382"/>
      <c r="AI17" s="382"/>
      <c r="AJ17" s="382"/>
      <c r="AK17" s="382"/>
      <c r="AL17" s="382"/>
      <c r="AM17" s="382"/>
      <c r="AN17" s="382"/>
      <c r="AO17" s="382"/>
      <c r="AP17" s="382"/>
      <c r="AQ17" s="382"/>
      <c r="AR17" s="382"/>
      <c r="AS17" s="382"/>
      <c r="AT17" s="382"/>
      <c r="AU17" s="382"/>
      <c r="AV17" s="382"/>
      <c r="AW17" s="382"/>
      <c r="AX17" s="382"/>
      <c r="AY17" s="382"/>
      <c r="AZ17" s="382"/>
      <c r="BA17" s="382"/>
      <c r="BB17" s="382"/>
      <c r="BC17" s="382"/>
      <c r="BD17" s="382"/>
      <c r="BE17" s="382"/>
      <c r="BF17" s="382"/>
      <c r="BG17" s="382"/>
      <c r="BH17" s="382"/>
      <c r="BI17" s="382"/>
      <c r="BJ17" s="382"/>
      <c r="BK17" s="382"/>
      <c r="BL17" s="382"/>
      <c r="BM17" s="382"/>
      <c r="BN17" s="382"/>
      <c r="BO17" s="382"/>
      <c r="BP17" s="382"/>
      <c r="BQ17" s="382"/>
      <c r="BR17" s="382"/>
      <c r="BS17" s="382"/>
      <c r="BT17" s="382"/>
      <c r="BU17" s="382"/>
      <c r="BV17" s="382"/>
      <c r="BW17" s="382"/>
      <c r="BX17" s="382"/>
      <c r="BY17" s="382"/>
      <c r="BZ17" s="382"/>
      <c r="CA17" s="382"/>
      <c r="CB17" s="382"/>
      <c r="CC17" s="382"/>
      <c r="CD17" s="382"/>
      <c r="CE17" s="382"/>
      <c r="CF17" s="382"/>
      <c r="CG17" s="382"/>
      <c r="CH17" s="382"/>
      <c r="CI17" s="382"/>
      <c r="CJ17" s="382"/>
      <c r="CK17" s="382"/>
      <c r="CL17" s="382"/>
      <c r="CM17" s="382"/>
      <c r="CN17" s="382"/>
      <c r="CO17" s="382"/>
      <c r="CP17" s="382"/>
      <c r="CQ17" s="382"/>
      <c r="CR17" s="382"/>
      <c r="CS17" s="382"/>
      <c r="CT17" s="382"/>
    </row>
    <row r="18" spans="1:98" ht="12.4" customHeight="1">
      <c r="A18" s="1089" t="s">
        <v>61</v>
      </c>
      <c r="B18" s="1089"/>
      <c r="C18" s="1089"/>
      <c r="D18" s="1089"/>
      <c r="E18" s="1089"/>
      <c r="F18" s="1089"/>
      <c r="G18" s="1089"/>
      <c r="H18" s="1089"/>
      <c r="I18" s="1089"/>
      <c r="J18" s="1089"/>
      <c r="K18" s="382"/>
      <c r="L18" s="382"/>
      <c r="M18" s="382"/>
      <c r="N18" s="382"/>
      <c r="O18" s="382"/>
      <c r="P18" s="382"/>
      <c r="Q18" s="382"/>
      <c r="R18" s="382"/>
      <c r="S18" s="409"/>
      <c r="T18" s="382"/>
      <c r="U18" s="409"/>
      <c r="V18" s="382"/>
      <c r="W18" s="382"/>
      <c r="X18" s="382"/>
      <c r="Y18" s="382">
        <v>80</v>
      </c>
      <c r="Z18" s="382" t="s">
        <v>62</v>
      </c>
      <c r="AA18" s="382"/>
      <c r="AB18" s="382"/>
      <c r="AC18" s="382"/>
      <c r="AD18" s="382"/>
      <c r="AE18" s="382"/>
      <c r="AF18" s="382"/>
      <c r="AG18" s="382"/>
      <c r="AH18" s="382"/>
      <c r="AI18" s="382"/>
      <c r="AJ18" s="382"/>
      <c r="AK18" s="382"/>
      <c r="AL18" s="382"/>
      <c r="AM18" s="382"/>
      <c r="AN18" s="382"/>
      <c r="AO18" s="382"/>
      <c r="AP18" s="382"/>
      <c r="AQ18" s="382"/>
      <c r="AR18" s="382"/>
      <c r="AS18" s="382"/>
      <c r="AT18" s="382"/>
      <c r="AU18" s="382"/>
      <c r="AV18" s="382"/>
      <c r="AW18" s="382"/>
      <c r="AX18" s="382"/>
      <c r="AY18" s="382"/>
      <c r="AZ18" s="382"/>
      <c r="BA18" s="382"/>
      <c r="BB18" s="382"/>
      <c r="BC18" s="382"/>
      <c r="BD18" s="382"/>
      <c r="BE18" s="382"/>
      <c r="BF18" s="382"/>
      <c r="BG18" s="382"/>
      <c r="BH18" s="382"/>
      <c r="BI18" s="382"/>
      <c r="BJ18" s="382"/>
      <c r="BK18" s="382"/>
      <c r="BL18" s="382"/>
      <c r="BM18" s="382"/>
      <c r="BN18" s="382"/>
      <c r="BO18" s="382"/>
      <c r="BP18" s="382"/>
      <c r="BQ18" s="382"/>
      <c r="BR18" s="382"/>
      <c r="BS18" s="382"/>
      <c r="BT18" s="382"/>
      <c r="BU18" s="382"/>
      <c r="BV18" s="382"/>
      <c r="BW18" s="382"/>
      <c r="BX18" s="382"/>
      <c r="BY18" s="382"/>
      <c r="BZ18" s="382"/>
      <c r="CA18" s="382"/>
      <c r="CB18" s="382"/>
      <c r="CC18" s="382"/>
      <c r="CD18" s="382"/>
      <c r="CE18" s="382"/>
      <c r="CF18" s="382"/>
      <c r="CG18" s="382"/>
      <c r="CH18" s="382"/>
      <c r="CI18" s="382"/>
      <c r="CJ18" s="382"/>
      <c r="CK18" s="382"/>
      <c r="CL18" s="382"/>
      <c r="CM18" s="382"/>
      <c r="CN18" s="382"/>
      <c r="CO18" s="382"/>
      <c r="CP18" s="382"/>
      <c r="CQ18" s="382"/>
      <c r="CR18" s="382"/>
      <c r="CS18" s="382"/>
      <c r="CT18" s="382"/>
    </row>
    <row r="19" spans="1:98" ht="19.5" customHeight="1">
      <c r="A19" s="1027" t="s">
        <v>63</v>
      </c>
      <c r="B19" s="1028"/>
      <c r="C19" s="1028"/>
      <c r="D19" s="19"/>
      <c r="E19" s="20" t="s">
        <v>64</v>
      </c>
      <c r="F19" s="21"/>
      <c r="G19" s="24"/>
      <c r="H19" s="22"/>
      <c r="I19" s="24"/>
      <c r="J19" s="18"/>
      <c r="K19" s="382"/>
      <c r="L19" s="382"/>
      <c r="M19" s="382"/>
      <c r="N19" s="382"/>
      <c r="O19" s="382"/>
      <c r="P19" s="382"/>
      <c r="Q19" s="382"/>
      <c r="R19" s="382"/>
      <c r="S19" s="409"/>
      <c r="T19" s="382"/>
      <c r="U19" s="409"/>
      <c r="V19" s="382"/>
      <c r="W19" s="382"/>
      <c r="X19" s="382"/>
      <c r="Y19" s="382"/>
      <c r="Z19" s="382"/>
      <c r="AA19" s="382"/>
      <c r="AB19" s="382"/>
      <c r="AC19" s="382"/>
      <c r="AD19" s="382"/>
      <c r="AE19" s="382"/>
      <c r="AF19" s="382"/>
      <c r="AG19" s="382"/>
      <c r="AH19" s="382"/>
      <c r="AI19" s="382"/>
      <c r="AJ19" s="382"/>
      <c r="AK19" s="382"/>
      <c r="AL19" s="382"/>
      <c r="AM19" s="382"/>
      <c r="AN19" s="382"/>
      <c r="AO19" s="382"/>
      <c r="AP19" s="382"/>
      <c r="AQ19" s="382"/>
      <c r="AR19" s="382"/>
      <c r="AS19" s="382"/>
      <c r="AT19" s="382"/>
      <c r="AU19" s="382"/>
      <c r="AV19" s="382"/>
      <c r="AW19" s="382"/>
      <c r="AX19" s="382"/>
      <c r="AY19" s="382"/>
      <c r="AZ19" s="382"/>
      <c r="BA19" s="382"/>
      <c r="BB19" s="382"/>
      <c r="BC19" s="382"/>
      <c r="BD19" s="382"/>
      <c r="BE19" s="382"/>
      <c r="BF19" s="382"/>
      <c r="BG19" s="382"/>
      <c r="BH19" s="382"/>
      <c r="BI19" s="382"/>
      <c r="BJ19" s="382"/>
      <c r="BK19" s="382"/>
      <c r="BL19" s="382"/>
      <c r="BM19" s="382"/>
      <c r="BN19" s="382"/>
      <c r="BO19" s="382"/>
      <c r="BP19" s="382"/>
      <c r="BQ19" s="382"/>
      <c r="BR19" s="382"/>
      <c r="BS19" s="382"/>
      <c r="BT19" s="382"/>
      <c r="BU19" s="382"/>
      <c r="BV19" s="382"/>
      <c r="BW19" s="382"/>
      <c r="BX19" s="382"/>
      <c r="BY19" s="382"/>
      <c r="BZ19" s="382"/>
      <c r="CA19" s="382"/>
      <c r="CB19" s="382"/>
      <c r="CC19" s="382"/>
      <c r="CD19" s="382"/>
      <c r="CE19" s="382"/>
      <c r="CF19" s="382"/>
      <c r="CG19" s="382"/>
      <c r="CH19" s="382"/>
      <c r="CI19" s="382"/>
      <c r="CJ19" s="382"/>
      <c r="CK19" s="382"/>
      <c r="CL19" s="382"/>
      <c r="CM19" s="382"/>
      <c r="CN19" s="382"/>
      <c r="CO19" s="382"/>
      <c r="CP19" s="382"/>
      <c r="CQ19" s="382"/>
      <c r="CR19" s="382"/>
      <c r="CS19" s="382"/>
      <c r="CT19" s="382"/>
    </row>
    <row r="20" spans="1:98" ht="19.5" customHeight="1">
      <c r="A20" s="1027" t="s">
        <v>65</v>
      </c>
      <c r="B20" s="1028"/>
      <c r="C20" s="1028"/>
      <c r="D20" s="19"/>
      <c r="E20" s="58">
        <f>'Corrosion Calculations'!J29</f>
        <v>56483</v>
      </c>
      <c r="F20" s="21" t="s">
        <v>45</v>
      </c>
      <c r="G20" s="72">
        <f>E20*6.895</f>
        <v>389450.28499999997</v>
      </c>
      <c r="H20" s="586" t="s">
        <v>46</v>
      </c>
      <c r="I20" s="24"/>
      <c r="J20" s="18"/>
      <c r="K20" s="382"/>
      <c r="L20" s="382"/>
      <c r="M20" s="382"/>
      <c r="N20" s="382"/>
      <c r="O20" s="382"/>
      <c r="P20" s="382"/>
      <c r="Q20" s="382"/>
      <c r="R20" s="382"/>
      <c r="S20" s="409"/>
      <c r="T20" s="382"/>
      <c r="U20" s="409"/>
      <c r="V20" s="382"/>
      <c r="W20" s="382"/>
      <c r="X20" s="382"/>
      <c r="Y20" s="382"/>
      <c r="Z20" s="382" t="s">
        <v>66</v>
      </c>
      <c r="AA20" s="382"/>
      <c r="AB20" s="382"/>
      <c r="AC20" s="382"/>
      <c r="AD20" s="382"/>
      <c r="AE20" s="382"/>
      <c r="AF20" s="382"/>
      <c r="AG20" s="382"/>
      <c r="AH20" s="382"/>
      <c r="AI20" s="382"/>
      <c r="AJ20" s="382"/>
      <c r="AK20" s="382"/>
      <c r="AL20" s="382"/>
      <c r="AM20" s="382"/>
      <c r="AN20" s="382"/>
      <c r="AO20" s="382"/>
      <c r="AP20" s="382"/>
      <c r="AQ20" s="382"/>
      <c r="AR20" s="382"/>
      <c r="AS20" s="382"/>
      <c r="AT20" s="382"/>
      <c r="AU20" s="382"/>
      <c r="AV20" s="382"/>
      <c r="AW20" s="382"/>
      <c r="AX20" s="382"/>
      <c r="AY20" s="382"/>
      <c r="AZ20" s="382"/>
      <c r="BA20" s="382"/>
      <c r="BB20" s="382"/>
      <c r="BC20" s="382"/>
      <c r="BD20" s="382"/>
      <c r="BE20" s="382"/>
      <c r="BF20" s="382"/>
      <c r="BG20" s="382"/>
      <c r="BH20" s="382"/>
      <c r="BI20" s="382"/>
      <c r="BJ20" s="382"/>
      <c r="BK20" s="382"/>
      <c r="BL20" s="382"/>
      <c r="BM20" s="382"/>
      <c r="BN20" s="382"/>
      <c r="BO20" s="382"/>
      <c r="BP20" s="382"/>
      <c r="BQ20" s="382"/>
      <c r="BR20" s="382"/>
      <c r="BS20" s="382"/>
      <c r="BT20" s="382"/>
      <c r="BU20" s="382"/>
      <c r="BV20" s="382"/>
      <c r="BW20" s="382"/>
      <c r="BX20" s="382"/>
      <c r="BY20" s="382"/>
      <c r="BZ20" s="382"/>
      <c r="CA20" s="382"/>
      <c r="CB20" s="382"/>
      <c r="CC20" s="382"/>
      <c r="CD20" s="382"/>
      <c r="CE20" s="382"/>
      <c r="CF20" s="382"/>
      <c r="CG20" s="382"/>
      <c r="CH20" s="382"/>
      <c r="CI20" s="382"/>
      <c r="CJ20" s="382"/>
      <c r="CK20" s="382"/>
      <c r="CL20" s="382"/>
      <c r="CM20" s="382"/>
      <c r="CN20" s="382"/>
      <c r="CO20" s="382"/>
      <c r="CP20" s="382"/>
      <c r="CQ20" s="382"/>
      <c r="CR20" s="382"/>
      <c r="CS20" s="382"/>
      <c r="CT20" s="382"/>
    </row>
    <row r="21" spans="1:98" ht="19.5" customHeight="1">
      <c r="A21" s="1027" t="s">
        <v>67</v>
      </c>
      <c r="B21" s="1028"/>
      <c r="C21" s="1028"/>
      <c r="D21" s="19"/>
      <c r="E21" s="20">
        <v>0.5</v>
      </c>
      <c r="F21" s="86"/>
      <c r="G21" s="86" t="str">
        <f>'Corrosion Calculations'!J35</f>
        <v>Factor applicable if using 1 000-h Data</v>
      </c>
      <c r="H21" s="21"/>
      <c r="I21" s="24"/>
      <c r="J21" s="18"/>
      <c r="K21" s="382"/>
      <c r="L21" s="382"/>
      <c r="M21" s="382"/>
      <c r="N21" s="382"/>
      <c r="O21" s="382"/>
      <c r="P21" s="382"/>
      <c r="Q21" s="382"/>
      <c r="R21" s="382"/>
      <c r="S21" s="409"/>
      <c r="T21" s="382"/>
      <c r="U21" s="409"/>
      <c r="V21" s="382"/>
      <c r="W21" s="382"/>
      <c r="X21" s="382"/>
      <c r="Y21" s="382"/>
      <c r="Z21" s="382" t="s">
        <v>68</v>
      </c>
      <c r="AA21" s="382"/>
      <c r="AB21" s="382"/>
      <c r="AC21" s="382"/>
      <c r="AD21" s="382"/>
      <c r="AE21" s="382"/>
      <c r="AF21" s="382"/>
      <c r="AG21" s="382"/>
      <c r="AH21" s="382"/>
      <c r="AI21" s="382"/>
      <c r="AJ21" s="382"/>
      <c r="AK21" s="382"/>
      <c r="AL21" s="382"/>
      <c r="AM21" s="382"/>
      <c r="AN21" s="382"/>
      <c r="AO21" s="382"/>
      <c r="AP21" s="382"/>
      <c r="AQ21" s="382"/>
      <c r="AR21" s="382"/>
      <c r="AS21" s="382"/>
      <c r="AT21" s="382"/>
      <c r="AU21" s="382"/>
      <c r="AV21" s="382"/>
      <c r="AW21" s="382"/>
      <c r="AX21" s="382"/>
      <c r="AY21" s="382"/>
      <c r="AZ21" s="382"/>
      <c r="BA21" s="382"/>
      <c r="BB21" s="382"/>
      <c r="BC21" s="382"/>
      <c r="BD21" s="382"/>
      <c r="BE21" s="382"/>
      <c r="BF21" s="382"/>
      <c r="BG21" s="382"/>
      <c r="BH21" s="382"/>
      <c r="BI21" s="382"/>
      <c r="BJ21" s="382"/>
      <c r="BK21" s="382"/>
      <c r="BL21" s="382"/>
      <c r="BM21" s="382"/>
      <c r="BN21" s="382"/>
      <c r="BO21" s="382"/>
      <c r="BP21" s="382"/>
      <c r="BQ21" s="382"/>
      <c r="BR21" s="382"/>
      <c r="BS21" s="382"/>
      <c r="BT21" s="382"/>
      <c r="BU21" s="382"/>
      <c r="BV21" s="382"/>
      <c r="BW21" s="382"/>
      <c r="BX21" s="382"/>
      <c r="BY21" s="382"/>
      <c r="BZ21" s="382"/>
      <c r="CA21" s="382"/>
      <c r="CB21" s="382"/>
      <c r="CC21" s="382"/>
      <c r="CD21" s="382"/>
      <c r="CE21" s="382"/>
      <c r="CF21" s="382"/>
      <c r="CG21" s="382"/>
      <c r="CH21" s="382"/>
      <c r="CI21" s="382"/>
      <c r="CJ21" s="382"/>
      <c r="CK21" s="382"/>
      <c r="CL21" s="382"/>
      <c r="CM21" s="382"/>
      <c r="CN21" s="382"/>
      <c r="CO21" s="382"/>
      <c r="CP21" s="382"/>
      <c r="CQ21" s="382"/>
      <c r="CR21" s="382"/>
      <c r="CS21" s="382"/>
      <c r="CT21" s="382"/>
    </row>
    <row r="22" spans="1:98" ht="18" customHeight="1">
      <c r="A22" s="1084" t="s">
        <v>69</v>
      </c>
      <c r="B22" s="1085"/>
      <c r="C22" s="1085"/>
      <c r="D22" s="1085"/>
      <c r="E22" s="1085"/>
      <c r="F22" s="1085"/>
      <c r="G22" s="1085"/>
      <c r="H22" s="1085"/>
      <c r="I22" s="1085"/>
      <c r="J22" s="1086"/>
      <c r="S22" s="325"/>
      <c r="U22" s="325"/>
    </row>
    <row r="23" spans="1:98" ht="12.2" customHeight="1">
      <c r="A23" s="1025" t="s">
        <v>70</v>
      </c>
      <c r="B23" s="1025"/>
      <c r="C23" s="1025"/>
      <c r="D23" s="1025"/>
      <c r="E23" s="1025"/>
      <c r="F23" s="1025"/>
      <c r="G23" s="1025"/>
      <c r="H23" s="1025"/>
      <c r="I23" s="1025"/>
      <c r="J23" s="1025"/>
      <c r="S23" s="325"/>
      <c r="U23" s="325"/>
    </row>
    <row r="24" spans="1:98" ht="17.25" customHeight="1">
      <c r="A24" s="1027" t="s">
        <v>71</v>
      </c>
      <c r="B24" s="1076"/>
      <c r="C24" s="96">
        <f>'Corrosion Calculations'!J38</f>
        <v>8</v>
      </c>
      <c r="D24" s="176" t="str">
        <f>'Corrosion Calculations'!N30</f>
        <v/>
      </c>
      <c r="E24" s="176"/>
      <c r="F24" s="176"/>
      <c r="G24" s="791"/>
      <c r="H24" s="791"/>
      <c r="I24" s="791"/>
      <c r="J24" s="813"/>
      <c r="S24" s="325"/>
      <c r="U24" s="325"/>
    </row>
    <row r="25" spans="1:98" ht="17.25" customHeight="1">
      <c r="A25" s="1027" t="s">
        <v>72</v>
      </c>
      <c r="B25" s="1076"/>
      <c r="C25" s="100">
        <f>'Corrosion Calculations'!J39</f>
        <v>0.17599999999999999</v>
      </c>
      <c r="D25" s="21" t="s">
        <v>32</v>
      </c>
      <c r="E25" s="93">
        <f>'Corrosion Calculations'!H39</f>
        <v>4.4703999999999997</v>
      </c>
      <c r="F25" s="21" t="s">
        <v>73</v>
      </c>
      <c r="G25" s="792"/>
      <c r="H25" s="792"/>
      <c r="I25" s="792"/>
      <c r="J25" s="793"/>
    </row>
    <row r="26" spans="1:98" ht="17.25" customHeight="1">
      <c r="A26" s="1027" t="s">
        <v>74</v>
      </c>
      <c r="B26" s="1076"/>
      <c r="C26" s="215">
        <f>'Corrosion Calculations'!J41</f>
        <v>42.256999999999998</v>
      </c>
      <c r="D26" s="21" t="s">
        <v>75</v>
      </c>
      <c r="E26" s="93">
        <f>'Corrosion Calculations'!H41</f>
        <v>12.879933599999999</v>
      </c>
      <c r="F26" s="24" t="s">
        <v>76</v>
      </c>
      <c r="G26" s="794"/>
      <c r="H26" s="795"/>
      <c r="I26" s="795"/>
      <c r="J26" s="796"/>
    </row>
    <row r="27" spans="1:98" ht="17.25" customHeight="1">
      <c r="A27" s="1027" t="s">
        <v>77</v>
      </c>
      <c r="B27" s="1076"/>
      <c r="C27" s="101">
        <f>'Corrosion Calculations'!J42</f>
        <v>72</v>
      </c>
      <c r="D27" s="21" t="s">
        <v>32</v>
      </c>
      <c r="E27" s="93">
        <f>'Corrosion Calculations'!H42</f>
        <v>1828.8</v>
      </c>
      <c r="F27" s="21" t="s">
        <v>73</v>
      </c>
      <c r="G27" s="1077"/>
      <c r="H27" s="1077"/>
      <c r="I27" s="1077"/>
      <c r="J27" s="1078"/>
    </row>
    <row r="28" spans="1:98" ht="17.25" customHeight="1">
      <c r="A28" s="1027" t="s">
        <v>78</v>
      </c>
      <c r="B28" s="1076"/>
      <c r="C28" s="215">
        <f>'Corrosion Calculations'!J43</f>
        <v>253.54199999999997</v>
      </c>
      <c r="D28" s="21" t="s">
        <v>79</v>
      </c>
      <c r="E28" s="93">
        <f>'Corrosion Calculations'!H43</f>
        <v>23.554812425999998</v>
      </c>
      <c r="F28" s="21" t="s">
        <v>80</v>
      </c>
      <c r="G28" s="21"/>
      <c r="H28" s="21"/>
      <c r="I28" s="93"/>
      <c r="J28" s="23"/>
    </row>
    <row r="29" spans="1:98" ht="17.25" customHeight="1">
      <c r="A29" s="1027" t="s">
        <v>81</v>
      </c>
      <c r="B29" s="1076"/>
      <c r="C29" s="228">
        <f>'Corrosion Calculations'!J44</f>
        <v>1.4085666666666665</v>
      </c>
      <c r="D29" s="21" t="str">
        <f>'Corrosion Calculations'!K44</f>
        <v>Qt/ft</v>
      </c>
      <c r="E29" s="93">
        <f>'Corrosion Calculations'!H44</f>
        <v>1.3329998821333331</v>
      </c>
      <c r="F29" s="24" t="s">
        <v>82</v>
      </c>
      <c r="G29" s="21"/>
      <c r="H29" s="21"/>
      <c r="I29" s="93"/>
      <c r="J29" s="40"/>
    </row>
    <row r="30" spans="1:98" ht="17.25" customHeight="1">
      <c r="A30" s="1027" t="s">
        <v>83</v>
      </c>
      <c r="B30" s="1076"/>
      <c r="C30" s="228">
        <f>'Corrosion Calculations'!J45</f>
        <v>8.4513999999999996</v>
      </c>
      <c r="D30" s="21" t="str">
        <f>'Corrosion Calculations'!K45</f>
        <v>Qt</v>
      </c>
      <c r="E30" s="93">
        <f>'Corrosion Calculations'!H45</f>
        <v>7.9979992927999994</v>
      </c>
      <c r="F30" s="24" t="s">
        <v>84</v>
      </c>
      <c r="G30" s="21"/>
      <c r="H30" s="21"/>
      <c r="I30" s="93"/>
      <c r="J30" s="40"/>
    </row>
    <row r="31" spans="1:98" ht="17.25" customHeight="1">
      <c r="A31" s="1027" t="s">
        <v>85</v>
      </c>
      <c r="B31" s="1076"/>
      <c r="C31" s="228">
        <f>'Corrosion Calculations'!J47</f>
        <v>2.3044363636363636</v>
      </c>
      <c r="D31" s="21" t="s">
        <v>86</v>
      </c>
      <c r="E31" s="93">
        <f>'Corrosion Calculations'!H46</f>
        <v>0.11737765678397664</v>
      </c>
      <c r="F31" s="24" t="s">
        <v>84</v>
      </c>
      <c r="G31" s="21"/>
      <c r="H31" s="21"/>
      <c r="I31" s="93"/>
      <c r="J31" s="40"/>
    </row>
    <row r="32" spans="1:98" ht="17.25" customHeight="1">
      <c r="A32" s="1027" t="s">
        <v>87</v>
      </c>
      <c r="B32" s="1076"/>
      <c r="C32" s="229">
        <f>'Corrosion Calculations'!J68</f>
        <v>0.24806341991981135</v>
      </c>
      <c r="D32" s="21" t="str">
        <f>'Corrosion Calculations'!K68</f>
        <v>Qt</v>
      </c>
      <c r="E32" s="93">
        <f>'Corrosion Calculations'!H48</f>
        <v>0</v>
      </c>
      <c r="F32" s="24" t="s">
        <v>84</v>
      </c>
      <c r="G32" s="21"/>
      <c r="H32" s="21"/>
      <c r="I32" s="93"/>
      <c r="J32" s="40"/>
    </row>
    <row r="33" spans="1:10" ht="17.25" customHeight="1">
      <c r="A33" s="1065" t="s">
        <v>88</v>
      </c>
      <c r="B33" s="1079"/>
      <c r="C33" s="1080" t="str">
        <f>'Corrosion Calculations'!J53</f>
        <v>Layer over Layer</v>
      </c>
      <c r="D33" s="1081"/>
      <c r="E33" s="1082" t="s">
        <v>89</v>
      </c>
      <c r="F33" s="1082"/>
      <c r="G33" s="221"/>
      <c r="H33" s="221"/>
      <c r="I33" s="221"/>
      <c r="J33" s="189"/>
    </row>
    <row r="34" spans="1:10" ht="15.2" customHeight="1">
      <c r="A34" s="1083" t="s">
        <v>90</v>
      </c>
      <c r="B34" s="1083"/>
      <c r="C34" s="413" t="s">
        <v>91</v>
      </c>
      <c r="D34" s="1083" t="s">
        <v>90</v>
      </c>
      <c r="E34" s="1083"/>
      <c r="F34" s="413" t="s">
        <v>91</v>
      </c>
      <c r="G34" s="115"/>
      <c r="H34" s="115"/>
      <c r="I34" s="115"/>
      <c r="J34" s="116"/>
    </row>
    <row r="35" spans="1:10" ht="15.2" customHeight="1">
      <c r="A35" s="1075" t="str" cm="1">
        <f t="array" ref="A35">IFERROR(IF(MechCarbonPrice!$B$4=0, INDEX('BOM calc'!Q:Q, ROW(A1)+2), ""), "")</f>
        <v>OW-CB-30FT</v>
      </c>
      <c r="B35" s="1075"/>
      <c r="C35" s="450" cm="1">
        <f t="array" ref="C35">IFERROR(IF(MechCarbonPrice!$B$4=0, INDEX('BOM calc'!R:R, ROW(A1)+2), ""), "")</f>
        <v>12</v>
      </c>
      <c r="D35" s="1073" t="str" cm="1">
        <f t="array" ref="D35">IFERROR(IF(MechCarbonPrice!$B$4=0, INDEX('BOM calc'!Q:Q, ROW(A1)+11), ""), "")</f>
        <v/>
      </c>
      <c r="E35" s="1074"/>
      <c r="F35" s="435" t="str" cm="1">
        <f t="array" ref="F35">IFERROR(IF(MechCarbonPrice!$B$4=0, INDEX('BOM calc'!R:R, ROW(A1)+11), ""), "")</f>
        <v/>
      </c>
      <c r="G35" s="115"/>
      <c r="H35" s="115"/>
      <c r="I35" s="115"/>
      <c r="J35" s="116"/>
    </row>
    <row r="36" spans="1:10" ht="15.2" customHeight="1">
      <c r="A36" s="1075" t="str" cm="1">
        <f t="array" ref="A36">IFERROR(IF(MechCarbonPrice!$B$4=0, INDEX('BOM calc'!Q:Q, ROW(A2)+2), ""), "")</f>
        <v>OW-RESIN-AB-QT</v>
      </c>
      <c r="B36" s="1075"/>
      <c r="C36" s="450" cm="1">
        <f t="array" ref="C36">IFERROR(IF(MechCarbonPrice!$B$4=0, INDEX('BOM calc'!R:R, ROW(A2)+2), ""), "")</f>
        <v>18</v>
      </c>
      <c r="D36" s="1073" t="str" cm="1">
        <f t="array" ref="D36">IFERROR(IF(MechCarbonPrice!$B$4=0, INDEX('BOM calc'!Q:Q, ROW(A2)+11), ""), "")</f>
        <v/>
      </c>
      <c r="E36" s="1074"/>
      <c r="F36" s="435" t="str" cm="1">
        <f t="array" ref="F36">IFERROR(IF(MechCarbonPrice!$B$4=0, INDEX('BOM calc'!R:R, ROW(A2)+11), ""), "")</f>
        <v/>
      </c>
      <c r="G36" s="115"/>
      <c r="H36" s="115"/>
      <c r="I36" s="115"/>
      <c r="J36" s="116"/>
    </row>
    <row r="37" spans="1:10" ht="15.2" customHeight="1">
      <c r="A37" s="1075" t="str" cm="1">
        <f t="array" ref="A37">IFERROR(IF(MechCarbonPrice!$B$4=0, INDEX('BOM calc'!Q:Q, ROW(A3)+2), ""), "")</f>
        <v>OW-PUTTY-AB</v>
      </c>
      <c r="B37" s="1075"/>
      <c r="C37" s="450" cm="1">
        <f t="array" ref="C37">IFERROR(IF(MechCarbonPrice!$B$4=0, INDEX('BOM calc'!R:R, ROW(A3)+2), ""), "")</f>
        <v>3</v>
      </c>
      <c r="D37" s="1073" cm="1">
        <f t="array" ref="D37">IFERROR(IF(MechCarbonPrice!$B$4=0, INDEX('BOM calc'!Q:Q, ROW(A3)+11), ""), "")</f>
        <v>0</v>
      </c>
      <c r="E37" s="1074"/>
      <c r="F37" s="435" cm="1">
        <f t="array" ref="F37">IFERROR(IF(MechCarbonPrice!$B$4=0, INDEX('BOM calc'!R:R, ROW(A3)+11), ""), "")</f>
        <v>0</v>
      </c>
      <c r="G37" s="115"/>
      <c r="H37" s="115"/>
      <c r="I37" s="115"/>
      <c r="J37" s="116"/>
    </row>
    <row r="38" spans="1:10" ht="15.2" customHeight="1">
      <c r="A38" s="1075" t="str" cm="1">
        <f t="array" ref="A38">IFERROR(IF(MechCarbonPrice!$B$4=0, INDEX('BOM calc'!Q:Q, ROW(A4)+2), ""), "")</f>
        <v>OW-ISOLATIONWRAP-12.30</v>
      </c>
      <c r="B38" s="1075"/>
      <c r="C38" s="450" cm="1">
        <f t="array" ref="C38">IFERROR(IF(MechCarbonPrice!$B$4=0, INDEX('BOM calc'!R:R, ROW(A4)+2), ""), "")</f>
        <v>4</v>
      </c>
      <c r="D38" s="1073" cm="1">
        <f t="array" ref="D38">IFERROR(IF(MechCarbonPrice!$B$4=0, INDEX('BOM calc'!Q:Q, ROW(A4)+11), ""), "")</f>
        <v>0</v>
      </c>
      <c r="E38" s="1074"/>
      <c r="F38" s="435" cm="1">
        <f t="array" ref="F38">IFERROR(IF(MechCarbonPrice!$B$4=0, INDEX('BOM calc'!R:R, ROW(A4)+11), ""), "")</f>
        <v>0</v>
      </c>
      <c r="G38" s="115"/>
      <c r="H38" s="115"/>
      <c r="I38" s="115"/>
      <c r="J38" s="116"/>
    </row>
    <row r="39" spans="1:10" ht="15.2" customHeight="1">
      <c r="A39" s="1075" t="str" cm="1">
        <f t="array" ref="A39">IFERROR(IF(MechCarbonPrice!$B$4=0, INDEX('BOM calc'!Q:Q, ROW(A5)+2), ""), "")</f>
        <v>OW-ACCESSORYKIT</v>
      </c>
      <c r="B39" s="1075"/>
      <c r="C39" s="450" cm="1">
        <f t="array" ref="C39">IFERROR(IF(MechCarbonPrice!$B$4=0, INDEX('BOM calc'!R:R, ROW(A5)+2), ""), "")</f>
        <v>1</v>
      </c>
      <c r="D39" s="1073" cm="1">
        <f t="array" ref="D39">IFERROR(IF(MechCarbonPrice!$B$4=0, INDEX('BOM calc'!Q:Q, ROW(A5)+11), ""), "")</f>
        <v>0</v>
      </c>
      <c r="E39" s="1074"/>
      <c r="F39" s="435" cm="1">
        <f t="array" ref="F39">IFERROR(IF(MechCarbonPrice!$B$4=0, INDEX('BOM calc'!R:R, ROW(A5)+11), ""), "")</f>
        <v>0</v>
      </c>
      <c r="G39" s="115"/>
      <c r="H39" s="115"/>
      <c r="I39" s="115"/>
      <c r="J39" s="116"/>
    </row>
    <row r="40" spans="1:10" ht="15.2" customHeight="1">
      <c r="A40" s="1075" t="str" cm="1">
        <f t="array" ref="A40">IFERROR(IF(MechCarbonPrice!$B$4=0, INDEX('BOM calc'!Q:Q, ROW(A6)+2), ""), "")</f>
        <v>OW-PW-LARGE</v>
      </c>
      <c r="B40" s="1075"/>
      <c r="C40" s="450" cm="1">
        <f t="array" ref="C40">IFERROR(IF(MechCarbonPrice!$B$4=0, INDEX('BOM calc'!R:R, ROW(A6)+2), ""), "")</f>
        <v>1</v>
      </c>
      <c r="D40" s="1073" cm="1">
        <f t="array" ref="D40">IFERROR(IF(MechCarbonPrice!$B$4=0, INDEX('BOM calc'!Q:Q, ROW(A6)+11), ""), "")</f>
        <v>0</v>
      </c>
      <c r="E40" s="1074"/>
      <c r="F40" s="435" cm="1">
        <f t="array" ref="F40">IFERROR(IF(MechCarbonPrice!$B$4=0, INDEX('BOM calc'!R:R, ROW(A6)+11), ""), "")</f>
        <v>0</v>
      </c>
      <c r="G40" s="115"/>
      <c r="H40" s="115"/>
      <c r="I40" s="115"/>
      <c r="J40" s="116"/>
    </row>
    <row r="41" spans="1:10" ht="15.2" customHeight="1">
      <c r="A41" s="1075" t="str" cm="1">
        <f t="array" ref="A41">IFERROR(IF(MechCarbonPrice!$B$4=0, INDEX('BOM calc'!Q:Q, ROW(A7)+2), ""), "")</f>
        <v>Porcupine Roller MRO6500</v>
      </c>
      <c r="B41" s="1075"/>
      <c r="C41" s="450" cm="1">
        <f t="array" ref="C41">IFERROR(IF(MechCarbonPrice!$B$4=0, INDEX('BOM calc'!R:R, ROW(A7)+2), ""), "")</f>
        <v>1</v>
      </c>
      <c r="D41" s="1073" cm="1">
        <f t="array" ref="D41">IFERROR(IF(MechCarbonPrice!$B$4=0, INDEX('BOM calc'!Q:Q, ROW(A7)+11), ""), "")</f>
        <v>0</v>
      </c>
      <c r="E41" s="1074"/>
      <c r="F41" s="435" cm="1">
        <f t="array" ref="F41">IFERROR(IF(MechCarbonPrice!$B$4=0, INDEX('BOM calc'!R:R, ROW(A7)+11), ""), "")</f>
        <v>0</v>
      </c>
      <c r="G41" s="115"/>
      <c r="H41" s="115"/>
      <c r="I41" s="115"/>
      <c r="J41" s="116"/>
    </row>
    <row r="42" spans="1:10" ht="15.2" customHeight="1">
      <c r="A42" s="1075" t="str" cm="1">
        <f t="array" ref="A42">IFERROR(IF(MechCarbonPrice!$B$4=0, INDEX('BOM calc'!Q:Q, ROW(A8)+2), ""), "")</f>
        <v>OW-MAGNET</v>
      </c>
      <c r="B42" s="1075"/>
      <c r="C42" s="450" cm="1">
        <f t="array" ref="C42">IFERROR(IF(MechCarbonPrice!$B$4=0, INDEX('BOM calc'!R:R, ROW(A8)+2), ""), "")</f>
        <v>2</v>
      </c>
      <c r="D42" s="1073" cm="1">
        <f t="array" ref="D42">IFERROR(IF(MechCarbonPrice!$B$4=0, INDEX('BOM calc'!Q:Q, ROW(A8)+11), ""), "")</f>
        <v>0</v>
      </c>
      <c r="E42" s="1074"/>
      <c r="F42" s="435" cm="1">
        <f t="array" ref="F42">IFERROR(IF(MechCarbonPrice!$B$4=0, INDEX('BOM calc'!R:R, ROW(A8)+11), ""), "")</f>
        <v>0</v>
      </c>
      <c r="G42" s="115"/>
      <c r="H42" s="115"/>
      <c r="I42" s="115"/>
      <c r="J42" s="116"/>
    </row>
    <row r="43" spans="1:10" ht="15.2" customHeight="1">
      <c r="A43" s="1075" t="str" cm="1">
        <f t="array" ref="A43">IFERROR(IF(MechCarbonPrice!$B$4=0, INDEX('BOM calc'!Q:Q, ROW(A9)+2), ""), "")</f>
        <v>Supervisor/Install</v>
      </c>
      <c r="B43" s="1075"/>
      <c r="C43" s="450" cm="1">
        <f t="array" ref="C43">IFERROR(IF(MechCarbonPrice!$B$4=0, INDEX('BOM calc'!R:R, ROW(A9)+2), ""), "")</f>
        <v>3</v>
      </c>
      <c r="D43" s="1073" cm="1">
        <f t="array" ref="D43">IFERROR(IF(MechCarbonPrice!$B$4=0, INDEX('BOM calc'!Q:Q, ROW(A9)+11), ""), "")</f>
        <v>0</v>
      </c>
      <c r="E43" s="1074"/>
      <c r="F43" s="435" cm="1">
        <f t="array" ref="F43">IFERROR(IF(MechCarbonPrice!$B$4=0, INDEX('BOM calc'!R:R, ROW(A9)+11), ""), "")</f>
        <v>0</v>
      </c>
      <c r="G43" s="145"/>
      <c r="H43" s="145"/>
      <c r="I43" s="145"/>
      <c r="J43" s="146"/>
    </row>
    <row r="44" spans="1:10">
      <c r="C44" s="444"/>
      <c r="F44" s="444"/>
    </row>
  </sheetData>
  <sheetProtection selectLockedCells="1"/>
  <mergeCells count="59">
    <mergeCell ref="D34:E34"/>
    <mergeCell ref="A2:J2"/>
    <mergeCell ref="I5:J5"/>
    <mergeCell ref="I6:J6"/>
    <mergeCell ref="A19:C19"/>
    <mergeCell ref="A3:J3"/>
    <mergeCell ref="A17:C17"/>
    <mergeCell ref="A7:C7"/>
    <mergeCell ref="A8:C8"/>
    <mergeCell ref="A9:C9"/>
    <mergeCell ref="A4:C4"/>
    <mergeCell ref="A5:C5"/>
    <mergeCell ref="A10:C10"/>
    <mergeCell ref="A11:C11"/>
    <mergeCell ref="A6:C6"/>
    <mergeCell ref="A15:C15"/>
    <mergeCell ref="I13:I17"/>
    <mergeCell ref="A18:J18"/>
    <mergeCell ref="A12:J12"/>
    <mergeCell ref="A13:C13"/>
    <mergeCell ref="A14:C14"/>
    <mergeCell ref="A16:C16"/>
    <mergeCell ref="A21:C21"/>
    <mergeCell ref="A22:J22"/>
    <mergeCell ref="A30:B30"/>
    <mergeCell ref="A29:B29"/>
    <mergeCell ref="A24:B24"/>
    <mergeCell ref="A25:B25"/>
    <mergeCell ref="A26:B26"/>
    <mergeCell ref="A27:B27"/>
    <mergeCell ref="A28:B28"/>
    <mergeCell ref="A43:B43"/>
    <mergeCell ref="A34:B34"/>
    <mergeCell ref="A35:B35"/>
    <mergeCell ref="A36:B36"/>
    <mergeCell ref="A37:B37"/>
    <mergeCell ref="A38:B38"/>
    <mergeCell ref="D43:E43"/>
    <mergeCell ref="D35:E35"/>
    <mergeCell ref="D36:E36"/>
    <mergeCell ref="D37:E37"/>
    <mergeCell ref="D38:E38"/>
    <mergeCell ref="D39:E39"/>
    <mergeCell ref="I9:J11"/>
    <mergeCell ref="D40:E40"/>
    <mergeCell ref="D41:E41"/>
    <mergeCell ref="D42:E42"/>
    <mergeCell ref="A39:B39"/>
    <mergeCell ref="A40:B40"/>
    <mergeCell ref="A41:B41"/>
    <mergeCell ref="A42:B42"/>
    <mergeCell ref="A31:B31"/>
    <mergeCell ref="A23:J23"/>
    <mergeCell ref="G27:J27"/>
    <mergeCell ref="A33:B33"/>
    <mergeCell ref="C33:D33"/>
    <mergeCell ref="E33:F33"/>
    <mergeCell ref="A32:B32"/>
    <mergeCell ref="A20:C20"/>
  </mergeCells>
  <conditionalFormatting sqref="C34">
    <cfRule type="containsBlanks" dxfId="6" priority="2">
      <formula>LEN(TRIM(C34))=0</formula>
    </cfRule>
  </conditionalFormatting>
  <conditionalFormatting sqref="F34">
    <cfRule type="containsBlanks" dxfId="5" priority="1">
      <formula>LEN(TRIM(F34))=0</formula>
    </cfRule>
  </conditionalFormatting>
  <dataValidations xWindow="480" yWindow="559" count="2">
    <dataValidation type="decimal" operator="greaterThan" allowBlank="1" showInputMessage="1" showErrorMessage="1" sqref="S6 S16 S13 E14 S8:S9 S11" xr:uid="{71A3AF23-3241-49F5-B269-01089B553815}">
      <formula1>0</formula1>
    </dataValidation>
    <dataValidation type="list" allowBlank="1" showInputMessage="1" showErrorMessage="1" sqref="I8" xr:uid="{EBE1F0EB-A2A5-4EBA-A393-C7A0DC80B0E3}">
      <formula1>$P$5:$P$6</formula1>
    </dataValidation>
  </dataValidations>
  <pageMargins left="0.25" right="0.25" top="1" bottom="0.5" header="0.25" footer="0.25"/>
  <pageSetup scale="89" orientation="portrait" r:id="rId1"/>
  <headerFooter alignWithMargins="0">
    <oddHeader xml:space="preserve">&amp;L&amp;G&amp;R&amp;"-,Bold"&amp;16Allan Edwards, Inc.&amp;14
&amp;"-,Regular" (918) 583-7184
www.allanedwards.com </oddHeader>
    <oddFooter>&amp;L&amp;9Calculator Version &amp;F&amp;R&amp;9Page &amp;P of &amp;N</oddFooter>
  </headerFooter>
  <drawing r:id="rId2"/>
  <legacyDrawing r:id="rId3"/>
  <legacyDrawingHF r:id="rId4"/>
  <extLst>
    <ext xmlns:x14="http://schemas.microsoft.com/office/spreadsheetml/2009/9/main" uri="{CCE6A557-97BC-4b89-ADB6-D9C93CAAB3DF}">
      <x14:dataValidations xmlns:xm="http://schemas.microsoft.com/office/excel/2006/main" xWindow="480" yWindow="559" count="6">
        <x14:dataValidation type="list" allowBlank="1" showInputMessage="1" showErrorMessage="1" prompt="24,000 (assumed)" xr:uid="{17C8CDF1-375C-4F49-8906-F526ACD21EFF}">
          <x14:formula1>
            <xm:f>'OW Variables'!$B$4:$B$14</xm:f>
          </x14:formula1>
          <xm:sqref>E7</xm:sqref>
        </x14:dataValidation>
        <x14:dataValidation type="list" allowBlank="1" showInputMessage="1" showErrorMessage="1" xr:uid="{A27EE66C-A7AF-44FF-BDC7-A776CF19E53E}">
          <x14:formula1>
            <xm:f>'OW Variables'!$O$4:$O$5</xm:f>
          </x14:formula1>
          <xm:sqref>E21</xm:sqref>
        </x14:dataValidation>
        <x14:dataValidation type="list" allowBlank="1" showInputMessage="1" showErrorMessage="1" xr:uid="{9CD5FC12-345F-4471-AB5B-66756DD2F0CD}">
          <x14:formula1>
            <xm:f>'OW Variables'!$T$4:$T$6</xm:f>
          </x14:formula1>
          <xm:sqref>E19</xm:sqref>
        </x14:dataValidation>
        <x14:dataValidation type="list" allowBlank="1" showInputMessage="1" showErrorMessage="1" xr:uid="{DEEEECE8-7B51-4288-8697-5E6BF2247D33}">
          <x14:formula1>
            <xm:f>'OW Variables'!#REF!</xm:f>
          </x14:formula1>
          <xm:sqref>S6 S8:S9 S11</xm:sqref>
        </x14:dataValidation>
        <x14:dataValidation type="list" allowBlank="1" showInputMessage="1" showErrorMessage="1" xr:uid="{C5BF7A83-5749-4018-92AF-4AEC0EBBD0FC}">
          <x14:formula1>
            <xm:f>'OW Variables'!$M$4:$M$6</xm:f>
          </x14:formula1>
          <xm:sqref>E33:F33</xm:sqref>
        </x14:dataValidation>
        <x14:dataValidation type="list" allowBlank="1" showInputMessage="1" showErrorMessage="1" prompt="40 class 4,_x000a_50 class 3,_x000a_60 class 2,_x000a_72 class 1 (assumed),_x000a_80 class 1 - special case" xr:uid="{9C64B389-3095-4028-A6FC-AC31A9058B93}">
          <x14:formula1>
            <xm:f>'OW Variables'!$AD$4:$AD$8</xm:f>
          </x14:formula1>
          <xm:sqref>E10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F2C54-EF21-43B4-B872-6AE220B20D9A}">
  <sheetPr codeName="Sheet03">
    <tabColor theme="8" tint="-0.249977111117893"/>
  </sheetPr>
  <dimension ref="B1:Z97"/>
  <sheetViews>
    <sheetView showGridLines="0" showRuler="0" topLeftCell="A4" zoomScale="115" zoomScaleNormal="115" zoomScaleSheetLayoutView="85" zoomScalePageLayoutView="85" workbookViewId="0">
      <selection activeCell="L13" sqref="L13"/>
    </sheetView>
  </sheetViews>
  <sheetFormatPr defaultRowHeight="15"/>
  <cols>
    <col min="3" max="3" width="12" bestFit="1" customWidth="1"/>
    <col min="4" max="4" width="9.28515625" bestFit="1" customWidth="1"/>
    <col min="8" max="8" width="14.85546875" bestFit="1" customWidth="1"/>
    <col min="10" max="10" width="9.42578125" bestFit="1" customWidth="1"/>
    <col min="13" max="13" width="11.28515625" customWidth="1"/>
    <col min="18" max="18" width="11.140625" bestFit="1" customWidth="1"/>
    <col min="20" max="20" width="15.7109375" bestFit="1" customWidth="1"/>
    <col min="24" max="24" width="13.28515625" bestFit="1" customWidth="1"/>
    <col min="26" max="26" width="13.5703125" bestFit="1" customWidth="1"/>
  </cols>
  <sheetData>
    <row r="1" spans="2:26">
      <c r="R1" s="382"/>
      <c r="S1" s="382"/>
      <c r="T1" s="382"/>
      <c r="U1" s="382"/>
      <c r="V1" s="382"/>
      <c r="W1" s="382"/>
      <c r="X1" s="382"/>
      <c r="Y1" s="382"/>
      <c r="Z1" s="382"/>
    </row>
    <row r="2" spans="2:26" ht="36">
      <c r="B2" s="1155" t="s">
        <v>92</v>
      </c>
      <c r="C2" s="1156"/>
      <c r="D2" s="1156"/>
      <c r="E2" s="1156"/>
      <c r="F2" s="1156"/>
      <c r="G2" s="1156"/>
      <c r="H2" s="1156"/>
      <c r="I2" s="1156"/>
      <c r="J2" s="1156"/>
      <c r="K2" s="1157"/>
      <c r="R2" s="382"/>
      <c r="S2" s="382"/>
      <c r="T2" s="382"/>
      <c r="U2" s="382"/>
      <c r="V2" s="382"/>
      <c r="W2" s="382"/>
      <c r="X2" s="382"/>
      <c r="Y2" s="382"/>
      <c r="Z2" s="382"/>
    </row>
    <row r="3" spans="2:26">
      <c r="B3" s="1158" t="s">
        <v>93</v>
      </c>
      <c r="C3" s="1159"/>
      <c r="D3" s="1159"/>
      <c r="E3" s="1159"/>
      <c r="F3" s="1159"/>
      <c r="G3" s="1159"/>
      <c r="H3" s="1159"/>
      <c r="I3" s="1159"/>
      <c r="J3" s="1159"/>
      <c r="K3" s="1160"/>
      <c r="R3" s="382"/>
      <c r="S3" s="382"/>
      <c r="T3" s="382"/>
      <c r="U3" s="382"/>
      <c r="V3" s="382"/>
      <c r="W3" s="382"/>
      <c r="X3" s="382"/>
      <c r="Y3" s="382"/>
      <c r="Z3" s="382"/>
    </row>
    <row r="4" spans="2:26" ht="15" customHeight="1">
      <c r="B4" s="1161" t="s">
        <v>94</v>
      </c>
      <c r="C4" s="1162"/>
      <c r="D4" s="1162"/>
      <c r="E4" s="1162"/>
      <c r="F4" s="1162"/>
      <c r="G4" s="1162"/>
      <c r="H4" s="1162"/>
      <c r="I4" s="1162"/>
      <c r="J4" s="1162"/>
      <c r="K4" s="1163"/>
      <c r="R4" s="382"/>
      <c r="S4" s="382"/>
      <c r="T4" s="382"/>
      <c r="U4" s="382"/>
      <c r="V4" s="382"/>
      <c r="W4" s="382"/>
      <c r="X4" s="382"/>
      <c r="Y4" s="382"/>
      <c r="Z4" s="382"/>
    </row>
    <row r="5" spans="2:26">
      <c r="B5" s="1161"/>
      <c r="C5" s="1162"/>
      <c r="D5" s="1162"/>
      <c r="E5" s="1162"/>
      <c r="F5" s="1162"/>
      <c r="G5" s="1162"/>
      <c r="H5" s="1162"/>
      <c r="I5" s="1162"/>
      <c r="J5" s="1162"/>
      <c r="K5" s="1163"/>
      <c r="R5" s="382"/>
      <c r="S5" s="382"/>
      <c r="T5" s="382"/>
      <c r="U5" s="382"/>
      <c r="V5" s="382"/>
      <c r="W5" s="382"/>
      <c r="X5" s="382"/>
      <c r="Y5" s="382"/>
      <c r="Z5" s="382"/>
    </row>
    <row r="6" spans="2:26" ht="15.75" customHeight="1">
      <c r="B6" s="1167" t="s">
        <v>95</v>
      </c>
      <c r="C6" s="1168"/>
      <c r="D6" s="1168"/>
      <c r="E6" s="1168"/>
      <c r="F6" s="1168"/>
      <c r="G6" s="1168"/>
      <c r="H6" s="1168"/>
      <c r="I6" s="1168"/>
      <c r="J6" s="1168"/>
      <c r="K6" s="1169"/>
      <c r="R6" s="382"/>
      <c r="S6" s="382"/>
      <c r="T6" s="382"/>
      <c r="U6" s="382"/>
      <c r="V6" s="382"/>
      <c r="W6" s="382"/>
      <c r="X6" s="382"/>
      <c r="Y6" s="382"/>
      <c r="Z6" s="382"/>
    </row>
    <row r="7" spans="2:26" ht="15.75" thickBot="1">
      <c r="B7" s="1170"/>
      <c r="C7" s="1171"/>
      <c r="D7" s="1171"/>
      <c r="E7" s="1171"/>
      <c r="F7" s="1171"/>
      <c r="G7" s="1171"/>
      <c r="H7" s="1171"/>
      <c r="I7" s="1171"/>
      <c r="J7" s="1171"/>
      <c r="K7" s="1172"/>
      <c r="R7" s="382"/>
      <c r="S7" s="382"/>
      <c r="T7" s="382"/>
      <c r="U7" s="382"/>
      <c r="V7" s="382"/>
      <c r="W7" s="382"/>
      <c r="X7" s="382"/>
      <c r="Y7" s="382"/>
      <c r="Z7" s="382"/>
    </row>
    <row r="8" spans="2:26" ht="15.75">
      <c r="B8" s="1126" t="s">
        <v>96</v>
      </c>
      <c r="C8" s="1127"/>
      <c r="D8" s="1127"/>
      <c r="E8" s="1127"/>
      <c r="F8" s="1127"/>
      <c r="G8" s="1127"/>
      <c r="H8" s="1127"/>
      <c r="I8" s="1127"/>
      <c r="J8" s="1127"/>
      <c r="K8" s="1128"/>
      <c r="M8" s="1126" t="s">
        <v>97</v>
      </c>
      <c r="N8" s="1127"/>
      <c r="O8" s="1127"/>
      <c r="P8" s="1127"/>
      <c r="Q8" s="1128"/>
      <c r="R8" s="382"/>
      <c r="S8" s="382"/>
      <c r="T8" s="382"/>
      <c r="U8" s="382"/>
      <c r="V8" s="382"/>
      <c r="W8" s="382"/>
      <c r="X8" s="382"/>
      <c r="Y8" s="382"/>
      <c r="Z8" s="382"/>
    </row>
    <row r="9" spans="2:26" ht="15.75" thickBot="1">
      <c r="B9" s="1166" t="s">
        <v>98</v>
      </c>
      <c r="C9" s="1141"/>
      <c r="D9" s="45"/>
      <c r="E9" s="27" t="s">
        <v>99</v>
      </c>
      <c r="F9" s="45"/>
      <c r="G9" s="45"/>
      <c r="H9" s="45"/>
      <c r="I9" s="27" t="s">
        <v>100</v>
      </c>
      <c r="J9" s="27" t="s">
        <v>101</v>
      </c>
      <c r="K9" s="28" t="s">
        <v>102</v>
      </c>
      <c r="M9" s="91" t="s">
        <v>3</v>
      </c>
      <c r="N9" s="1145" t="str">
        <f>IF(ISBLANK(Main!C3),"",Main!C3)</f>
        <v/>
      </c>
      <c r="O9" s="1145"/>
      <c r="P9" s="1145"/>
      <c r="Q9" s="1146"/>
      <c r="R9" s="382"/>
      <c r="S9" s="382"/>
      <c r="T9" s="382"/>
      <c r="U9" s="382"/>
      <c r="V9" s="382"/>
      <c r="W9" s="382"/>
      <c r="X9" s="382"/>
      <c r="Y9" s="382"/>
      <c r="Z9" s="382"/>
    </row>
    <row r="10" spans="2:26" ht="27" customHeight="1">
      <c r="B10" s="1164" t="s">
        <v>30</v>
      </c>
      <c r="C10" s="1165"/>
      <c r="D10" s="41"/>
      <c r="E10" s="42"/>
      <c r="F10" s="41"/>
      <c r="G10" s="70">
        <f>J10*'OW Variables'!$S$5</f>
        <v>508</v>
      </c>
      <c r="H10" s="69" t="s">
        <v>73</v>
      </c>
      <c r="I10" s="41"/>
      <c r="J10" s="70">
        <f>Corrosion!S4</f>
        <v>20</v>
      </c>
      <c r="K10" s="44" t="s">
        <v>32</v>
      </c>
      <c r="M10" s="92" t="s">
        <v>11</v>
      </c>
      <c r="N10" s="1145" t="str">
        <f>IF(ISBLANK(Main!C4),"",Main!C4)</f>
        <v/>
      </c>
      <c r="O10" s="1145"/>
      <c r="P10" s="1145"/>
      <c r="Q10" s="1146"/>
      <c r="R10" s="382"/>
      <c r="S10" s="382"/>
      <c r="T10" s="382"/>
      <c r="U10" s="382"/>
      <c r="V10" s="382"/>
      <c r="W10" s="382"/>
      <c r="X10" s="382"/>
      <c r="Y10" s="382"/>
      <c r="Z10" s="382"/>
    </row>
    <row r="11" spans="2:26" ht="27" customHeight="1">
      <c r="B11" s="1110" t="s">
        <v>33</v>
      </c>
      <c r="C11" s="1111"/>
      <c r="D11" s="25"/>
      <c r="E11" s="1"/>
      <c r="F11" s="25"/>
      <c r="G11" s="71">
        <f>J11*'OW Variables'!$S$5</f>
        <v>6.35</v>
      </c>
      <c r="H11" s="26" t="s">
        <v>73</v>
      </c>
      <c r="I11" s="25"/>
      <c r="J11" s="71">
        <f>Corrosion!S5</f>
        <v>0.25</v>
      </c>
      <c r="K11" s="12" t="s">
        <v>32</v>
      </c>
      <c r="M11" s="92" t="s">
        <v>2</v>
      </c>
      <c r="N11" s="1147" t="str">
        <f>IF(ISBLANK(Main!H4),"",Main!H4)</f>
        <v/>
      </c>
      <c r="O11" s="1148"/>
      <c r="P11" s="1148"/>
      <c r="Q11" s="1149"/>
      <c r="R11" s="382"/>
      <c r="S11" s="382"/>
      <c r="T11" s="382"/>
      <c r="U11" s="382"/>
      <c r="V11" s="382"/>
      <c r="W11" s="382"/>
      <c r="X11" s="382"/>
      <c r="Y11" s="382"/>
      <c r="Z11" s="382"/>
    </row>
    <row r="12" spans="2:26" ht="27" customHeight="1">
      <c r="B12" s="1110" t="s">
        <v>41</v>
      </c>
      <c r="C12" s="1111"/>
      <c r="D12" s="25"/>
      <c r="E12" s="1"/>
      <c r="F12" s="25"/>
      <c r="G12" s="25"/>
      <c r="H12" s="25"/>
      <c r="I12" s="25"/>
      <c r="J12" s="37" t="str">
        <f>Corrosion!E7</f>
        <v>X70</v>
      </c>
      <c r="K12" s="12"/>
      <c r="M12" s="92" t="s">
        <v>12</v>
      </c>
      <c r="N12" s="1148" t="str">
        <f>IF(ISBLANK(Main!C5),"",Main!C5)</f>
        <v/>
      </c>
      <c r="O12" s="1148"/>
      <c r="P12" s="1148"/>
      <c r="Q12" s="1149"/>
      <c r="R12" s="382"/>
      <c r="S12" s="382"/>
      <c r="T12" s="382"/>
      <c r="U12" s="382"/>
      <c r="V12" s="382"/>
      <c r="W12" s="382"/>
      <c r="X12" s="382"/>
      <c r="Y12" s="382"/>
      <c r="Z12" s="382"/>
    </row>
    <row r="13" spans="2:26" ht="27" customHeight="1">
      <c r="B13" s="1110" t="s">
        <v>44</v>
      </c>
      <c r="C13" s="1111"/>
      <c r="D13" s="25"/>
      <c r="E13" s="1"/>
      <c r="F13" s="25"/>
      <c r="G13" s="25"/>
      <c r="H13" s="25"/>
      <c r="I13" s="25"/>
      <c r="J13" s="1">
        <f>VLOOKUP($J$12,'OW Variables'!$B$4:$D$15,2,FALSE)</f>
        <v>70300</v>
      </c>
      <c r="K13" s="12" t="s">
        <v>45</v>
      </c>
      <c r="M13" s="92" t="s">
        <v>13</v>
      </c>
      <c r="N13" s="1145" t="str">
        <f>IF(ISBLANK(Main!C5),"",Main!C5)</f>
        <v/>
      </c>
      <c r="O13" s="1145"/>
      <c r="P13" s="1145"/>
      <c r="Q13" s="1146"/>
      <c r="R13" s="382"/>
      <c r="S13" s="382"/>
      <c r="T13" s="382"/>
      <c r="U13" s="382"/>
      <c r="V13" s="382"/>
      <c r="W13" s="382"/>
      <c r="X13" s="382"/>
      <c r="Y13" s="382"/>
      <c r="Z13" s="382"/>
    </row>
    <row r="14" spans="2:26" ht="27" customHeight="1">
      <c r="B14" s="1110" t="s">
        <v>47</v>
      </c>
      <c r="C14" s="1111"/>
      <c r="D14" s="25"/>
      <c r="E14" s="1"/>
      <c r="F14" s="25"/>
      <c r="G14" s="25"/>
      <c r="H14" s="25"/>
      <c r="I14" s="25"/>
      <c r="J14" s="1">
        <f>VLOOKUP($J$12,'OW Variables'!$B$4:$D$15,3,FALSE)</f>
        <v>82700</v>
      </c>
      <c r="K14" s="12" t="s">
        <v>45</v>
      </c>
      <c r="M14" s="92" t="s">
        <v>5</v>
      </c>
      <c r="N14" s="1145" t="str">
        <f>IF(ISBLANK(Main!C7),"",Main!C7)</f>
        <v/>
      </c>
      <c r="O14" s="1145"/>
      <c r="P14" s="1145"/>
      <c r="Q14" s="1146"/>
      <c r="R14" s="382"/>
      <c r="S14" s="382"/>
      <c r="T14" s="382"/>
      <c r="U14" s="382"/>
      <c r="V14" s="382"/>
      <c r="W14" s="382"/>
      <c r="X14" s="382"/>
    </row>
    <row r="15" spans="2:26" ht="27" customHeight="1">
      <c r="B15" s="1110" t="s">
        <v>103</v>
      </c>
      <c r="C15" s="1111"/>
      <c r="D15" s="25"/>
      <c r="E15" s="1"/>
      <c r="F15" s="25"/>
      <c r="G15" s="25"/>
      <c r="H15" s="25"/>
      <c r="I15" s="25"/>
      <c r="J15" s="178">
        <f>IF(Corrosion!E10&gt;1,Corrosion!E10/100,Corrosion!E10)</f>
        <v>0.4</v>
      </c>
      <c r="K15" s="12" t="s">
        <v>49</v>
      </c>
      <c r="M15" s="92" t="s">
        <v>104</v>
      </c>
      <c r="N15" s="1153" t="str">
        <f>IF(ISBLANK(Main!H7),"",Main!H7)</f>
        <v/>
      </c>
      <c r="O15" s="1153"/>
      <c r="P15" s="1153"/>
      <c r="Q15" s="1154"/>
      <c r="R15" s="382"/>
      <c r="S15" s="382"/>
      <c r="T15" s="382"/>
      <c r="U15" s="382"/>
      <c r="V15" s="382"/>
      <c r="W15" s="382"/>
      <c r="X15" s="382"/>
    </row>
    <row r="16" spans="2:26" ht="27" customHeight="1">
      <c r="B16" s="1110" t="s">
        <v>50</v>
      </c>
      <c r="C16" s="1111"/>
      <c r="D16" s="25"/>
      <c r="E16" s="1"/>
      <c r="F16" s="25"/>
      <c r="G16" s="25"/>
      <c r="H16" s="25"/>
      <c r="J16" s="1">
        <f>ROUND(J15*((2*(J13*J11))/J10),0)</f>
        <v>703</v>
      </c>
      <c r="K16" s="12" t="s">
        <v>105</v>
      </c>
      <c r="M16" s="92" t="s">
        <v>14</v>
      </c>
      <c r="N16" s="1145" t="str">
        <f>IF(ISBLANK(Main!C8),"",Main!C8)</f>
        <v/>
      </c>
      <c r="O16" s="1145"/>
      <c r="P16" s="1145"/>
      <c r="Q16" s="1146"/>
      <c r="R16" s="382"/>
      <c r="S16" s="382"/>
      <c r="T16" s="382"/>
      <c r="U16" s="382"/>
      <c r="V16" s="382"/>
      <c r="W16" s="382"/>
      <c r="X16" s="382"/>
    </row>
    <row r="17" spans="2:24" ht="27" customHeight="1">
      <c r="B17" s="1110" t="s">
        <v>106</v>
      </c>
      <c r="C17" s="1111"/>
      <c r="D17" s="25"/>
      <c r="E17" s="1"/>
      <c r="F17" s="25"/>
      <c r="G17" s="25"/>
      <c r="H17" s="25"/>
      <c r="I17" s="25"/>
      <c r="J17" s="199">
        <f>ROUND(0.8*J16,0)</f>
        <v>562</v>
      </c>
      <c r="K17" s="12" t="s">
        <v>105</v>
      </c>
      <c r="M17" s="92" t="s">
        <v>107</v>
      </c>
      <c r="N17" s="1145" t="str">
        <f>IF(ISBLANK(Main!C9),"",Main!C9)</f>
        <v/>
      </c>
      <c r="O17" s="1145"/>
      <c r="P17" s="1145"/>
      <c r="Q17" s="1146"/>
      <c r="R17" s="382"/>
      <c r="S17" s="382"/>
      <c r="T17" s="382"/>
      <c r="U17" s="382"/>
      <c r="V17" s="382"/>
      <c r="W17" s="382"/>
      <c r="X17" s="382"/>
    </row>
    <row r="18" spans="2:24" ht="27" customHeight="1">
      <c r="B18" s="1110" t="s">
        <v>108</v>
      </c>
      <c r="C18" s="1111"/>
      <c r="D18" s="25"/>
      <c r="E18" s="25"/>
      <c r="F18" s="25"/>
      <c r="G18" s="25"/>
      <c r="H18" s="25"/>
      <c r="I18" s="25"/>
      <c r="J18" s="1">
        <f>'OW Variables'!AC$4</f>
        <v>30000000</v>
      </c>
      <c r="K18" s="12" t="s">
        <v>45</v>
      </c>
      <c r="M18" s="92" t="s">
        <v>109</v>
      </c>
      <c r="N18" s="1145" t="str">
        <f>IF(ISBLANK(Main!H9),"",Main!H9)</f>
        <v/>
      </c>
      <c r="O18" s="1145"/>
      <c r="P18" s="1145"/>
      <c r="Q18" s="1146"/>
      <c r="R18" s="382"/>
      <c r="S18" s="382"/>
      <c r="T18" s="382"/>
      <c r="U18" s="382"/>
      <c r="V18" s="382"/>
      <c r="W18" s="382"/>
      <c r="X18" s="382"/>
    </row>
    <row r="19" spans="2:24" ht="54" customHeight="1">
      <c r="B19" s="1123" t="s">
        <v>110</v>
      </c>
      <c r="C19" s="1124"/>
      <c r="D19" s="33"/>
      <c r="E19" s="34"/>
      <c r="F19" s="33"/>
      <c r="G19" s="68">
        <f>(J19-32)*5/9</f>
        <v>21.111111111111111</v>
      </c>
      <c r="H19" s="35" t="s">
        <v>111</v>
      </c>
      <c r="I19" s="82" t="str" cm="1">
        <f t="array" ref="I19">_xlfn.IFS(J26='OW Variables'!E5,_xlfn.IFS(J19&lt;'OW Variables'!G5,'OW Variables'!H5,AND(J19&gt;='OW Variables'!F6,J19&lt;='OW Variables'!G6),'OW Variables'!H6,AND(J19&gt;'OW Variables'!F7,J19&lt;='OW Variables'!G7),'OW Variables'!H7,AND(J19&gt;'OW Variables'!F8,J19&lt;='OW Variables'!G8),'OW Variables'!H8,J19&gt;'OW Variables'!F9,'OW Variables'!H9),J26='OW Variables'!E10,_xlfn.IFS(J19&lt;'OW Variables'!G10,'OW Variables'!H10,AND(J19&gt;='OW Variables'!F11,J19&lt;='OW Variables'!G11),'OW Variables'!H11,AND(J19&gt;'OW Variables'!F12,J19&lt;='OW Variables'!G12),'OW Variables'!H12,AND(J19&gt;'OW Variables'!F13,J19&lt;='OW Variables'!G13),'OW Variables'!H13,J19&gt;'OW Variables'!F14,'OW Variables'!H14),J26='OW Variables'!E15,_xlfn.IFS(J19&lt;'OW Variables'!G15,'OW Variables'!H15,AND(J19&gt;='OW Variables'!F16,J19&lt;='OW Variables'!G16),'OW Variables'!H16,AND(J19&gt;'OW Variables'!#REF!,J19&lt;='OW Variables'!#REF!),'OW Variables'!#REF!,AND(J19&gt;'OW Variables'!#REF!,J19&lt;='OW Variables'!#REF!),'OW Variables'!#REF!,J19&gt;'OW Variables'!F17,'OW Variables'!H17))</f>
        <v xml:space="preserve"> </v>
      </c>
      <c r="J19" s="68">
        <f>Corrosion!S6</f>
        <v>70</v>
      </c>
      <c r="K19" s="36" t="s">
        <v>39</v>
      </c>
      <c r="M19" s="92" t="s">
        <v>15</v>
      </c>
      <c r="N19" s="1147" t="str">
        <f>IF(ISBLANK(Main!C10),"",Main!C10)</f>
        <v/>
      </c>
      <c r="O19" s="1148"/>
      <c r="P19" s="1148"/>
      <c r="Q19" s="1149"/>
      <c r="R19" s="382"/>
      <c r="S19" s="382"/>
      <c r="T19" s="382"/>
      <c r="U19" s="382"/>
      <c r="V19" s="382"/>
      <c r="W19" s="382"/>
      <c r="X19" s="382"/>
    </row>
    <row r="20" spans="2:24" ht="27" customHeight="1">
      <c r="B20" s="1110" t="s">
        <v>112</v>
      </c>
      <c r="C20" s="1111"/>
      <c r="D20" s="25"/>
      <c r="E20" s="1"/>
      <c r="F20" s="25"/>
      <c r="G20" s="71">
        <f>J20*'OW Variables'!$S$5</f>
        <v>5.3339999999999996</v>
      </c>
      <c r="H20" s="26" t="s">
        <v>73</v>
      </c>
      <c r="I20" s="61" t="str">
        <f>IF(J20&gt;=J11,'OW Variables'!$G$22,"")</f>
        <v/>
      </c>
      <c r="J20" s="60">
        <f>Corrosion!S13</f>
        <v>0.21</v>
      </c>
      <c r="K20" s="12" t="s">
        <v>32</v>
      </c>
      <c r="M20" s="92" t="s">
        <v>16</v>
      </c>
      <c r="N20" s="1145" t="str">
        <f>IF(ISBLANK(Main!H10),"",Main!H10)</f>
        <v/>
      </c>
      <c r="O20" s="1145"/>
      <c r="P20" s="1145"/>
      <c r="Q20" s="1146"/>
      <c r="R20" s="382"/>
      <c r="S20" s="382"/>
      <c r="T20" s="382"/>
      <c r="U20" s="382"/>
      <c r="V20" s="382"/>
      <c r="W20" s="382"/>
      <c r="X20" s="382"/>
    </row>
    <row r="21" spans="2:24" ht="27" customHeight="1">
      <c r="B21" s="1110" t="s">
        <v>113</v>
      </c>
      <c r="C21" s="1111"/>
      <c r="D21" s="25"/>
      <c r="E21" s="1"/>
      <c r="F21" s="25"/>
      <c r="G21" s="74"/>
      <c r="H21" s="26"/>
      <c r="I21" s="61"/>
      <c r="J21" s="74">
        <f>ROUND(100*(J20/J11),1)</f>
        <v>84</v>
      </c>
      <c r="K21" s="12" t="s">
        <v>49</v>
      </c>
      <c r="M21" s="1152" t="s">
        <v>114</v>
      </c>
      <c r="N21" s="1150" t="str">
        <f>IF(ISBLANK(Main!C11),"",Main!C11)</f>
        <v/>
      </c>
      <c r="O21" s="1150"/>
      <c r="P21" s="1150"/>
      <c r="Q21" s="1151"/>
      <c r="R21" s="382"/>
      <c r="S21" s="382"/>
      <c r="T21" s="382"/>
      <c r="U21" s="382"/>
      <c r="V21" s="382"/>
      <c r="W21" s="382"/>
      <c r="X21" s="382"/>
    </row>
    <row r="22" spans="2:24" ht="27" customHeight="1">
      <c r="B22" s="1110" t="s">
        <v>115</v>
      </c>
      <c r="C22" s="1111"/>
      <c r="D22" s="25"/>
      <c r="E22" s="1"/>
      <c r="F22" s="25"/>
      <c r="G22" s="71">
        <f>J22*'OW Variables'!$S$5</f>
        <v>1341.374</v>
      </c>
      <c r="H22" s="26" t="s">
        <v>73</v>
      </c>
      <c r="J22" s="60">
        <f>Corrosion!S15</f>
        <v>52.81</v>
      </c>
      <c r="K22" s="12" t="s">
        <v>32</v>
      </c>
      <c r="M22" s="1152"/>
      <c r="N22" s="1150"/>
      <c r="O22" s="1150"/>
      <c r="P22" s="1150"/>
      <c r="Q22" s="1151"/>
      <c r="R22" s="382"/>
      <c r="S22" s="382"/>
      <c r="T22" s="382"/>
      <c r="U22" s="382"/>
      <c r="V22" s="382"/>
      <c r="W22" s="382"/>
      <c r="X22" s="382"/>
    </row>
    <row r="23" spans="2:24" ht="27" customHeight="1">
      <c r="B23" s="1110" t="s">
        <v>116</v>
      </c>
      <c r="C23" s="1111"/>
      <c r="D23" s="25"/>
      <c r="E23" s="1"/>
      <c r="F23" s="25"/>
      <c r="G23" s="71">
        <f>J23*'OW Variables'!$S$5</f>
        <v>152.39999999999998</v>
      </c>
      <c r="H23" s="26" t="s">
        <v>73</v>
      </c>
      <c r="I23" s="61"/>
      <c r="J23" s="60">
        <f>Corrosion!S16</f>
        <v>6</v>
      </c>
      <c r="K23" s="12" t="s">
        <v>32</v>
      </c>
      <c r="M23" s="1152"/>
      <c r="N23" s="1150"/>
      <c r="O23" s="1150"/>
      <c r="P23" s="1150"/>
      <c r="Q23" s="1151"/>
      <c r="R23" s="382"/>
      <c r="S23" s="382"/>
      <c r="T23" s="382"/>
      <c r="U23" s="382"/>
      <c r="V23" s="382"/>
      <c r="W23" s="382"/>
      <c r="X23" s="382"/>
    </row>
    <row r="24" spans="2:24" ht="27" customHeight="1" thickBot="1">
      <c r="B24" s="1110" t="s">
        <v>59</v>
      </c>
      <c r="C24" s="1111"/>
      <c r="D24" s="25"/>
      <c r="E24" s="1"/>
      <c r="F24" s="25"/>
      <c r="G24" s="74">
        <f>J24*'OW Variables'!$S$5</f>
        <v>1.016</v>
      </c>
      <c r="H24" s="26" t="s">
        <v>73</v>
      </c>
      <c r="I24" s="25"/>
      <c r="J24" s="66">
        <f>ROUND(J11-J20,5)</f>
        <v>0.04</v>
      </c>
      <c r="K24" s="12" t="s">
        <v>32</v>
      </c>
      <c r="M24" s="112" t="s">
        <v>117</v>
      </c>
      <c r="N24" s="1117" t="str">
        <f>IF(ISBLANK(Main!C13),"",Main!C13)</f>
        <v>--</v>
      </c>
      <c r="O24" s="1117"/>
      <c r="P24" s="1117"/>
      <c r="Q24" s="1118"/>
      <c r="R24" s="382"/>
      <c r="S24" s="382"/>
      <c r="T24" s="382"/>
      <c r="U24" s="382"/>
      <c r="V24" s="382"/>
      <c r="W24" s="382"/>
      <c r="X24" s="382"/>
    </row>
    <row r="25" spans="2:24" ht="27" customHeight="1" thickBot="1">
      <c r="B25" s="1110" t="s">
        <v>59</v>
      </c>
      <c r="C25" s="1111"/>
      <c r="D25" s="25"/>
      <c r="E25" s="1"/>
      <c r="F25" s="25"/>
      <c r="G25" s="25"/>
      <c r="H25" s="25"/>
      <c r="I25" s="25"/>
      <c r="J25" s="763">
        <f>J24/J11</f>
        <v>0.16</v>
      </c>
      <c r="K25" s="12" t="s">
        <v>49</v>
      </c>
      <c r="R25" s="382"/>
      <c r="S25" s="382"/>
      <c r="T25" s="382"/>
      <c r="U25" s="382"/>
      <c r="V25" s="382"/>
      <c r="W25" s="382"/>
      <c r="X25" s="382"/>
    </row>
    <row r="26" spans="2:24" ht="27" customHeight="1">
      <c r="B26" s="1119" t="s">
        <v>63</v>
      </c>
      <c r="C26" s="1120"/>
      <c r="D26" s="32"/>
      <c r="E26" s="79"/>
      <c r="F26" s="32"/>
      <c r="G26" s="32"/>
      <c r="H26" s="32"/>
      <c r="I26" s="32"/>
      <c r="J26" s="109" t="str">
        <f>Corrosion!E19</f>
        <v>Carbon</v>
      </c>
      <c r="K26" s="107"/>
      <c r="M26" s="1136" t="s">
        <v>118</v>
      </c>
      <c r="N26" s="1137"/>
      <c r="O26" s="1137"/>
      <c r="P26" s="1137"/>
      <c r="Q26" s="1138"/>
      <c r="R26" s="382"/>
      <c r="S26" s="382"/>
      <c r="T26" s="382"/>
      <c r="U26" s="382"/>
      <c r="V26" s="382"/>
      <c r="W26" s="382"/>
      <c r="X26" s="382"/>
    </row>
    <row r="27" spans="2:24" ht="27" customHeight="1">
      <c r="B27" s="1110" t="s">
        <v>119</v>
      </c>
      <c r="C27" s="1111"/>
      <c r="D27" s="25"/>
      <c r="E27" s="1"/>
      <c r="F27" s="25"/>
      <c r="G27" s="25"/>
      <c r="H27" s="25"/>
      <c r="I27" s="25"/>
      <c r="J27" s="1">
        <f>VLOOKUP($J$26,'OW Variables'!$T$4:$AB$6,2,FALSE)</f>
        <v>10990000</v>
      </c>
      <c r="K27" s="12" t="s">
        <v>45</v>
      </c>
      <c r="M27" s="155" t="s">
        <v>120</v>
      </c>
      <c r="N27" s="1141" t="s">
        <v>121</v>
      </c>
      <c r="O27" s="1141"/>
      <c r="P27" s="1141"/>
      <c r="Q27" s="1142"/>
      <c r="R27" s="382"/>
      <c r="S27" s="382"/>
      <c r="T27" s="382"/>
      <c r="U27" s="382"/>
      <c r="V27" s="382"/>
      <c r="W27" s="382"/>
      <c r="X27" s="382"/>
    </row>
    <row r="28" spans="2:24" ht="27" customHeight="1">
      <c r="B28" s="1110" t="s">
        <v>122</v>
      </c>
      <c r="C28" s="1111"/>
      <c r="D28" s="25"/>
      <c r="E28" s="1"/>
      <c r="F28" s="25"/>
      <c r="G28" s="25"/>
      <c r="H28" s="25"/>
      <c r="I28" s="25"/>
      <c r="J28" s="1">
        <f>VLOOKUP($J$26,'OW Variables'!$T$4:$AB$6,4,FALSE)</f>
        <v>2.5000000000000001E-3</v>
      </c>
      <c r="K28" s="12" t="s">
        <v>49</v>
      </c>
      <c r="M28" s="152" t="s">
        <v>123</v>
      </c>
      <c r="N28" s="1143" t="str" cm="1">
        <f t="array" ref="N28">IFERROR(VLOOKUP(INDEX(_xlfn._xlws.FILTER(_xlfn._xlws.FILTER($M$34:$Q$40,($M$34:$M$40="Y")*($N$34:$N$40=$M28),""),{0,0,0,1,0}),MATCH(MIN(_xlfn._xlws.FILTER(_xlfn._xlws.FILTER($M$34:$Q$40,($M$34:$M$40="Y")*($N$34:$N$40=$M28),""),{0,0,0,0,1})),_xlfn._xlws.FILTER(_xlfn._xlws.FILTER($M$34:$Q$40,($M$34:$M$40="Y")*($N$34:$N$40=$M28),""),{0,0,0,0,1}),0)),'OW Variables'!$G$20:$H$26,2),"")</f>
        <v/>
      </c>
      <c r="O28" s="1143"/>
      <c r="P28" s="1143"/>
      <c r="Q28" s="1144"/>
      <c r="R28" s="382"/>
      <c r="S28" s="382"/>
      <c r="T28" s="382"/>
      <c r="U28" s="382"/>
      <c r="V28" s="382"/>
      <c r="W28" s="382"/>
      <c r="X28" s="382"/>
    </row>
    <row r="29" spans="2:24" ht="27" customHeight="1">
      <c r="B29" s="1110" t="s">
        <v>65</v>
      </c>
      <c r="C29" s="1111"/>
      <c r="D29" s="25"/>
      <c r="E29" s="1"/>
      <c r="F29" s="25"/>
      <c r="G29" s="25"/>
      <c r="H29" s="25"/>
      <c r="I29" s="25"/>
      <c r="J29" s="1">
        <f>VLOOKUP($J$26,'OW Variables'!$T$4:$AB$6,5,FALSE)</f>
        <v>56483</v>
      </c>
      <c r="K29" s="12" t="s">
        <v>45</v>
      </c>
      <c r="M29" s="64" t="s">
        <v>51</v>
      </c>
      <c r="N29" s="1139" t="str" cm="1">
        <f t="array" ref="N29">IFERROR(VLOOKUP(INDEX(_xlfn._xlws.FILTER(_xlfn._xlws.FILTER($M$34:$Q$40,($M$34:$M$40="Y")*($N$34:$N$40=$M29),""),{0,0,0,1,0}),MATCH(MIN(_xlfn._xlws.FILTER(_xlfn._xlws.FILTER($M$34:$Q$40,($M$34:$M$40="Y")*($N$34:$N$40=$M29),""),{0,0,0,0,1})),_xlfn._xlws.FILTER(_xlfn._xlws.FILTER($M$34:$Q$40,($M$34:$M$40="Y")*($N$34:$N$40=$M29),""),{0,0,0,0,1}),0)),'OW Variables'!$G$20:$H$26,2),"")</f>
        <v/>
      </c>
      <c r="O29" s="1139"/>
      <c r="P29" s="1139"/>
      <c r="Q29" s="1140"/>
      <c r="R29" s="382"/>
      <c r="S29" s="382"/>
      <c r="T29" s="382"/>
      <c r="U29" s="382"/>
      <c r="V29" s="382"/>
      <c r="W29" s="382"/>
      <c r="X29" s="382"/>
    </row>
    <row r="30" spans="2:24" ht="27" customHeight="1">
      <c r="B30" s="1110" t="s">
        <v>124</v>
      </c>
      <c r="C30" s="1111"/>
      <c r="D30" s="25"/>
      <c r="E30" s="1"/>
      <c r="F30" s="25"/>
      <c r="G30" s="25"/>
      <c r="H30" s="25"/>
      <c r="I30" s="25"/>
      <c r="J30" s="421">
        <f>VLOOKUP($J$26,'OW Variables'!$T$4:$AB$6,6,FALSE)</f>
        <v>2.1999999999999999E-2</v>
      </c>
      <c r="K30" s="12" t="s">
        <v>32</v>
      </c>
      <c r="M30" s="153" t="s">
        <v>70</v>
      </c>
      <c r="N30" s="1132" t="str" cm="1">
        <f t="array" ref="N30">IFERROR(VLOOKUP(INDEX(_xlfn._xlws.FILTER(_xlfn._xlws.FILTER($M$34:$Q$40,($M$34:$M$40="Y")*($N$34:$N$40=$M30),""),{0,0,0,1,0}),MATCH(MIN(_xlfn._xlws.FILTER(_xlfn._xlws.FILTER($M$34:$Q$40,($M$34:$M$40="Y")*($N$34:$N$40=$M30),""),{0,0,0,0,1})),_xlfn._xlws.FILTER(_xlfn._xlws.FILTER($M$34:$Q$40,($M$34:$M$40="Y")*($N$34:$N$40=$M30),""),{0,0,0,0,1}),0)),'OW Variables'!$G$20:$H$26,2),"")</f>
        <v/>
      </c>
      <c r="O30" s="1132"/>
      <c r="P30" s="1132"/>
      <c r="Q30" s="1133"/>
      <c r="R30" s="382"/>
      <c r="S30" s="382"/>
      <c r="T30" s="382"/>
      <c r="U30" s="382"/>
      <c r="V30" s="382"/>
      <c r="W30" s="382"/>
      <c r="X30" s="382"/>
    </row>
    <row r="31" spans="2:24" ht="27" customHeight="1">
      <c r="B31" s="1110" t="s">
        <v>125</v>
      </c>
      <c r="C31" s="1111"/>
      <c r="D31" s="25"/>
      <c r="E31" s="1"/>
      <c r="F31" s="25"/>
      <c r="G31" s="25"/>
      <c r="H31" s="25"/>
      <c r="I31" s="25"/>
      <c r="J31" s="1">
        <f>VLOOKUP($J$26,'OW Variables'!$T$4:$AB$6,9,FALSE)</f>
        <v>12</v>
      </c>
      <c r="K31" s="12" t="s">
        <v>32</v>
      </c>
      <c r="M31" s="65"/>
      <c r="N31" s="1134" t="s">
        <v>126</v>
      </c>
      <c r="O31" s="1134"/>
      <c r="P31" s="1134"/>
      <c r="Q31" s="1135"/>
      <c r="R31" s="382"/>
      <c r="S31" s="382"/>
      <c r="T31" s="382"/>
      <c r="U31" s="382"/>
      <c r="V31" s="382"/>
      <c r="W31" s="382"/>
      <c r="X31" s="382"/>
    </row>
    <row r="32" spans="2:24" ht="27" customHeight="1">
      <c r="B32" s="1110" t="s">
        <v>127</v>
      </c>
      <c r="C32" s="1111"/>
      <c r="D32" s="25"/>
      <c r="E32" s="1"/>
      <c r="F32" s="25"/>
      <c r="G32" s="25"/>
      <c r="H32" s="25"/>
      <c r="I32" s="25"/>
      <c r="J32" s="1">
        <f>VLOOKUP($J$26,'OW Variables'!$T$4:$AB$6,7,FALSE)</f>
        <v>30</v>
      </c>
      <c r="K32" s="12" t="s">
        <v>128</v>
      </c>
      <c r="M32" s="152" t="s">
        <v>129</v>
      </c>
      <c r="N32" s="166" t="str">
        <f>_xlfn.TEXTJOIN(";",TRUE,I10:I36,I50:I75)</f>
        <v xml:space="preserve"> </v>
      </c>
      <c r="O32" s="164"/>
      <c r="P32" s="164"/>
      <c r="Q32" s="165"/>
      <c r="R32" s="382"/>
      <c r="S32" s="382"/>
      <c r="T32" s="382"/>
      <c r="U32" s="382"/>
      <c r="V32" s="382"/>
      <c r="W32" s="382"/>
      <c r="X32" s="382"/>
    </row>
    <row r="33" spans="2:26" ht="27" customHeight="1">
      <c r="B33" s="1110" t="s">
        <v>130</v>
      </c>
      <c r="C33" s="1111"/>
      <c r="D33" s="25"/>
      <c r="E33" s="1"/>
      <c r="F33" s="25"/>
      <c r="G33" s="25"/>
      <c r="H33" s="25"/>
      <c r="I33" s="25"/>
      <c r="J33" s="1">
        <f>VLOOKUP($J$53,'OW Variables'!$M$4:$N$6,2,FALSE)</f>
        <v>0</v>
      </c>
      <c r="K33" s="12" t="s">
        <v>49</v>
      </c>
      <c r="M33" s="168" t="s">
        <v>131</v>
      </c>
      <c r="N33" s="167" t="s">
        <v>120</v>
      </c>
      <c r="O33" s="157"/>
      <c r="P33" s="157" t="s">
        <v>132</v>
      </c>
      <c r="Q33" s="158" t="s">
        <v>133</v>
      </c>
      <c r="R33" s="382"/>
      <c r="S33" s="382"/>
      <c r="T33" s="382"/>
      <c r="U33" s="382"/>
      <c r="V33" s="382"/>
      <c r="W33" s="382"/>
      <c r="X33" s="382"/>
    </row>
    <row r="34" spans="2:26" ht="27" customHeight="1">
      <c r="B34" s="1110" t="s">
        <v>67</v>
      </c>
      <c r="C34" s="1111"/>
      <c r="D34" s="25"/>
      <c r="E34" s="1"/>
      <c r="G34" s="25"/>
      <c r="H34" s="25"/>
      <c r="I34" s="25"/>
      <c r="J34" s="37">
        <f>Corrosion!E21</f>
        <v>0.5</v>
      </c>
      <c r="K34" s="12"/>
      <c r="M34" s="169" t="str">
        <f t="shared" ref="M34:M40" si="0">IF(ISNUMBER(SEARCH($P34,$N$32)),"Y","")</f>
        <v/>
      </c>
      <c r="N34" s="73" t="s">
        <v>123</v>
      </c>
      <c r="O34" s="170"/>
      <c r="P34" s="110">
        <v>1</v>
      </c>
      <c r="Q34" s="171">
        <v>1</v>
      </c>
      <c r="R34" s="382"/>
      <c r="S34" s="382"/>
      <c r="T34" s="382"/>
      <c r="U34" s="382"/>
      <c r="V34" s="382"/>
      <c r="W34" s="382"/>
      <c r="X34" s="382"/>
      <c r="Y34" s="382"/>
      <c r="Z34" s="382"/>
    </row>
    <row r="35" spans="2:26" ht="27" customHeight="1">
      <c r="B35" s="1110" t="s">
        <v>134</v>
      </c>
      <c r="C35" s="1111"/>
      <c r="D35" s="25"/>
      <c r="E35" s="1"/>
      <c r="F35" s="25"/>
      <c r="G35" s="25"/>
      <c r="H35" s="25"/>
      <c r="I35" s="25"/>
      <c r="J35" s="108" t="str">
        <f>"Factor applicable if using "&amp;VLOOKUP(J34,'OW Variables'!O3:P5,2)</f>
        <v>Factor applicable if using 1 000-h Data</v>
      </c>
      <c r="K35" s="12"/>
      <c r="M35" s="169" t="str">
        <f t="shared" si="0"/>
        <v/>
      </c>
      <c r="N35" s="73" t="s">
        <v>70</v>
      </c>
      <c r="O35" s="170"/>
      <c r="P35" s="110">
        <v>2</v>
      </c>
      <c r="Q35" s="171">
        <v>2</v>
      </c>
      <c r="R35" s="382"/>
      <c r="S35" s="382"/>
      <c r="T35" s="382"/>
      <c r="U35" s="382"/>
      <c r="V35" s="382"/>
      <c r="W35" s="382"/>
      <c r="X35" s="382"/>
      <c r="Y35" s="382"/>
      <c r="Z35" s="382"/>
    </row>
    <row r="36" spans="2:26" ht="27" customHeight="1" thickBot="1">
      <c r="B36" s="1108" t="s">
        <v>135</v>
      </c>
      <c r="C36" s="1109"/>
      <c r="D36" s="25"/>
      <c r="E36" s="1"/>
      <c r="F36" s="25"/>
      <c r="G36" s="25"/>
      <c r="I36" s="127" t="str">
        <f>IF(AND(J52/12='OW Variables'!$L$4,J36&lt;&gt;'OW Variables'!$M$4),'OW Variables'!$G$26,"")</f>
        <v/>
      </c>
      <c r="J36" s="159" t="str">
        <f>Corrosion!E33</f>
        <v>Layer over Layer</v>
      </c>
      <c r="K36" s="161"/>
      <c r="M36" s="169" t="str">
        <f t="shared" si="0"/>
        <v/>
      </c>
      <c r="N36" s="73" t="s">
        <v>51</v>
      </c>
      <c r="O36" s="170"/>
      <c r="P36" s="110">
        <v>3</v>
      </c>
      <c r="Q36" s="171">
        <v>5</v>
      </c>
      <c r="R36" s="382"/>
      <c r="S36" s="382"/>
      <c r="T36" s="382"/>
      <c r="U36" s="382"/>
      <c r="V36" s="382"/>
      <c r="W36" s="382"/>
      <c r="X36" s="382"/>
      <c r="Y36" s="382"/>
      <c r="Z36" s="382"/>
    </row>
    <row r="37" spans="2:26" ht="16.5" customHeight="1" thickBot="1">
      <c r="B37" s="1129" t="s">
        <v>136</v>
      </c>
      <c r="C37" s="1130"/>
      <c r="D37" s="1130"/>
      <c r="E37" s="1130"/>
      <c r="F37" s="1130"/>
      <c r="G37" s="1130"/>
      <c r="H37" s="1130"/>
      <c r="I37" s="1130"/>
      <c r="J37" s="1130"/>
      <c r="K37" s="1131"/>
      <c r="M37" s="169" t="str">
        <f t="shared" si="0"/>
        <v/>
      </c>
      <c r="N37" s="73" t="s">
        <v>123</v>
      </c>
      <c r="O37" s="170"/>
      <c r="P37" s="110">
        <v>4</v>
      </c>
      <c r="Q37" s="171">
        <v>6</v>
      </c>
      <c r="R37" s="382"/>
      <c r="S37" s="382"/>
      <c r="T37" s="382"/>
      <c r="U37" s="382"/>
      <c r="V37" s="382"/>
      <c r="W37" s="382"/>
      <c r="X37" s="382"/>
      <c r="Y37" s="382"/>
      <c r="Z37" s="382"/>
    </row>
    <row r="38" spans="2:26" ht="27" customHeight="1">
      <c r="B38" s="1164" t="s">
        <v>71</v>
      </c>
      <c r="C38" s="1165"/>
      <c r="D38" s="41"/>
      <c r="E38" s="42"/>
      <c r="F38" s="1173" t="s">
        <v>137</v>
      </c>
      <c r="G38" s="1173"/>
      <c r="H38" s="1173"/>
      <c r="I38" s="1173"/>
      <c r="J38" s="90">
        <f>IF(ISNUMBER(I20),"-",J55)</f>
        <v>8</v>
      </c>
      <c r="K38" s="44"/>
      <c r="M38" s="169" t="str">
        <f t="shared" si="0"/>
        <v/>
      </c>
      <c r="N38" s="73" t="s">
        <v>123</v>
      </c>
      <c r="O38" s="170"/>
      <c r="P38" s="110">
        <v>5</v>
      </c>
      <c r="Q38" s="171">
        <v>3</v>
      </c>
      <c r="R38" s="382"/>
      <c r="S38" s="382"/>
      <c r="T38" s="382"/>
      <c r="U38" s="382"/>
      <c r="V38" s="382"/>
      <c r="W38" s="382"/>
      <c r="X38" s="382"/>
      <c r="Y38" s="382"/>
      <c r="Z38" s="382"/>
    </row>
    <row r="39" spans="2:26" ht="27" customHeight="1">
      <c r="B39" s="1110" t="s">
        <v>72</v>
      </c>
      <c r="C39" s="1111"/>
      <c r="D39" s="25"/>
      <c r="E39" s="1"/>
      <c r="G39" s="25"/>
      <c r="H39" s="227">
        <f>IFERROR(J39*VLOOKUP(I39,'OW Variables'!$R$4:$S$13,2,FALSE),"-")</f>
        <v>4.4703999999999997</v>
      </c>
      <c r="I39" s="1" t="s">
        <v>73</v>
      </c>
      <c r="J39" s="51">
        <f>IF(ISNUMBER(I20),"-",J57)</f>
        <v>0.17599999999999999</v>
      </c>
      <c r="K39" s="12" t="s">
        <v>32</v>
      </c>
      <c r="M39" s="169" t="str">
        <f t="shared" si="0"/>
        <v/>
      </c>
      <c r="N39" s="73" t="s">
        <v>123</v>
      </c>
      <c r="O39" s="170"/>
      <c r="P39" s="110">
        <v>6</v>
      </c>
      <c r="Q39" s="171">
        <v>7</v>
      </c>
      <c r="R39" s="382"/>
      <c r="S39" s="382"/>
      <c r="T39" s="382"/>
      <c r="U39" s="382"/>
      <c r="V39" s="382"/>
      <c r="W39" s="382"/>
      <c r="X39" s="382"/>
      <c r="Y39" s="382"/>
      <c r="Z39" s="382"/>
    </row>
    <row r="40" spans="2:26" ht="27" customHeight="1" thickBot="1">
      <c r="B40" s="1110" t="s">
        <v>138</v>
      </c>
      <c r="C40" s="1111"/>
      <c r="D40" s="25"/>
      <c r="E40" s="1"/>
      <c r="G40" s="25"/>
      <c r="H40" s="227">
        <f>IFERROR(J40*VLOOKUP(I40,'OW Variables'!$R$4:$S$13,2,FALSE),"-")</f>
        <v>516.94079999999997</v>
      </c>
      <c r="I40" s="1" t="s">
        <v>73</v>
      </c>
      <c r="J40" s="51">
        <f>(((J55*2)*J30)+J10)</f>
        <v>20.352</v>
      </c>
      <c r="K40" s="12" t="s">
        <v>32</v>
      </c>
      <c r="M40" s="172" t="str">
        <f t="shared" si="0"/>
        <v/>
      </c>
      <c r="N40" s="173" t="s">
        <v>70</v>
      </c>
      <c r="O40" s="174"/>
      <c r="P40" s="156">
        <v>7</v>
      </c>
      <c r="Q40" s="175">
        <v>4</v>
      </c>
      <c r="R40" s="382"/>
      <c r="S40" s="382"/>
      <c r="T40" s="382"/>
      <c r="U40" s="382"/>
      <c r="V40" s="382"/>
      <c r="W40" s="382"/>
      <c r="X40" s="382"/>
      <c r="Y40" s="382"/>
      <c r="Z40" s="382"/>
    </row>
    <row r="41" spans="2:26" ht="27" customHeight="1">
      <c r="B41" s="1110" t="s">
        <v>74</v>
      </c>
      <c r="C41" s="1111"/>
      <c r="D41" s="25"/>
      <c r="E41" s="1"/>
      <c r="F41" s="25"/>
      <c r="G41" s="25"/>
      <c r="H41" s="227">
        <f>IFERROR(J41*VLOOKUP(I41,'OW Variables'!$R$4:$S$13,2,FALSE),"-")</f>
        <v>12.879933599999999</v>
      </c>
      <c r="I41" s="1" t="s">
        <v>76</v>
      </c>
      <c r="J41" s="227">
        <f>IF(ISNUMBER(I20),"-",J59)</f>
        <v>42.256999999999998</v>
      </c>
      <c r="K41" s="12" t="s">
        <v>75</v>
      </c>
      <c r="R41" s="382"/>
      <c r="S41" s="382"/>
      <c r="T41" s="382"/>
      <c r="U41" s="382"/>
      <c r="V41" s="382"/>
      <c r="W41" s="382"/>
      <c r="X41" s="382"/>
      <c r="Y41" s="382"/>
      <c r="Z41" s="382"/>
    </row>
    <row r="42" spans="2:26" ht="27" customHeight="1">
      <c r="B42" s="1110" t="s">
        <v>77</v>
      </c>
      <c r="C42" s="1111"/>
      <c r="D42" s="25"/>
      <c r="E42" s="1"/>
      <c r="F42" s="25"/>
      <c r="G42" s="25"/>
      <c r="H42" s="227">
        <f>IFERROR(J42*VLOOKUP(I42,'OW Variables'!$R$4:$S$13,2,FALSE),"-")</f>
        <v>1828.8</v>
      </c>
      <c r="I42" s="1" t="s">
        <v>73</v>
      </c>
      <c r="J42" s="52">
        <f>IF(ISNUMBER(I20),"-",J52)</f>
        <v>72</v>
      </c>
      <c r="K42" s="12" t="s">
        <v>32</v>
      </c>
      <c r="R42" s="382"/>
      <c r="S42" s="382"/>
      <c r="T42" s="382"/>
      <c r="U42" s="382"/>
      <c r="V42" s="382"/>
      <c r="W42" s="382"/>
      <c r="X42" s="382"/>
      <c r="Y42" s="382"/>
      <c r="Z42" s="382"/>
    </row>
    <row r="43" spans="2:26" ht="27" customHeight="1" thickBot="1">
      <c r="B43" s="1110" t="s">
        <v>78</v>
      </c>
      <c r="C43" s="1111"/>
      <c r="D43" s="25"/>
      <c r="E43" s="1"/>
      <c r="F43" s="25"/>
      <c r="G43" s="25"/>
      <c r="H43" s="227">
        <f>IFERROR(J43*VLOOKUP(I43,'OW Variables'!$R$4:$S$13,2,FALSE),"-")</f>
        <v>23.554812425999998</v>
      </c>
      <c r="I43" s="1" t="s">
        <v>139</v>
      </c>
      <c r="J43" s="227">
        <f>IF(ISNUMBER(I20),"-",J60)</f>
        <v>253.54199999999997</v>
      </c>
      <c r="K43" s="12" t="s">
        <v>140</v>
      </c>
      <c r="R43" s="382"/>
      <c r="S43" s="382"/>
      <c r="T43" s="382"/>
      <c r="U43" s="382"/>
      <c r="V43" s="382"/>
      <c r="W43" s="382"/>
      <c r="X43" s="382"/>
      <c r="Y43" s="382"/>
      <c r="Z43" s="382"/>
    </row>
    <row r="44" spans="2:26" ht="27" customHeight="1" thickBot="1">
      <c r="B44" s="1110" t="s">
        <v>81</v>
      </c>
      <c r="C44" s="1111"/>
      <c r="D44" s="25"/>
      <c r="E44" s="1"/>
      <c r="F44" s="25"/>
      <c r="G44" s="25"/>
      <c r="H44" s="227">
        <f>IFERROR(J69*2*VLOOKUP(I44,'OW Variables'!$R$4:$S$13,2,FALSE),"-")</f>
        <v>1.3329998821333331</v>
      </c>
      <c r="I44" s="1" t="s">
        <v>84</v>
      </c>
      <c r="J44" s="227">
        <f>IF(ISNUMBER(I20),"-",J69)</f>
        <v>1.4085666666666665</v>
      </c>
      <c r="K44" s="12" t="s">
        <v>141</v>
      </c>
      <c r="M44" s="214" t="s">
        <v>117</v>
      </c>
      <c r="N44" s="1121" t="str">
        <f>N24</f>
        <v>--</v>
      </c>
      <c r="O44" s="1121"/>
      <c r="P44" s="1121"/>
      <c r="Q44" s="1122"/>
      <c r="R44" s="382"/>
      <c r="S44" s="382"/>
      <c r="T44" s="382"/>
      <c r="U44" s="382"/>
      <c r="V44" s="382"/>
      <c r="W44" s="382"/>
      <c r="X44" s="382"/>
      <c r="Y44" s="382"/>
      <c r="Z44" s="382"/>
    </row>
    <row r="45" spans="2:26" ht="27" customHeight="1">
      <c r="B45" s="1110" t="s">
        <v>83</v>
      </c>
      <c r="C45" s="1111"/>
      <c r="D45" s="25"/>
      <c r="E45" s="1"/>
      <c r="F45" s="25"/>
      <c r="G45" s="25"/>
      <c r="H45" s="227">
        <f>IFERROR(J70*2*VLOOKUP(I45,'OW Variables'!$R$4:$S$13,2,FALSE),"-")</f>
        <v>7.9979992927999994</v>
      </c>
      <c r="I45" s="1" t="s">
        <v>84</v>
      </c>
      <c r="J45" s="227">
        <f>IF(ISNUMBER(I20),"-",J70)</f>
        <v>8.4513999999999996</v>
      </c>
      <c r="K45" s="12" t="s">
        <v>142</v>
      </c>
      <c r="M45" s="382"/>
      <c r="N45" s="382"/>
      <c r="O45" s="382"/>
      <c r="P45" s="382"/>
      <c r="Q45" s="382"/>
      <c r="R45" s="382"/>
      <c r="S45" s="382"/>
      <c r="T45" s="382"/>
      <c r="U45" s="382"/>
      <c r="V45" s="382"/>
      <c r="W45" s="382"/>
      <c r="X45" s="382"/>
      <c r="Y45" s="382"/>
      <c r="Z45" s="382"/>
    </row>
    <row r="46" spans="2:26" ht="27" customHeight="1">
      <c r="B46" s="1110" t="s">
        <v>87</v>
      </c>
      <c r="C46" s="1111"/>
      <c r="D46" s="25"/>
      <c r="E46" s="1"/>
      <c r="F46" s="25"/>
      <c r="G46" s="25"/>
      <c r="H46" s="227">
        <f>IFERROR(J68*VLOOKUP(I46,'OW Variables'!$R$4:$S$13,2,FALSE),"-")</f>
        <v>0.11737765678397664</v>
      </c>
      <c r="I46" s="1" t="s">
        <v>84</v>
      </c>
      <c r="J46" s="51">
        <f>IF(ISNUMBER(I21),"-",J68)</f>
        <v>0.24806341991981135</v>
      </c>
      <c r="K46" s="12" t="str">
        <f>IFERROR(K68,"-")</f>
        <v>Qt</v>
      </c>
      <c r="M46" s="382"/>
      <c r="N46" s="382"/>
      <c r="O46" s="382"/>
      <c r="P46" s="382"/>
      <c r="Q46" s="382"/>
      <c r="R46" s="382"/>
      <c r="S46" s="382"/>
      <c r="T46" s="382"/>
      <c r="U46" s="382"/>
      <c r="V46" s="382"/>
      <c r="W46" s="382"/>
      <c r="X46" s="382"/>
      <c r="Y46" s="382"/>
      <c r="Z46" s="382"/>
    </row>
    <row r="47" spans="2:26" ht="27" customHeight="1" thickBot="1">
      <c r="B47" s="1110" t="s">
        <v>85</v>
      </c>
      <c r="C47" s="1111"/>
      <c r="D47" s="25"/>
      <c r="E47" s="1"/>
      <c r="F47" s="25"/>
      <c r="G47" s="25"/>
      <c r="H47" s="227">
        <f>IFERROR(J47*VLOOKUP(I47,'OW Variables'!$R$4:$S$13,2,FALSE),"-")</f>
        <v>1.0904039807999999</v>
      </c>
      <c r="I47" s="1" t="s">
        <v>84</v>
      </c>
      <c r="J47" s="227">
        <f>IF(ISNUMBER(I20),"-",J74)</f>
        <v>2.3044363636363636</v>
      </c>
      <c r="K47" s="12" t="s">
        <v>86</v>
      </c>
      <c r="M47" s="382"/>
      <c r="N47" s="382"/>
      <c r="O47" s="382"/>
      <c r="P47" s="382"/>
      <c r="Q47" s="382"/>
      <c r="R47" s="382"/>
      <c r="S47" s="382"/>
      <c r="T47" s="382"/>
      <c r="U47" s="382"/>
      <c r="V47" s="382"/>
      <c r="W47" s="382"/>
      <c r="X47" s="382"/>
      <c r="Y47" s="382"/>
      <c r="Z47" s="382"/>
    </row>
    <row r="48" spans="2:26" ht="16.5" thickBot="1">
      <c r="B48" s="1126" t="s">
        <v>143</v>
      </c>
      <c r="C48" s="1127"/>
      <c r="D48" s="1127"/>
      <c r="E48" s="1127"/>
      <c r="F48" s="1127"/>
      <c r="G48" s="1127"/>
      <c r="H48" s="1127"/>
      <c r="I48" s="1127"/>
      <c r="J48" s="1127"/>
      <c r="K48" s="1128"/>
      <c r="M48" s="422"/>
      <c r="N48" s="422"/>
      <c r="O48" s="382"/>
      <c r="P48" s="382"/>
      <c r="Q48" s="382"/>
      <c r="R48" s="382"/>
      <c r="S48" s="382"/>
      <c r="T48" s="382"/>
      <c r="U48" s="382"/>
      <c r="V48" s="382"/>
      <c r="W48" s="382"/>
      <c r="X48" s="382"/>
      <c r="Y48" s="382"/>
      <c r="Z48" s="382"/>
    </row>
    <row r="49" spans="2:26" ht="27" customHeight="1" thickBot="1">
      <c r="B49" s="53"/>
      <c r="C49" s="54"/>
      <c r="D49" s="55" t="s">
        <v>144</v>
      </c>
      <c r="E49" s="1125" t="s">
        <v>145</v>
      </c>
      <c r="F49" s="1125"/>
      <c r="G49" s="1125"/>
      <c r="H49" s="1125"/>
      <c r="I49" s="56" t="s">
        <v>100</v>
      </c>
      <c r="J49" s="56" t="s">
        <v>101</v>
      </c>
      <c r="K49" s="57" t="s">
        <v>102</v>
      </c>
      <c r="M49" s="422"/>
      <c r="N49" s="422"/>
      <c r="O49" s="382"/>
      <c r="P49" s="260"/>
      <c r="Q49" s="260"/>
      <c r="R49" s="260"/>
      <c r="S49" s="260"/>
      <c r="T49" s="382"/>
      <c r="U49" s="382"/>
      <c r="V49" s="382"/>
      <c r="W49" s="382"/>
      <c r="X49" s="382"/>
      <c r="Y49" s="382"/>
      <c r="Z49" s="382"/>
    </row>
    <row r="50" spans="2:26" ht="60" customHeight="1">
      <c r="B50" s="1123" t="s">
        <v>146</v>
      </c>
      <c r="C50" s="1124"/>
      <c r="D50" s="35">
        <v>12</v>
      </c>
      <c r="E50" s="33"/>
      <c r="F50" s="33"/>
      <c r="G50" s="33"/>
      <c r="H50" s="33"/>
      <c r="I50" s="33"/>
      <c r="J50" s="49">
        <f>(((J16*J10/2)-(J24*J13))*(1/(J34*J29)))</f>
        <v>0.14935467308747763</v>
      </c>
      <c r="K50" s="36" t="s">
        <v>32</v>
      </c>
      <c r="M50" s="422"/>
      <c r="N50" s="422"/>
      <c r="O50" s="811"/>
      <c r="P50" s="688"/>
      <c r="Q50" s="262"/>
      <c r="R50" s="262"/>
      <c r="S50" s="260"/>
      <c r="T50" s="382"/>
      <c r="U50" s="382"/>
      <c r="V50" s="382"/>
      <c r="W50" s="382"/>
      <c r="X50" s="382"/>
      <c r="Y50" s="382"/>
      <c r="Z50" s="382"/>
    </row>
    <row r="51" spans="2:26" ht="60" customHeight="1">
      <c r="B51" s="1110" t="s">
        <v>147</v>
      </c>
      <c r="C51" s="1111"/>
      <c r="D51" s="26">
        <v>17</v>
      </c>
      <c r="E51" s="25"/>
      <c r="F51" s="25"/>
      <c r="G51" s="25"/>
      <c r="H51" s="25"/>
      <c r="I51" s="25"/>
      <c r="J51" s="48">
        <f>2.5*SQRT(J10*J11/2)</f>
        <v>3.9528470752104745</v>
      </c>
      <c r="K51" s="12" t="s">
        <v>32</v>
      </c>
      <c r="M51" s="422"/>
      <c r="N51" s="422"/>
      <c r="Q51" s="761"/>
      <c r="R51" s="262"/>
      <c r="S51" s="260"/>
      <c r="T51" s="382"/>
      <c r="U51" s="382"/>
      <c r="V51" s="382"/>
      <c r="W51" s="382"/>
      <c r="X51" s="382"/>
      <c r="Y51" s="382"/>
      <c r="Z51" s="382"/>
    </row>
    <row r="52" spans="2:26" ht="60" customHeight="1">
      <c r="B52" s="1110" t="s">
        <v>148</v>
      </c>
      <c r="C52" s="1111"/>
      <c r="D52" s="26">
        <v>19</v>
      </c>
      <c r="E52" s="25"/>
      <c r="F52" s="25"/>
      <c r="G52" s="25"/>
      <c r="H52" s="25"/>
      <c r="I52" s="25"/>
      <c r="J52" s="62">
        <f>CEILING(2*J51+J22,12)</f>
        <v>72</v>
      </c>
      <c r="K52" s="12" t="s">
        <v>32</v>
      </c>
      <c r="M52" s="422"/>
      <c r="N52" s="422"/>
      <c r="P52" s="260"/>
      <c r="Q52" s="262"/>
      <c r="R52" s="262"/>
      <c r="T52" s="382"/>
      <c r="U52" s="382"/>
      <c r="V52" s="382"/>
      <c r="W52" s="382"/>
      <c r="X52" s="382"/>
      <c r="Y52" s="382"/>
      <c r="Z52" s="382"/>
    </row>
    <row r="53" spans="2:26" ht="60" customHeight="1" thickBot="1">
      <c r="B53" s="1108" t="s">
        <v>88</v>
      </c>
      <c r="C53" s="1109"/>
      <c r="D53" s="26"/>
      <c r="E53" s="25"/>
      <c r="F53" s="25"/>
      <c r="G53" s="25"/>
      <c r="H53" s="25"/>
      <c r="I53" s="25"/>
      <c r="J53" s="62" t="str">
        <f>IF((J52/12)='OW Variables'!$L$4,'OW Variables'!$M$4,J36)</f>
        <v>Layer over Layer</v>
      </c>
      <c r="K53" s="12"/>
      <c r="L53" s="812"/>
      <c r="M53" s="812"/>
      <c r="N53" s="812"/>
      <c r="P53" s="260"/>
      <c r="Q53" s="262"/>
      <c r="R53" s="762"/>
      <c r="S53" s="260"/>
      <c r="T53" s="382"/>
      <c r="U53" s="382"/>
      <c r="V53" s="382"/>
      <c r="W53" s="382"/>
      <c r="X53" s="382"/>
      <c r="Y53" s="382"/>
      <c r="Z53" s="382"/>
    </row>
    <row r="54" spans="2:26" ht="16.5" thickBot="1">
      <c r="B54" s="1129" t="s">
        <v>149</v>
      </c>
      <c r="C54" s="1130"/>
      <c r="D54" s="1130"/>
      <c r="E54" s="1130"/>
      <c r="F54" s="1130"/>
      <c r="G54" s="1130"/>
      <c r="H54" s="1130"/>
      <c r="I54" s="1130"/>
      <c r="J54" s="1130"/>
      <c r="K54" s="1131"/>
      <c r="L54" s="810"/>
      <c r="M54" s="810"/>
      <c r="N54" s="810"/>
      <c r="O54" s="382"/>
      <c r="P54" s="260"/>
      <c r="Q54" s="260"/>
      <c r="R54" s="762"/>
      <c r="S54" s="260"/>
      <c r="T54" s="382"/>
      <c r="U54" s="382"/>
      <c r="V54" s="382"/>
      <c r="W54" s="382"/>
      <c r="X54" s="382"/>
      <c r="Y54" s="260"/>
      <c r="Z54" s="260"/>
    </row>
    <row r="55" spans="2:26" ht="60" customHeight="1">
      <c r="B55" s="1110" t="s">
        <v>150</v>
      </c>
      <c r="C55" s="1111"/>
      <c r="D55" s="26"/>
      <c r="E55" s="25"/>
      <c r="F55" s="25"/>
      <c r="G55" s="25"/>
      <c r="H55" s="25"/>
      <c r="I55" s="127" t="str">
        <f>IF(J50/$J$30+0.5&lt;3,'OW Variables'!$G$21,"")</f>
        <v/>
      </c>
      <c r="J55" s="62">
        <f>IF(ROUNDUP((J50/$J$30+0.5),0)&lt;3,3,ROUNDUP(J50/$J$30+0.5,0))</f>
        <v>8</v>
      </c>
      <c r="K55" s="30" t="s">
        <v>151</v>
      </c>
      <c r="M55" s="382"/>
      <c r="N55" s="382"/>
      <c r="O55" s="382"/>
      <c r="P55" s="260"/>
      <c r="Q55" s="260"/>
      <c r="R55" s="762"/>
      <c r="S55" s="260"/>
      <c r="T55" s="382"/>
      <c r="U55" s="382"/>
      <c r="V55" s="382"/>
      <c r="W55" s="382"/>
      <c r="X55" s="382"/>
      <c r="Y55" s="260"/>
      <c r="Z55" s="260"/>
    </row>
    <row r="56" spans="2:26" ht="60" customHeight="1">
      <c r="B56" s="1110" t="s">
        <v>152</v>
      </c>
      <c r="C56" s="1111"/>
      <c r="D56" s="26"/>
      <c r="E56" s="25"/>
      <c r="F56" s="25"/>
      <c r="G56" s="25"/>
      <c r="H56" s="25"/>
      <c r="I56" s="127"/>
      <c r="J56" s="62">
        <f>(1/(1-J33/100))*(J52/J31-1)+1</f>
        <v>6</v>
      </c>
      <c r="K56" s="30" t="s">
        <v>153</v>
      </c>
      <c r="M56" s="382"/>
      <c r="N56" s="382"/>
      <c r="O56" s="382"/>
      <c r="P56" s="382"/>
      <c r="Q56" s="382"/>
      <c r="R56" s="762"/>
      <c r="S56" s="260"/>
      <c r="T56" s="382"/>
      <c r="U56" s="382"/>
      <c r="V56" s="382"/>
      <c r="W56" s="382"/>
      <c r="X56" s="382"/>
      <c r="Y56" s="260"/>
      <c r="Z56" s="260"/>
    </row>
    <row r="57" spans="2:26" ht="60" customHeight="1">
      <c r="B57" s="1110" t="s">
        <v>154</v>
      </c>
      <c r="C57" s="1111"/>
      <c r="D57" s="26"/>
      <c r="E57" s="25"/>
      <c r="F57" s="25"/>
      <c r="G57" s="25"/>
      <c r="H57" s="25"/>
      <c r="I57" s="127"/>
      <c r="J57" s="48">
        <f>_xlfn.CEILING.MATH(J55*J30,J30)</f>
        <v>0.17599999999999999</v>
      </c>
      <c r="K57" s="30" t="s">
        <v>32</v>
      </c>
      <c r="M57" s="382"/>
      <c r="N57" s="382"/>
      <c r="P57" s="382"/>
      <c r="Q57" s="382"/>
      <c r="R57" s="762"/>
      <c r="S57" s="260"/>
      <c r="T57" s="382"/>
      <c r="U57" s="382"/>
      <c r="V57" s="382"/>
      <c r="W57" s="382"/>
      <c r="X57" s="382"/>
      <c r="Y57" s="260"/>
      <c r="Z57" s="260"/>
    </row>
    <row r="58" spans="2:26" ht="16.5" customHeight="1">
      <c r="B58" s="1114" t="s">
        <v>155</v>
      </c>
      <c r="C58" s="1115"/>
      <c r="D58" s="1115"/>
      <c r="E58" s="1115"/>
      <c r="F58" s="1115"/>
      <c r="G58" s="1115"/>
      <c r="H58" s="1115"/>
      <c r="I58" s="1115"/>
      <c r="J58" s="1115"/>
      <c r="K58" s="1116"/>
      <c r="M58" s="382"/>
      <c r="N58" s="382"/>
      <c r="O58" s="382"/>
      <c r="P58" s="382"/>
      <c r="Q58" s="382"/>
      <c r="R58" s="762"/>
      <c r="S58" s="260"/>
      <c r="T58" s="382"/>
      <c r="U58" s="382"/>
      <c r="V58" s="382"/>
      <c r="W58" s="382"/>
      <c r="X58" s="382"/>
      <c r="Y58" s="260"/>
      <c r="Z58" s="260"/>
    </row>
    <row r="59" spans="2:26" ht="60" customHeight="1">
      <c r="B59" s="1110" t="s">
        <v>156</v>
      </c>
      <c r="C59" s="1111"/>
      <c r="D59" s="26"/>
      <c r="E59" s="25"/>
      <c r="F59" s="25"/>
      <c r="G59" s="226"/>
      <c r="I59" s="25"/>
      <c r="J59" s="48">
        <f>ROUNDUP((PI()*((((J40)^2)/4)-((J10^2)/4))/J30)/12,3)</f>
        <v>42.256999999999998</v>
      </c>
      <c r="K59" s="12" t="s">
        <v>75</v>
      </c>
      <c r="M59" s="382"/>
      <c r="N59" s="382"/>
      <c r="O59" s="382"/>
      <c r="P59" s="382"/>
      <c r="Q59" s="382"/>
      <c r="R59" s="762"/>
      <c r="S59" s="260"/>
      <c r="T59" s="382"/>
      <c r="U59" s="382"/>
      <c r="V59" s="382"/>
      <c r="W59" s="382"/>
      <c r="X59" s="382"/>
      <c r="Y59" s="260"/>
      <c r="Z59" s="260"/>
    </row>
    <row r="60" spans="2:26" ht="60" customHeight="1">
      <c r="B60" s="1123" t="s">
        <v>157</v>
      </c>
      <c r="C60" s="1124"/>
      <c r="D60" s="35"/>
      <c r="E60" s="33"/>
      <c r="F60" s="33"/>
      <c r="G60" s="33"/>
      <c r="H60" s="33"/>
      <c r="I60" s="33"/>
      <c r="J60" s="49">
        <f>J59*J56</f>
        <v>253.54199999999997</v>
      </c>
      <c r="K60" s="36" t="s">
        <v>75</v>
      </c>
      <c r="M60" s="382"/>
      <c r="N60" s="382"/>
      <c r="O60" s="382"/>
      <c r="P60" s="382"/>
      <c r="Q60" s="382"/>
      <c r="R60" s="762"/>
      <c r="S60" s="260"/>
      <c r="T60" s="382"/>
      <c r="U60" s="382"/>
      <c r="V60" s="382"/>
      <c r="W60" s="382"/>
      <c r="X60" s="382"/>
      <c r="Y60" s="260"/>
      <c r="Z60" s="260"/>
    </row>
    <row r="61" spans="2:26" ht="16.5" customHeight="1">
      <c r="B61" s="1114" t="s">
        <v>158</v>
      </c>
      <c r="C61" s="1115"/>
      <c r="D61" s="1115"/>
      <c r="E61" s="1115"/>
      <c r="F61" s="1115"/>
      <c r="G61" s="1115"/>
      <c r="H61" s="1115"/>
      <c r="I61" s="1115"/>
      <c r="J61" s="1115"/>
      <c r="K61" s="1116"/>
      <c r="M61" s="382"/>
      <c r="N61" s="382"/>
      <c r="O61" s="382"/>
      <c r="P61" s="382"/>
      <c r="Q61" s="382"/>
      <c r="R61" s="762"/>
      <c r="S61" s="260"/>
      <c r="T61" s="260"/>
      <c r="U61" s="260"/>
      <c r="V61" s="260"/>
      <c r="W61" s="260"/>
      <c r="X61" s="260"/>
      <c r="Y61" s="260"/>
      <c r="Z61" s="260"/>
    </row>
    <row r="62" spans="2:26" ht="60" customHeight="1">
      <c r="B62" s="1110" t="s">
        <v>159</v>
      </c>
      <c r="C62" s="1111"/>
      <c r="D62" s="26"/>
      <c r="E62" s="25"/>
      <c r="F62" s="25"/>
      <c r="G62" s="25"/>
      <c r="H62" s="25"/>
      <c r="I62" s="25"/>
      <c r="J62" s="48" t="str" cm="1">
        <f t="array" aca="1" ref="J62" ca="1">IFERROR(RepairWrapLengthSpiral(J10,J30,J55,J22,J31,J33,1),"-")</f>
        <v>-</v>
      </c>
      <c r="K62" s="12" t="s">
        <v>75</v>
      </c>
      <c r="M62" s="382"/>
      <c r="N62" s="382"/>
      <c r="O62" s="382"/>
      <c r="P62" s="382"/>
      <c r="Q62" s="382"/>
      <c r="R62" s="762"/>
      <c r="S62" s="260"/>
      <c r="T62" s="260"/>
      <c r="U62" s="260"/>
      <c r="V62" s="260"/>
      <c r="W62" s="260"/>
      <c r="X62" s="260"/>
      <c r="Y62" s="260"/>
      <c r="Z62" s="260"/>
    </row>
    <row r="63" spans="2:26" ht="60" customHeight="1">
      <c r="B63" s="1110"/>
      <c r="C63" s="1111"/>
      <c r="D63" s="26"/>
      <c r="E63" s="25"/>
      <c r="F63" s="25"/>
      <c r="G63" s="25"/>
      <c r="H63" s="25"/>
      <c r="I63" s="25"/>
      <c r="J63" s="48"/>
      <c r="K63" s="12"/>
      <c r="M63" s="382"/>
      <c r="N63" s="382"/>
      <c r="O63" s="382"/>
      <c r="P63" s="382"/>
      <c r="Q63" s="382"/>
      <c r="R63" s="762"/>
      <c r="S63" s="260"/>
      <c r="T63" s="260"/>
      <c r="U63" s="260"/>
      <c r="V63" s="260"/>
      <c r="W63" s="260"/>
      <c r="X63" s="260"/>
      <c r="Y63" s="260"/>
      <c r="Z63" s="260"/>
    </row>
    <row r="64" spans="2:26" ht="16.5" customHeight="1">
      <c r="B64" s="1114" t="s">
        <v>160</v>
      </c>
      <c r="C64" s="1115"/>
      <c r="D64" s="1115"/>
      <c r="E64" s="1115"/>
      <c r="F64" s="1115"/>
      <c r="G64" s="1115"/>
      <c r="H64" s="1115"/>
      <c r="I64" s="1115"/>
      <c r="J64" s="1115"/>
      <c r="K64" s="1116"/>
      <c r="M64" s="382"/>
      <c r="N64" s="382"/>
      <c r="O64" s="382"/>
      <c r="P64" s="382"/>
      <c r="Q64" s="382"/>
      <c r="R64" s="762"/>
      <c r="S64" s="260"/>
      <c r="T64" s="260"/>
      <c r="U64" s="260"/>
      <c r="V64" s="260"/>
      <c r="W64" s="260"/>
      <c r="X64" s="260"/>
      <c r="Y64" s="260"/>
      <c r="Z64" s="260"/>
    </row>
    <row r="65" spans="2:26" ht="60" customHeight="1" thickBot="1">
      <c r="B65" s="1110" t="s">
        <v>161</v>
      </c>
      <c r="C65" s="1111"/>
      <c r="D65" s="26"/>
      <c r="E65" s="25"/>
      <c r="F65" s="25"/>
      <c r="G65" s="25"/>
      <c r="H65" s="25"/>
      <c r="I65" s="25"/>
      <c r="J65" s="48" cm="1">
        <f t="array" ref="J65">_xlfn.IFS(J53='OW Variables'!M4,J60,J53='OW Variables'!M5,J60,J53='OW Variables'!M6,J62)</f>
        <v>253.54199999999997</v>
      </c>
      <c r="K65" s="12" t="s">
        <v>75</v>
      </c>
      <c r="M65" s="382"/>
      <c r="N65" s="382"/>
      <c r="O65" s="382"/>
      <c r="P65" s="382"/>
      <c r="Q65" s="382"/>
      <c r="R65" s="762"/>
      <c r="S65" s="260"/>
      <c r="T65" s="260"/>
      <c r="U65" s="260"/>
      <c r="V65" s="260"/>
      <c r="W65" s="260"/>
      <c r="X65" s="260"/>
      <c r="Y65" s="260"/>
      <c r="Z65" s="260"/>
    </row>
    <row r="66" spans="2:26" ht="60" customHeight="1" thickBot="1">
      <c r="B66" s="1110" t="s">
        <v>162</v>
      </c>
      <c r="C66" s="1111"/>
      <c r="D66" s="26"/>
      <c r="E66" s="25"/>
      <c r="F66" s="25"/>
      <c r="G66" s="25"/>
      <c r="H66" s="25"/>
      <c r="I66" s="25"/>
      <c r="J66" s="48">
        <f>J65/J56</f>
        <v>42.256999999999998</v>
      </c>
      <c r="K66" s="12" t="s">
        <v>75</v>
      </c>
      <c r="M66" s="417" t="s">
        <v>117</v>
      </c>
      <c r="N66" s="1106">
        <f>N25</f>
        <v>0</v>
      </c>
      <c r="O66" s="1106"/>
      <c r="P66" s="1106"/>
      <c r="Q66" s="1107"/>
      <c r="R66" s="762"/>
      <c r="S66" s="260"/>
      <c r="T66" s="260"/>
      <c r="U66" s="260"/>
      <c r="V66" s="260"/>
      <c r="W66" s="260"/>
      <c r="X66" s="260"/>
      <c r="Y66" s="260"/>
      <c r="Z66" s="260"/>
    </row>
    <row r="67" spans="2:26" ht="60" customHeight="1">
      <c r="B67" s="1110" t="s">
        <v>163</v>
      </c>
      <c r="C67" s="1111"/>
      <c r="D67" s="26"/>
      <c r="E67" s="25"/>
      <c r="F67" s="25"/>
      <c r="G67" s="25"/>
      <c r="H67" s="25"/>
      <c r="I67" s="25"/>
      <c r="J67" s="48">
        <f>J65</f>
        <v>253.54199999999997</v>
      </c>
      <c r="K67" s="12" t="s">
        <v>140</v>
      </c>
      <c r="M67" s="382"/>
      <c r="N67" s="382"/>
      <c r="O67" s="382"/>
      <c r="P67" s="382"/>
      <c r="Q67" s="382"/>
      <c r="R67" s="762"/>
      <c r="S67" s="260"/>
      <c r="T67" s="260"/>
      <c r="U67" s="260"/>
      <c r="V67" s="260"/>
      <c r="W67" s="260"/>
      <c r="X67" s="260"/>
      <c r="Y67" s="260"/>
      <c r="Z67" s="260"/>
    </row>
    <row r="68" spans="2:26" ht="60" customHeight="1">
      <c r="B68" s="1110" t="s">
        <v>87</v>
      </c>
      <c r="C68" s="1111"/>
      <c r="D68" s="26"/>
      <c r="E68" s="25"/>
      <c r="F68" s="25"/>
      <c r="G68" s="25"/>
      <c r="H68" s="25"/>
      <c r="I68" s="25"/>
      <c r="J68" s="48">
        <f>((((PI()*(J10+0.06))-(PI()*(J10)))*(J52+4))/57.75)</f>
        <v>0.24806341991981135</v>
      </c>
      <c r="K68" s="12" t="s">
        <v>142</v>
      </c>
      <c r="M68" s="382"/>
      <c r="N68" s="382"/>
      <c r="O68" s="382"/>
      <c r="P68" s="382"/>
      <c r="Q68" s="382"/>
      <c r="R68" s="762"/>
      <c r="S68" s="260"/>
      <c r="T68" s="260"/>
      <c r="U68" s="260"/>
      <c r="V68" s="260"/>
      <c r="W68" s="260"/>
      <c r="X68" s="260"/>
      <c r="Y68" s="260"/>
      <c r="Z68" s="260"/>
    </row>
    <row r="69" spans="2:26" ht="60" customHeight="1">
      <c r="B69" s="1110" t="s">
        <v>164</v>
      </c>
      <c r="C69" s="1111"/>
      <c r="D69" s="26"/>
      <c r="E69" s="25"/>
      <c r="F69" s="25"/>
      <c r="G69" s="25"/>
      <c r="H69" s="25"/>
      <c r="I69" s="25"/>
      <c r="J69" s="48">
        <f>(J70/J56)</f>
        <v>1.4085666666666665</v>
      </c>
      <c r="K69" s="12" t="s">
        <v>141</v>
      </c>
      <c r="M69" s="382"/>
      <c r="N69" s="382"/>
      <c r="O69" s="382"/>
      <c r="P69" s="382"/>
      <c r="Q69" s="382"/>
      <c r="R69" s="762"/>
      <c r="S69" s="260"/>
      <c r="T69" s="260"/>
      <c r="U69" s="260"/>
      <c r="V69" s="260"/>
      <c r="W69" s="260"/>
      <c r="X69" s="260"/>
      <c r="Y69" s="260"/>
      <c r="Z69" s="260"/>
    </row>
    <row r="70" spans="2:26" ht="60" customHeight="1">
      <c r="B70" s="1110" t="s">
        <v>165</v>
      </c>
      <c r="C70" s="1111"/>
      <c r="D70" s="26"/>
      <c r="E70" s="25"/>
      <c r="F70" s="25"/>
      <c r="G70" s="25"/>
      <c r="H70" s="25"/>
      <c r="I70" s="25"/>
      <c r="J70" s="48">
        <f>(J67/J32)</f>
        <v>8.4513999999999996</v>
      </c>
      <c r="K70" s="12" t="s">
        <v>142</v>
      </c>
      <c r="M70" s="382"/>
      <c r="N70" s="382"/>
      <c r="O70" s="382"/>
      <c r="P70" s="382"/>
      <c r="Q70" s="382"/>
      <c r="R70" s="762"/>
      <c r="S70" s="260"/>
      <c r="T70" s="260"/>
      <c r="U70" s="260"/>
      <c r="V70" s="260"/>
      <c r="W70" s="260"/>
      <c r="X70" s="260"/>
      <c r="Y70" s="260"/>
      <c r="Z70" s="260"/>
    </row>
    <row r="71" spans="2:26" ht="60" customHeight="1">
      <c r="B71" s="1110" t="s">
        <v>166</v>
      </c>
      <c r="C71" s="1111"/>
      <c r="D71" s="26"/>
      <c r="E71" s="25"/>
      <c r="F71" s="25"/>
      <c r="G71" s="25"/>
      <c r="H71" s="25"/>
      <c r="I71" s="25"/>
      <c r="J71" s="48">
        <f>SUM(((J10*PI())*2)/12)</f>
        <v>10.471975511965978</v>
      </c>
      <c r="K71" s="12" t="s">
        <v>167</v>
      </c>
      <c r="M71" s="382"/>
      <c r="N71" s="382"/>
      <c r="O71" s="382"/>
      <c r="P71" s="382"/>
      <c r="Q71" s="382"/>
      <c r="R71" s="762"/>
      <c r="S71" s="260"/>
      <c r="T71" s="260"/>
      <c r="U71" s="260"/>
      <c r="V71" s="260"/>
      <c r="W71" s="260"/>
      <c r="X71" s="260"/>
      <c r="Y71" s="260"/>
      <c r="Z71" s="260"/>
    </row>
    <row r="72" spans="2:26" ht="60" customHeight="1">
      <c r="B72" s="1112" t="s">
        <v>168</v>
      </c>
      <c r="C72" s="1113"/>
      <c r="D72" s="26"/>
      <c r="E72" s="25"/>
      <c r="F72" s="25"/>
      <c r="G72" s="25"/>
      <c r="H72" s="25"/>
      <c r="I72" s="25"/>
      <c r="J72" s="48">
        <f>J71*((J42/12)+1)</f>
        <v>73.303828583761842</v>
      </c>
      <c r="K72" s="12" t="s">
        <v>169</v>
      </c>
      <c r="M72" s="382"/>
      <c r="N72" s="382"/>
      <c r="O72" s="382"/>
      <c r="P72" s="382"/>
      <c r="Q72" s="382"/>
      <c r="R72" s="762"/>
      <c r="S72" s="260"/>
      <c r="T72" s="260"/>
      <c r="U72" s="260"/>
      <c r="V72" s="260"/>
      <c r="W72" s="260"/>
      <c r="X72" s="260"/>
      <c r="Y72" s="260"/>
      <c r="Z72" s="260"/>
    </row>
    <row r="73" spans="2:26" ht="60" customHeight="1" thickBot="1">
      <c r="B73" s="1112" t="s">
        <v>168</v>
      </c>
      <c r="C73" s="1113"/>
      <c r="D73" s="26"/>
      <c r="E73" s="25"/>
      <c r="F73" s="25"/>
      <c r="G73" s="25"/>
      <c r="H73" s="25"/>
      <c r="I73" s="25"/>
      <c r="J73" s="48">
        <f>ROUNDUP(J72*0.06, 0)</f>
        <v>5</v>
      </c>
      <c r="K73" s="12" t="s">
        <v>142</v>
      </c>
      <c r="M73" s="382"/>
      <c r="N73" s="382"/>
      <c r="O73" s="382"/>
      <c r="P73" s="382"/>
      <c r="Q73" s="382"/>
      <c r="R73" s="762"/>
      <c r="S73" s="260"/>
      <c r="T73" s="260"/>
      <c r="U73" s="260"/>
      <c r="V73" s="260"/>
      <c r="W73" s="260"/>
      <c r="X73" s="260"/>
      <c r="Y73" s="260"/>
      <c r="Z73" s="260"/>
    </row>
    <row r="74" spans="2:26" ht="60" customHeight="1" thickBot="1">
      <c r="B74" s="1108" t="s">
        <v>170</v>
      </c>
      <c r="C74" s="1109"/>
      <c r="D74" s="31"/>
      <c r="E74" s="29"/>
      <c r="F74" s="29"/>
      <c r="G74" s="29"/>
      <c r="H74" s="29"/>
      <c r="I74" s="29"/>
      <c r="J74" s="50">
        <f>(J20*J22*J23)/'OW Variables'!$S$14</f>
        <v>2.3044363636363636</v>
      </c>
      <c r="K74" s="13" t="s">
        <v>86</v>
      </c>
      <c r="M74" s="417" t="s">
        <v>117</v>
      </c>
      <c r="N74" s="1106" t="str">
        <f>N24</f>
        <v>--</v>
      </c>
      <c r="O74" s="1106"/>
      <c r="P74" s="1106"/>
      <c r="Q74" s="1107"/>
      <c r="R74" s="762"/>
      <c r="S74" s="260"/>
      <c r="T74" s="260"/>
      <c r="U74" s="260"/>
      <c r="V74" s="260"/>
      <c r="W74" s="260"/>
      <c r="X74" s="260"/>
      <c r="Y74" s="260"/>
      <c r="Z74" s="260"/>
    </row>
    <row r="75" spans="2:26" ht="60" customHeight="1">
      <c r="M75" s="382"/>
      <c r="N75" s="382"/>
      <c r="O75" s="382"/>
      <c r="P75" s="382"/>
      <c r="Q75" s="382"/>
      <c r="R75" s="762"/>
      <c r="S75" s="260"/>
      <c r="T75" s="260"/>
      <c r="U75" s="260"/>
      <c r="V75" s="260"/>
      <c r="W75" s="260"/>
      <c r="X75" s="260"/>
      <c r="Y75" s="260"/>
      <c r="Z75" s="260"/>
    </row>
    <row r="76" spans="2:26" ht="60" customHeight="1">
      <c r="R76" s="762"/>
      <c r="S76" s="260"/>
      <c r="T76" s="260"/>
      <c r="U76" s="260"/>
      <c r="V76" s="260"/>
      <c r="W76" s="260"/>
      <c r="X76" s="260"/>
      <c r="Y76" s="260"/>
      <c r="Z76" s="260"/>
    </row>
    <row r="77" spans="2:26">
      <c r="M77" s="382"/>
      <c r="N77" s="382"/>
      <c r="O77" s="382"/>
      <c r="P77" s="382"/>
      <c r="Q77" s="382"/>
      <c r="R77" s="762"/>
      <c r="S77" s="260"/>
      <c r="T77" s="260"/>
      <c r="U77" s="260"/>
      <c r="V77" s="260"/>
      <c r="W77" s="260"/>
      <c r="X77" s="260"/>
      <c r="Y77" s="260"/>
      <c r="Z77" s="260"/>
    </row>
    <row r="78" spans="2:26">
      <c r="M78" s="382"/>
      <c r="N78" s="382"/>
      <c r="O78" s="382"/>
      <c r="P78" s="382"/>
      <c r="Q78" s="382"/>
      <c r="R78" s="382"/>
      <c r="S78" s="382"/>
      <c r="T78" s="382"/>
      <c r="U78" s="382"/>
      <c r="V78" s="382"/>
      <c r="W78" s="382"/>
      <c r="X78" s="382"/>
      <c r="Y78" s="382"/>
      <c r="Z78" s="382"/>
    </row>
    <row r="79" spans="2:26">
      <c r="M79" s="382"/>
      <c r="N79" s="382"/>
      <c r="O79" s="382"/>
      <c r="P79" s="382"/>
      <c r="Q79" s="382"/>
      <c r="R79" s="382"/>
      <c r="S79" s="382"/>
      <c r="T79" s="382"/>
      <c r="U79" s="382"/>
      <c r="V79" s="382"/>
      <c r="W79" s="382"/>
      <c r="X79" s="382"/>
      <c r="Y79" s="382"/>
      <c r="Z79" s="382"/>
    </row>
    <row r="80" spans="2:26">
      <c r="M80" s="382"/>
      <c r="N80" s="382"/>
      <c r="O80" s="382"/>
      <c r="P80" s="382"/>
      <c r="Q80" s="382"/>
      <c r="R80" s="382"/>
      <c r="S80" s="382"/>
      <c r="T80" s="382"/>
      <c r="U80" s="382"/>
      <c r="V80" s="382"/>
      <c r="W80" s="382"/>
      <c r="X80" s="382"/>
      <c r="Y80" s="382"/>
      <c r="Z80" s="382"/>
    </row>
    <row r="81" spans="13:26">
      <c r="M81" s="382"/>
      <c r="N81" s="382"/>
      <c r="O81" s="382"/>
      <c r="P81" s="382"/>
      <c r="Q81" s="382"/>
      <c r="R81" s="382"/>
      <c r="S81" s="382"/>
      <c r="T81" s="382"/>
      <c r="U81" s="382"/>
      <c r="V81" s="382"/>
      <c r="W81" s="382"/>
      <c r="X81" s="382"/>
      <c r="Y81" s="382"/>
      <c r="Z81" s="382"/>
    </row>
    <row r="82" spans="13:26">
      <c r="M82" s="382"/>
      <c r="N82" s="382"/>
      <c r="O82" s="382"/>
      <c r="P82" s="382"/>
      <c r="Q82" s="382"/>
      <c r="R82" s="382"/>
      <c r="S82" s="382"/>
      <c r="T82" s="382"/>
      <c r="U82" s="382"/>
      <c r="V82" s="382"/>
      <c r="W82" s="382"/>
      <c r="X82" s="382"/>
      <c r="Y82" s="382"/>
      <c r="Z82" s="382"/>
    </row>
    <row r="83" spans="13:26">
      <c r="R83" s="382"/>
      <c r="S83" s="382"/>
      <c r="T83" s="382"/>
      <c r="U83" s="382"/>
      <c r="V83" s="382"/>
      <c r="W83" s="382"/>
      <c r="X83" s="382"/>
      <c r="Y83" s="382"/>
      <c r="Z83" s="382"/>
    </row>
    <row r="84" spans="13:26">
      <c r="R84" s="382"/>
      <c r="S84" s="382"/>
      <c r="T84" s="382"/>
      <c r="U84" s="382"/>
      <c r="V84" s="382"/>
      <c r="W84" s="382"/>
      <c r="X84" s="382"/>
      <c r="Y84" s="382"/>
      <c r="Z84" s="382"/>
    </row>
    <row r="85" spans="13:26">
      <c r="R85" s="382"/>
      <c r="S85" s="382"/>
      <c r="T85" s="382"/>
      <c r="U85" s="382"/>
      <c r="V85" s="382"/>
      <c r="W85" s="382"/>
      <c r="X85" s="382"/>
      <c r="Y85" s="382"/>
      <c r="Z85" s="382"/>
    </row>
    <row r="86" spans="13:26">
      <c r="R86" s="382"/>
      <c r="S86" s="382"/>
      <c r="T86" s="382"/>
      <c r="U86" s="382"/>
      <c r="V86" s="382"/>
      <c r="W86" s="382"/>
      <c r="X86" s="382"/>
      <c r="Y86" s="382"/>
      <c r="Z86" s="382"/>
    </row>
    <row r="87" spans="13:26">
      <c r="R87" s="382"/>
      <c r="S87" s="382"/>
      <c r="T87" s="382"/>
      <c r="U87" s="382"/>
      <c r="V87" s="382"/>
      <c r="W87" s="382"/>
      <c r="X87" s="382"/>
      <c r="Y87" s="382"/>
      <c r="Z87" s="382"/>
    </row>
    <row r="88" spans="13:26">
      <c r="R88" s="382"/>
      <c r="S88" s="382"/>
      <c r="T88" s="382"/>
      <c r="U88" s="382"/>
      <c r="V88" s="382"/>
      <c r="W88" s="382"/>
      <c r="X88" s="382"/>
      <c r="Y88" s="382"/>
      <c r="Z88" s="382"/>
    </row>
    <row r="89" spans="13:26">
      <c r="R89" s="382"/>
      <c r="S89" s="382"/>
      <c r="T89" s="382"/>
      <c r="U89" s="382"/>
      <c r="V89" s="382"/>
      <c r="W89" s="382"/>
      <c r="X89" s="382"/>
      <c r="Y89" s="382"/>
      <c r="Z89" s="382"/>
    </row>
    <row r="90" spans="13:26">
      <c r="R90" s="382"/>
      <c r="S90" s="382"/>
      <c r="T90" s="382"/>
      <c r="U90" s="382"/>
      <c r="V90" s="382"/>
      <c r="W90" s="382"/>
      <c r="X90" s="382"/>
      <c r="Y90" s="382"/>
      <c r="Z90" s="382"/>
    </row>
    <row r="91" spans="13:26">
      <c r="R91" s="382"/>
      <c r="S91" s="382"/>
      <c r="T91" s="382"/>
      <c r="U91" s="382"/>
      <c r="V91" s="382"/>
      <c r="W91" s="382"/>
      <c r="X91" s="382"/>
      <c r="Y91" s="382"/>
      <c r="Z91" s="382"/>
    </row>
    <row r="92" spans="13:26">
      <c r="R92" s="382"/>
      <c r="S92" s="382"/>
      <c r="T92" s="382"/>
      <c r="U92" s="382"/>
      <c r="V92" s="382"/>
      <c r="W92" s="382"/>
      <c r="X92" s="382"/>
      <c r="Y92" s="382"/>
      <c r="Z92" s="382"/>
    </row>
    <row r="93" spans="13:26">
      <c r="R93" s="382"/>
      <c r="S93" s="382"/>
      <c r="T93" s="382"/>
      <c r="U93" s="382"/>
      <c r="V93" s="382"/>
      <c r="W93" s="382"/>
      <c r="X93" s="382"/>
      <c r="Y93" s="382"/>
      <c r="Z93" s="382"/>
    </row>
    <row r="94" spans="13:26">
      <c r="R94" s="382"/>
      <c r="S94" s="382"/>
      <c r="T94" s="382"/>
      <c r="U94" s="382"/>
      <c r="V94" s="382"/>
      <c r="W94" s="382"/>
      <c r="X94" s="382"/>
      <c r="Y94" s="382"/>
      <c r="Z94" s="382"/>
    </row>
    <row r="95" spans="13:26">
      <c r="R95" s="382"/>
      <c r="S95" s="382"/>
      <c r="T95" s="382"/>
      <c r="U95" s="382"/>
      <c r="V95" s="382"/>
      <c r="W95" s="382"/>
      <c r="X95" s="382"/>
      <c r="Y95" s="382"/>
      <c r="Z95" s="382"/>
    </row>
    <row r="96" spans="13:26">
      <c r="R96" s="382"/>
      <c r="S96" s="382"/>
      <c r="T96" s="382"/>
      <c r="U96" s="382"/>
      <c r="V96" s="382"/>
      <c r="W96" s="382"/>
      <c r="X96" s="382"/>
      <c r="Y96" s="382"/>
      <c r="Z96" s="382"/>
    </row>
    <row r="97" spans="18:26">
      <c r="R97" s="382"/>
      <c r="S97" s="382"/>
      <c r="T97" s="382"/>
      <c r="U97" s="382"/>
      <c r="V97" s="382"/>
      <c r="W97" s="382"/>
      <c r="X97" s="382"/>
      <c r="Y97" s="382"/>
      <c r="Z97" s="382"/>
    </row>
  </sheetData>
  <sheetProtection selectLockedCells="1" selectUnlockedCells="1"/>
  <mergeCells count="97">
    <mergeCell ref="B51:C51"/>
    <mergeCell ref="B33:C33"/>
    <mergeCell ref="B34:C34"/>
    <mergeCell ref="B43:C43"/>
    <mergeCell ref="B42:C42"/>
    <mergeCell ref="B37:K37"/>
    <mergeCell ref="B36:C36"/>
    <mergeCell ref="B38:C38"/>
    <mergeCell ref="F38:I38"/>
    <mergeCell ref="B39:C39"/>
    <mergeCell ref="B41:C41"/>
    <mergeCell ref="B40:C40"/>
    <mergeCell ref="B35:C35"/>
    <mergeCell ref="B46:C46"/>
    <mergeCell ref="B32:C32"/>
    <mergeCell ref="B2:K2"/>
    <mergeCell ref="B3:K3"/>
    <mergeCell ref="B4:K5"/>
    <mergeCell ref="B8:K8"/>
    <mergeCell ref="B15:C15"/>
    <mergeCell ref="B10:C10"/>
    <mergeCell ref="B11:C11"/>
    <mergeCell ref="B12:C12"/>
    <mergeCell ref="B13:C13"/>
    <mergeCell ref="B14:C14"/>
    <mergeCell ref="B9:C9"/>
    <mergeCell ref="B6:K7"/>
    <mergeCell ref="B24:C24"/>
    <mergeCell ref="N13:Q13"/>
    <mergeCell ref="N14:Q14"/>
    <mergeCell ref="N15:Q15"/>
    <mergeCell ref="N16:Q16"/>
    <mergeCell ref="B16:C16"/>
    <mergeCell ref="M8:Q8"/>
    <mergeCell ref="N9:Q9"/>
    <mergeCell ref="N10:Q10"/>
    <mergeCell ref="N11:Q11"/>
    <mergeCell ref="N12:Q12"/>
    <mergeCell ref="N20:Q20"/>
    <mergeCell ref="N19:Q19"/>
    <mergeCell ref="N21:Q23"/>
    <mergeCell ref="B18:C18"/>
    <mergeCell ref="B17:C17"/>
    <mergeCell ref="B20:C20"/>
    <mergeCell ref="B22:C22"/>
    <mergeCell ref="M21:M23"/>
    <mergeCell ref="B23:C23"/>
    <mergeCell ref="N17:Q17"/>
    <mergeCell ref="N18:Q18"/>
    <mergeCell ref="B19:C19"/>
    <mergeCell ref="B21:C21"/>
    <mergeCell ref="N30:Q30"/>
    <mergeCell ref="B27:C27"/>
    <mergeCell ref="B30:C30"/>
    <mergeCell ref="N31:Q31"/>
    <mergeCell ref="M26:Q26"/>
    <mergeCell ref="N29:Q29"/>
    <mergeCell ref="N27:Q27"/>
    <mergeCell ref="N28:Q28"/>
    <mergeCell ref="B31:C31"/>
    <mergeCell ref="B28:C28"/>
    <mergeCell ref="B29:C29"/>
    <mergeCell ref="N24:Q24"/>
    <mergeCell ref="B25:C25"/>
    <mergeCell ref="B26:C26"/>
    <mergeCell ref="N44:Q44"/>
    <mergeCell ref="B64:K64"/>
    <mergeCell ref="B44:C44"/>
    <mergeCell ref="B45:C45"/>
    <mergeCell ref="B60:C60"/>
    <mergeCell ref="E49:H49"/>
    <mergeCell ref="B50:C50"/>
    <mergeCell ref="B48:K48"/>
    <mergeCell ref="B47:C47"/>
    <mergeCell ref="B52:C52"/>
    <mergeCell ref="B55:C55"/>
    <mergeCell ref="B53:C53"/>
    <mergeCell ref="B54:K54"/>
    <mergeCell ref="B56:C56"/>
    <mergeCell ref="B63:C63"/>
    <mergeCell ref="B71:C71"/>
    <mergeCell ref="B72:C72"/>
    <mergeCell ref="B73:C73"/>
    <mergeCell ref="B65:C65"/>
    <mergeCell ref="B57:C57"/>
    <mergeCell ref="B62:C62"/>
    <mergeCell ref="B59:C59"/>
    <mergeCell ref="B58:K58"/>
    <mergeCell ref="B61:K61"/>
    <mergeCell ref="N66:Q66"/>
    <mergeCell ref="N74:Q74"/>
    <mergeCell ref="B74:C74"/>
    <mergeCell ref="B70:C70"/>
    <mergeCell ref="B69:C69"/>
    <mergeCell ref="B68:C68"/>
    <mergeCell ref="B67:C67"/>
    <mergeCell ref="B66:C66"/>
  </mergeCells>
  <pageMargins left="0.25" right="0.25" top="1" bottom="0.75" header="0.25" footer="0.3"/>
  <pageSetup scale="60" fitToHeight="3" orientation="portrait" r:id="rId1"/>
  <headerFooter alignWithMargins="0">
    <oddHeader xml:space="preserve">&amp;L&amp;G&amp;R&amp;"-,Bold"&amp;16OmegaWrap®&amp;14
&amp;"-,Regular" (832) 947-4488
www.omegawrap.com </oddHeader>
    <oddFooter>&amp;L&amp;16Calculator Version &amp;F&amp;R&amp;16Page &amp;P of &amp;N</oddFooter>
  </headerFooter>
  <drawing r:id="rId2"/>
  <legacyDrawing r:id="rId3"/>
  <legacyDrawingHF r:id="rId4"/>
  <controls>
    <mc:AlternateContent xmlns:mc="http://schemas.openxmlformats.org/markup-compatibility/2006">
      <mc:Choice Requires="x14">
        <control shapeId="2056" r:id="rId5" name="ExportSingle">
          <controlPr defaultSize="0" print="0" autoLine="0" autoPict="0" r:id="rId6">
            <anchor moveWithCells="1">
              <from>
                <xdr:col>11</xdr:col>
                <xdr:colOff>600075</xdr:colOff>
                <xdr:row>1</xdr:row>
                <xdr:rowOff>409575</xdr:rowOff>
              </from>
              <to>
                <xdr:col>17</xdr:col>
                <xdr:colOff>0</xdr:colOff>
                <xdr:row>5</xdr:row>
                <xdr:rowOff>57150</xdr:rowOff>
              </to>
            </anchor>
          </controlPr>
        </control>
      </mc:Choice>
      <mc:Fallback>
        <control shapeId="2056" r:id="rId5" name="ExportSingl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0F1A0-BDD7-4BA5-8D83-E2C0D3D6081B}">
  <sheetPr codeName="Sheet04">
    <tabColor theme="5" tint="-0.249977111117893"/>
    <pageSetUpPr fitToPage="1"/>
  </sheetPr>
  <dimension ref="A1:T67"/>
  <sheetViews>
    <sheetView showRuler="0" zoomScaleNormal="100" zoomScaleSheetLayoutView="85" zoomScalePageLayoutView="85" workbookViewId="0">
      <selection activeCell="D9" sqref="D9"/>
    </sheetView>
  </sheetViews>
  <sheetFormatPr defaultColWidth="2" defaultRowHeight="15"/>
  <cols>
    <col min="1" max="1" width="4" customWidth="1"/>
    <col min="2" max="2" width="26.85546875" customWidth="1"/>
    <col min="3" max="3" width="27.5703125" bestFit="1" customWidth="1"/>
    <col min="4" max="4" width="17.42578125" bestFit="1" customWidth="1"/>
    <col min="5" max="5" width="18" customWidth="1"/>
    <col min="6" max="6" width="7" customWidth="1"/>
    <col min="7" max="7" width="11.5703125" customWidth="1"/>
    <col min="8" max="8" width="39.28515625" bestFit="1" customWidth="1"/>
    <col min="9" max="9" width="7" customWidth="1"/>
    <col min="10" max="10" width="13.140625" bestFit="1" customWidth="1"/>
    <col min="11" max="11" width="22" customWidth="1"/>
    <col min="12" max="12" width="12" customWidth="1"/>
    <col min="13" max="13" width="18.85546875" customWidth="1"/>
    <col min="14" max="14" width="13.28515625" customWidth="1"/>
    <col min="15" max="15" width="5.5703125" customWidth="1"/>
    <col min="16" max="16" width="10.5703125" customWidth="1"/>
    <col min="17" max="17" width="8.7109375" customWidth="1"/>
    <col min="18" max="18" width="10.5703125" customWidth="1"/>
    <col min="19" max="19" width="12" customWidth="1"/>
    <col min="20" max="20" width="10.5703125" customWidth="1"/>
    <col min="21" max="21" width="15.7109375" customWidth="1"/>
    <col min="22" max="22" width="15.5703125" customWidth="1"/>
  </cols>
  <sheetData>
    <row r="1" spans="1:20" ht="26.25">
      <c r="A1" s="122"/>
      <c r="B1" s="123" t="s">
        <v>171</v>
      </c>
      <c r="C1" s="123"/>
      <c r="D1" s="123"/>
      <c r="E1" s="123"/>
      <c r="F1" s="124" t="s">
        <v>4</v>
      </c>
      <c r="G1" s="125" t="str">
        <f>'Mechanical Calculations'!N24</f>
        <v>--</v>
      </c>
      <c r="H1" s="123"/>
      <c r="I1" s="123"/>
      <c r="J1" s="126"/>
    </row>
    <row r="2" spans="1:20" ht="18" customHeight="1">
      <c r="A2" s="1179" t="s">
        <v>28</v>
      </c>
      <c r="B2" s="1180"/>
      <c r="C2" s="1180"/>
      <c r="D2" s="1180"/>
      <c r="E2" s="1180"/>
      <c r="F2" s="1180"/>
      <c r="G2" s="1180"/>
      <c r="H2" s="1180"/>
      <c r="I2" s="1180"/>
      <c r="J2" s="1181"/>
    </row>
    <row r="3" spans="1:20" ht="12.4" customHeight="1">
      <c r="A3" s="1025" t="s">
        <v>29</v>
      </c>
      <c r="B3" s="1025"/>
      <c r="C3" s="1025"/>
      <c r="D3" s="1025"/>
      <c r="E3" s="1025"/>
      <c r="F3" s="1025"/>
      <c r="G3" s="1025"/>
      <c r="H3" s="1025"/>
      <c r="I3" s="1025"/>
      <c r="J3" s="1025"/>
    </row>
    <row r="4" spans="1:20" ht="19.5" customHeight="1">
      <c r="A4" s="1041" t="s">
        <v>30</v>
      </c>
      <c r="B4" s="1035"/>
      <c r="C4" s="1035"/>
      <c r="D4" s="19"/>
      <c r="E4" s="386">
        <v>30</v>
      </c>
      <c r="F4" s="21" t="str">
        <f>IF(G5="Imperial", "in","mm")</f>
        <v>in</v>
      </c>
      <c r="G4" s="390" t="s">
        <v>43</v>
      </c>
      <c r="H4" s="93">
        <f>IF(G5="Imperial", S4*25.4,S4)</f>
        <v>762</v>
      </c>
      <c r="I4" s="86" t="str">
        <f>IF(G5="Imperial", "mm","in")</f>
        <v>mm</v>
      </c>
      <c r="J4" s="18"/>
      <c r="S4" s="387">
        <f>IF(G5="Imperial", E4,E4/25.4)</f>
        <v>30</v>
      </c>
      <c r="T4" t="s">
        <v>32</v>
      </c>
    </row>
    <row r="5" spans="1:20" ht="19.5" customHeight="1">
      <c r="A5" s="1027" t="s">
        <v>33</v>
      </c>
      <c r="B5" s="1028"/>
      <c r="C5" s="1028"/>
      <c r="D5" s="19"/>
      <c r="E5" s="386">
        <v>0.375</v>
      </c>
      <c r="F5" s="21" t="s">
        <v>32</v>
      </c>
      <c r="G5" s="386" t="s">
        <v>35</v>
      </c>
      <c r="H5" s="93">
        <f>IF(G5="Imperial", S5*25.4,S5)</f>
        <v>9.5249999999999986</v>
      </c>
      <c r="I5" s="86" t="str">
        <f>IF(G5="Imperial", "mm","in")</f>
        <v>mm</v>
      </c>
      <c r="J5" s="18"/>
      <c r="P5" s="260" t="s">
        <v>35</v>
      </c>
      <c r="S5" s="391">
        <f>IF(G5="Imperial", E5,E5/25.4)</f>
        <v>0.375</v>
      </c>
      <c r="T5" t="s">
        <v>32</v>
      </c>
    </row>
    <row r="6" spans="1:20" ht="19.5" customHeight="1">
      <c r="A6" s="1027" t="s">
        <v>36</v>
      </c>
      <c r="B6" s="1028"/>
      <c r="C6" s="1028"/>
      <c r="D6" s="19"/>
      <c r="E6" s="386">
        <v>80</v>
      </c>
      <c r="F6" s="21" t="str">
        <f>IF(G5="Imperial", "°F","°C")</f>
        <v>°F</v>
      </c>
      <c r="G6" s="1069" t="str">
        <f>'Mechanical Calculations'!N28</f>
        <v/>
      </c>
      <c r="H6" s="72">
        <f>IF(G5="Imperial",'Mechanical Calculations'!G19,S6)</f>
        <v>26.666666666666668</v>
      </c>
      <c r="I6" s="86" t="str">
        <f>IF(G5="Imperial", "°C","°F")</f>
        <v>°C</v>
      </c>
      <c r="J6" s="18"/>
      <c r="L6" s="328"/>
      <c r="P6" s="260" t="s">
        <v>38</v>
      </c>
      <c r="S6" s="388">
        <f>IF(G5="Imperial", E6,(E6*9/5)+32)</f>
        <v>80</v>
      </c>
      <c r="T6" t="s">
        <v>39</v>
      </c>
    </row>
    <row r="7" spans="1:20" ht="19.5" customHeight="1">
      <c r="A7" s="1027" t="s">
        <v>41</v>
      </c>
      <c r="B7" s="1028"/>
      <c r="C7" s="1028"/>
      <c r="D7" s="19"/>
      <c r="E7" s="20" t="s">
        <v>172</v>
      </c>
      <c r="F7" s="21"/>
      <c r="G7" s="1069"/>
      <c r="H7" s="22"/>
      <c r="I7" s="22"/>
      <c r="J7" s="18"/>
    </row>
    <row r="8" spans="1:20" ht="19.5" customHeight="1">
      <c r="A8" s="1027" t="s">
        <v>44</v>
      </c>
      <c r="B8" s="1028"/>
      <c r="C8" s="1028"/>
      <c r="D8" s="19"/>
      <c r="E8" s="58">
        <f>'Mechanical Calculations'!J13</f>
        <v>52200</v>
      </c>
      <c r="F8" s="21" t="s">
        <v>45</v>
      </c>
      <c r="G8" s="1069"/>
      <c r="H8" s="87"/>
      <c r="I8" s="103" t="s">
        <v>31</v>
      </c>
      <c r="J8" s="18"/>
    </row>
    <row r="9" spans="1:20" ht="19.5" customHeight="1">
      <c r="A9" s="1027" t="s">
        <v>47</v>
      </c>
      <c r="B9" s="1028"/>
      <c r="C9" s="1028"/>
      <c r="D9" s="19"/>
      <c r="E9" s="58">
        <f>'Mechanical Calculations'!J14</f>
        <v>66700</v>
      </c>
      <c r="F9" s="21" t="s">
        <v>45</v>
      </c>
      <c r="G9" s="1069"/>
      <c r="H9" s="87"/>
      <c r="I9" s="1097" t="s">
        <v>34</v>
      </c>
      <c r="J9" s="1182"/>
    </row>
    <row r="10" spans="1:20" ht="19.5" customHeight="1">
      <c r="A10" s="1027" t="s">
        <v>48</v>
      </c>
      <c r="B10" s="1028"/>
      <c r="C10" s="1028"/>
      <c r="D10" s="19"/>
      <c r="E10" s="20">
        <v>72</v>
      </c>
      <c r="F10" s="21" t="s">
        <v>49</v>
      </c>
      <c r="G10" s="1069"/>
      <c r="H10" s="87"/>
      <c r="I10" s="1099" t="s">
        <v>37</v>
      </c>
      <c r="J10" s="1186"/>
    </row>
    <row r="11" spans="1:20" ht="19.5" customHeight="1">
      <c r="A11" s="1027" t="s">
        <v>50</v>
      </c>
      <c r="B11" s="1028"/>
      <c r="C11" s="1028"/>
      <c r="D11" s="19"/>
      <c r="E11" s="58">
        <f>'Mechanical Calculations'!J16</f>
        <v>940</v>
      </c>
      <c r="F11" s="21" t="s">
        <v>45</v>
      </c>
      <c r="G11" s="83"/>
      <c r="H11" s="83"/>
      <c r="I11" s="83"/>
      <c r="J11" s="18"/>
    </row>
    <row r="12" spans="1:20" ht="12.4" customHeight="1">
      <c r="A12" s="1025" t="s">
        <v>51</v>
      </c>
      <c r="B12" s="1025"/>
      <c r="C12" s="1025"/>
      <c r="D12" s="1025"/>
      <c r="E12" s="1025"/>
      <c r="F12" s="1025"/>
      <c r="G12" s="1025"/>
      <c r="H12" s="1025"/>
      <c r="I12" s="1025"/>
      <c r="J12" s="1025"/>
    </row>
    <row r="13" spans="1:20" ht="19.5" customHeight="1">
      <c r="A13" s="1041" t="s">
        <v>112</v>
      </c>
      <c r="B13" s="1035"/>
      <c r="C13" s="1035"/>
      <c r="D13" s="19"/>
      <c r="E13" s="386">
        <v>0.19</v>
      </c>
      <c r="F13" s="21" t="s">
        <v>32</v>
      </c>
      <c r="G13" s="1183" t="str">
        <f>'Mechanical Calculations'!N29</f>
        <v/>
      </c>
      <c r="H13" s="93">
        <f>IF(G5="Imperial",'Mechanical Calculations'!G20,S13)</f>
        <v>4.8259999999999996</v>
      </c>
      <c r="I13" s="86" t="str">
        <f>IF(G5="Imperial", "mm","in")</f>
        <v>mm</v>
      </c>
      <c r="J13" s="18"/>
      <c r="S13" s="389">
        <f>IF(G5="Imperial", E13,E13/25.4)</f>
        <v>0.19</v>
      </c>
      <c r="T13" t="s">
        <v>32</v>
      </c>
    </row>
    <row r="14" spans="1:20" ht="19.5" customHeight="1">
      <c r="A14" s="1027" t="s">
        <v>173</v>
      </c>
      <c r="B14" s="1028"/>
      <c r="C14" s="1028"/>
      <c r="D14" s="19"/>
      <c r="E14" s="216">
        <f>'Mechanical Calculations'!J21</f>
        <v>0.6</v>
      </c>
      <c r="F14" s="21" t="s">
        <v>49</v>
      </c>
      <c r="G14" s="1069"/>
      <c r="H14" s="93"/>
      <c r="I14" s="86"/>
      <c r="J14" s="18"/>
    </row>
    <row r="15" spans="1:20" ht="19.5" customHeight="1">
      <c r="A15" s="1027" t="s">
        <v>115</v>
      </c>
      <c r="B15" s="1028"/>
      <c r="C15" s="1028"/>
      <c r="D15" s="19"/>
      <c r="E15" s="386">
        <v>12</v>
      </c>
      <c r="F15" s="21" t="s">
        <v>32</v>
      </c>
      <c r="G15" s="1069"/>
      <c r="H15" s="93">
        <f>IF(G5="Imperial",'Mechanical Calculations'!G22,S15)</f>
        <v>304.79999999999995</v>
      </c>
      <c r="I15" s="86" t="str">
        <f>IF(G5="Imperial", "mm","in")</f>
        <v>mm</v>
      </c>
      <c r="J15" s="18"/>
      <c r="S15" s="387">
        <f>IF(G5="Imperial", E15,E15/25.4)</f>
        <v>12</v>
      </c>
      <c r="T15" t="s">
        <v>32</v>
      </c>
    </row>
    <row r="16" spans="1:20" ht="19.5" customHeight="1">
      <c r="A16" s="1065" t="s">
        <v>116</v>
      </c>
      <c r="B16" s="1066"/>
      <c r="C16" s="1066"/>
      <c r="D16" s="19"/>
      <c r="E16" s="386">
        <v>5</v>
      </c>
      <c r="F16" s="21" t="s">
        <v>32</v>
      </c>
      <c r="G16" s="1071"/>
      <c r="H16" s="93">
        <f>IF(G5="Imperial",'Mechanical Calculations'!G23,S16)</f>
        <v>127</v>
      </c>
      <c r="I16" s="86" t="str">
        <f>IF(G5="Imperial", "mm","in")</f>
        <v>mm</v>
      </c>
      <c r="J16" s="18"/>
      <c r="S16" s="387">
        <f>IF(G5="Imperial", E16,E16/25.4)</f>
        <v>5</v>
      </c>
      <c r="T16" t="s">
        <v>32</v>
      </c>
    </row>
    <row r="17" spans="1:11" ht="12.4" customHeight="1">
      <c r="A17" s="1025" t="s">
        <v>61</v>
      </c>
      <c r="B17" s="1025"/>
      <c r="C17" s="1025"/>
      <c r="D17" s="1025"/>
      <c r="E17" s="1025"/>
      <c r="F17" s="1025"/>
      <c r="G17" s="1089"/>
      <c r="H17" s="1025"/>
      <c r="I17" s="1025"/>
      <c r="J17" s="1025"/>
    </row>
    <row r="18" spans="1:11" ht="19.5" customHeight="1">
      <c r="A18" s="1027" t="s">
        <v>63</v>
      </c>
      <c r="B18" s="1028"/>
      <c r="C18" s="1028"/>
      <c r="D18" s="19"/>
      <c r="E18" s="20" t="s">
        <v>64</v>
      </c>
      <c r="F18" s="21"/>
      <c r="G18" s="24"/>
      <c r="H18" s="22"/>
      <c r="I18" s="24"/>
      <c r="J18" s="18"/>
    </row>
    <row r="19" spans="1:11" ht="19.5" customHeight="1">
      <c r="A19" s="1027" t="s">
        <v>65</v>
      </c>
      <c r="B19" s="1028"/>
      <c r="C19" s="1028"/>
      <c r="D19" s="19"/>
      <c r="E19" s="58">
        <f>'Mechanical Calculations'!J27</f>
        <v>56483</v>
      </c>
      <c r="F19" s="21" t="s">
        <v>45</v>
      </c>
      <c r="G19" s="22"/>
      <c r="H19" s="22"/>
      <c r="I19" s="24"/>
      <c r="J19" s="18"/>
    </row>
    <row r="20" spans="1:11" ht="19.5" customHeight="1">
      <c r="A20" s="1027" t="s">
        <v>67</v>
      </c>
      <c r="B20" s="1028"/>
      <c r="C20" s="1028"/>
      <c r="D20" s="19"/>
      <c r="E20" s="20">
        <v>0.5</v>
      </c>
      <c r="F20" s="86"/>
      <c r="G20" s="86" t="str">
        <f>'Mechanical Calculations'!J33</f>
        <v>Factor applicable if using 1 000-h Data</v>
      </c>
      <c r="H20" s="21"/>
      <c r="I20" s="24"/>
      <c r="J20" s="18"/>
    </row>
    <row r="21" spans="1:11" ht="18" customHeight="1">
      <c r="A21" s="1084" t="s">
        <v>69</v>
      </c>
      <c r="B21" s="1085"/>
      <c r="C21" s="1085"/>
      <c r="D21" s="1085"/>
      <c r="E21" s="1085"/>
      <c r="F21" s="1085"/>
      <c r="G21" s="1085"/>
      <c r="H21" s="1085"/>
      <c r="I21" s="1085"/>
      <c r="J21" s="1086"/>
    </row>
    <row r="22" spans="1:11" ht="12.2" customHeight="1">
      <c r="A22" s="1025" t="s">
        <v>70</v>
      </c>
      <c r="B22" s="1025"/>
      <c r="C22" s="1025"/>
      <c r="D22" s="1025"/>
      <c r="E22" s="1025"/>
      <c r="F22" s="1025"/>
      <c r="G22" s="1025"/>
      <c r="H22" s="1025"/>
      <c r="I22" s="1025"/>
      <c r="J22" s="1025"/>
    </row>
    <row r="23" spans="1:11" ht="17.25" customHeight="1">
      <c r="A23" s="1027" t="s">
        <v>71</v>
      </c>
      <c r="B23" s="1076"/>
      <c r="C23" s="96">
        <f>'Mechanical Calculations'!J36</f>
        <v>26</v>
      </c>
      <c r="D23" s="176" t="str">
        <f>'Mechanical Calculations'!N30</f>
        <v/>
      </c>
      <c r="E23" s="176"/>
      <c r="F23" s="176"/>
      <c r="G23" s="97"/>
      <c r="H23" s="87"/>
      <c r="I23" s="98"/>
      <c r="J23" s="99"/>
      <c r="K23" s="302"/>
    </row>
    <row r="24" spans="1:11" ht="17.25" customHeight="1">
      <c r="A24" s="1027" t="s">
        <v>72</v>
      </c>
      <c r="B24" s="1076"/>
      <c r="C24" s="100">
        <f>'Mechanical Calculations'!J37</f>
        <v>0.57199999999999995</v>
      </c>
      <c r="D24" s="21" t="s">
        <v>32</v>
      </c>
      <c r="E24" s="93">
        <f>'Mechanical Calculations'!H37</f>
        <v>14.528799999999999</v>
      </c>
      <c r="F24" s="21" t="s">
        <v>73</v>
      </c>
      <c r="G24" s="21"/>
      <c r="H24" s="87"/>
      <c r="I24" s="93"/>
      <c r="J24" s="23"/>
      <c r="K24" s="302"/>
    </row>
    <row r="25" spans="1:11" ht="17.25" customHeight="1">
      <c r="A25" s="1027" t="s">
        <v>74</v>
      </c>
      <c r="B25" s="1076"/>
      <c r="C25" s="215">
        <f>'Mechanical Calculations'!J39</f>
        <v>208.09800000000001</v>
      </c>
      <c r="D25" s="21" t="s">
        <v>75</v>
      </c>
      <c r="E25" s="93">
        <f>'Mechanical Calculations'!H39</f>
        <v>63.428270400000009</v>
      </c>
      <c r="F25" s="24" t="s">
        <v>76</v>
      </c>
      <c r="G25" s="95"/>
      <c r="H25" s="87"/>
      <c r="I25" s="93"/>
      <c r="J25" s="40"/>
      <c r="K25" s="302"/>
    </row>
    <row r="26" spans="1:11" ht="17.25" customHeight="1">
      <c r="A26" s="1027" t="s">
        <v>77</v>
      </c>
      <c r="B26" s="1076"/>
      <c r="C26" s="101">
        <f>'Mechanical Calculations'!J40</f>
        <v>24</v>
      </c>
      <c r="D26" s="21" t="s">
        <v>32</v>
      </c>
      <c r="E26" s="93">
        <f>'Mechanical Calculations'!H40</f>
        <v>609.59999999999991</v>
      </c>
      <c r="F26" s="21" t="s">
        <v>73</v>
      </c>
      <c r="G26" s="1184"/>
      <c r="H26" s="1184"/>
      <c r="I26" s="1184"/>
      <c r="J26" s="1185"/>
      <c r="K26" s="302"/>
    </row>
    <row r="27" spans="1:11" ht="17.25" customHeight="1">
      <c r="A27" s="1027" t="s">
        <v>78</v>
      </c>
      <c r="B27" s="1076"/>
      <c r="C27" s="215">
        <f>'Mechanical Calculations'!J41</f>
        <v>416.19600000000003</v>
      </c>
      <c r="D27" s="21" t="s">
        <v>79</v>
      </c>
      <c r="E27" s="93">
        <f>'Mechanical Calculations'!H41</f>
        <v>38.665856988000002</v>
      </c>
      <c r="F27" s="21" t="s">
        <v>80</v>
      </c>
      <c r="G27" s="223"/>
      <c r="H27" s="223"/>
      <c r="I27" s="223"/>
      <c r="J27" s="102"/>
      <c r="K27" s="302"/>
    </row>
    <row r="28" spans="1:11" ht="17.25" customHeight="1">
      <c r="A28" s="1027" t="s">
        <v>81</v>
      </c>
      <c r="B28" s="1076"/>
      <c r="C28" s="228">
        <f>'Mechanical Calculations'!J42</f>
        <v>6.9399999999999995</v>
      </c>
      <c r="D28" s="21" t="s">
        <v>141</v>
      </c>
      <c r="E28" s="93">
        <f>'Mechanical Calculations'!H42</f>
        <v>6.5644652831999997</v>
      </c>
      <c r="F28" s="24" t="s">
        <v>82</v>
      </c>
      <c r="G28" s="223"/>
      <c r="H28" s="223"/>
      <c r="I28" s="223"/>
      <c r="J28" s="102"/>
      <c r="K28" s="302"/>
    </row>
    <row r="29" spans="1:11" ht="17.25" customHeight="1">
      <c r="A29" s="1027" t="s">
        <v>83</v>
      </c>
      <c r="B29" s="1076"/>
      <c r="C29" s="228">
        <f>'Mechanical Calculations'!J43</f>
        <v>13.879999999999999</v>
      </c>
      <c r="D29" s="21" t="s">
        <v>142</v>
      </c>
      <c r="E29" s="93">
        <f>'Mechanical Calculations'!H43</f>
        <v>13.128930566399999</v>
      </c>
      <c r="F29" s="24" t="s">
        <v>84</v>
      </c>
      <c r="G29" s="223"/>
      <c r="H29" s="223"/>
      <c r="I29" s="223"/>
      <c r="J29" s="102"/>
      <c r="K29" s="302"/>
    </row>
    <row r="30" spans="1:11" ht="17.25" customHeight="1">
      <c r="A30" s="1027" t="s">
        <v>85</v>
      </c>
      <c r="B30" s="1076"/>
      <c r="C30" s="228">
        <f>'Mechanical Calculations'!J45</f>
        <v>0.39480519480519488</v>
      </c>
      <c r="D30" s="21" t="s">
        <v>86</v>
      </c>
      <c r="E30" s="93">
        <f>'Mechanical Calculations'!H45</f>
        <v>0.18681234285714288</v>
      </c>
      <c r="F30" s="24" t="s">
        <v>84</v>
      </c>
      <c r="G30" s="223"/>
      <c r="H30" s="223"/>
      <c r="I30" s="223"/>
      <c r="J30" s="102"/>
      <c r="K30" s="302"/>
    </row>
    <row r="31" spans="1:11" ht="17.25" customHeight="1">
      <c r="A31" s="1027" t="s">
        <v>87</v>
      </c>
      <c r="B31" s="1076"/>
      <c r="C31" s="229">
        <f>'Mechanical Calculations'!J66</f>
        <v>3.8079910952602047E-2</v>
      </c>
      <c r="D31" s="381" t="str">
        <f>'Corrosion Calculations'!K68</f>
        <v>Qt</v>
      </c>
      <c r="E31" s="93">
        <f>'Mechanical Calculations'!H44</f>
        <v>1.8018499944908426E-2</v>
      </c>
      <c r="F31" s="24" t="s">
        <v>84</v>
      </c>
      <c r="G31" s="223"/>
      <c r="H31" s="223"/>
      <c r="I31" s="223"/>
      <c r="J31" s="102"/>
      <c r="K31" s="302"/>
    </row>
    <row r="32" spans="1:11" ht="17.25" customHeight="1">
      <c r="A32" s="1027" t="s">
        <v>88</v>
      </c>
      <c r="B32" s="1076"/>
      <c r="C32" s="1175" t="str">
        <f>'Mechanical Calculations'!J46</f>
        <v>Layer over Layer</v>
      </c>
      <c r="D32" s="1176"/>
      <c r="E32" s="1177" t="s">
        <v>89</v>
      </c>
      <c r="F32" s="1177"/>
      <c r="G32" s="223"/>
      <c r="H32" s="223"/>
      <c r="I32" s="223"/>
      <c r="J32" s="102"/>
      <c r="K32" s="302"/>
    </row>
    <row r="33" spans="1:10" ht="15.75">
      <c r="A33" s="1178" t="s">
        <v>90</v>
      </c>
      <c r="B33" s="1178"/>
      <c r="C33" s="446" t="s">
        <v>91</v>
      </c>
      <c r="D33" s="1178" t="s">
        <v>90</v>
      </c>
      <c r="E33" s="1178"/>
      <c r="F33" s="446" t="s">
        <v>91</v>
      </c>
      <c r="G33" s="224"/>
      <c r="H33" s="224"/>
      <c r="I33" s="224"/>
      <c r="J33" s="225"/>
    </row>
    <row r="34" spans="1:10">
      <c r="A34" s="1174" t="str" cm="1">
        <f t="array" ref="A34">IFERROR(IF(MechCarbonPrice!$B$4=1,INDEX('BOM calc'!Q:Q,ROW(A1)+2),""),"")</f>
        <v/>
      </c>
      <c r="B34" s="1174"/>
      <c r="C34" s="436" t="str" cm="1">
        <f t="array" ref="C34">IFERROR(IF(MechCarbonPrice!$B$4=1,INDEX('BOM calc'!R:R,ROW(A1)+2),""),"")</f>
        <v/>
      </c>
      <c r="D34" s="1187" t="str" cm="1">
        <f t="array" ref="D34">IFERROR(IF(MechCarbonPrice!$B$4=1,INDEX('BOM calc'!Q:Q,ROW(A1)+11),""),"")</f>
        <v/>
      </c>
      <c r="E34" s="1187"/>
      <c r="F34" s="447" t="str" cm="1">
        <f t="array" ref="F34">IFERROR(IF(MechCarbonPrice!$B$4=1,INDEX('BOM calc'!R:R,ROW(A1)+11),""),"")</f>
        <v/>
      </c>
      <c r="G34" s="223"/>
      <c r="H34" s="223"/>
      <c r="I34" s="223"/>
      <c r="J34" s="102"/>
    </row>
    <row r="35" spans="1:10">
      <c r="A35" s="1174" t="str" cm="1">
        <f t="array" ref="A35">IFERROR(IF(MechCarbonPrice!$B$4=1,INDEX('BOM calc'!Q:Q,ROW(A2)+2),""),"")</f>
        <v/>
      </c>
      <c r="B35" s="1174"/>
      <c r="C35" s="436" t="str" cm="1">
        <f t="array" ref="C35">IFERROR(IF(MechCarbonPrice!$B$4=1,INDEX('BOM calc'!R:R,ROW(A2)+2),""),"")</f>
        <v/>
      </c>
      <c r="D35" s="1187" t="str" cm="1">
        <f t="array" ref="D35">IFERROR(IF(MechCarbonPrice!$B$4=1,INDEX('BOM calc'!Q:Q,ROW(A2)+11),""),"")</f>
        <v/>
      </c>
      <c r="E35" s="1187"/>
      <c r="F35" s="448" t="str" cm="1">
        <f t="array" ref="F35">IFERROR(IF(MechCarbonPrice!$B$4=1,INDEX('BOM calc'!R:R,ROW(A2)+11),""),"")</f>
        <v/>
      </c>
      <c r="G35" s="223"/>
      <c r="H35" s="223"/>
      <c r="I35" s="223"/>
      <c r="J35" s="102"/>
    </row>
    <row r="36" spans="1:10">
      <c r="A36" s="1174" t="str" cm="1">
        <f t="array" ref="A36">IFERROR(IF(MechCarbonPrice!$B$4=1,INDEX('BOM calc'!Q:Q,ROW(A3)+2),""),"")</f>
        <v/>
      </c>
      <c r="B36" s="1174"/>
      <c r="C36" s="436" t="str" cm="1">
        <f t="array" ref="C36">IFERROR(IF(MechCarbonPrice!$B$4=1,INDEX('BOM calc'!R:R,ROW(A3)+2),""),"")</f>
        <v/>
      </c>
      <c r="D36" s="1187" t="str" cm="1">
        <f t="array" ref="D36">IFERROR(IF(MechCarbonPrice!$B$4=1,INDEX('BOM calc'!Q:Q,ROW(A3)+11),""),"")</f>
        <v/>
      </c>
      <c r="E36" s="1187"/>
      <c r="F36" s="448" t="str" cm="1">
        <f t="array" ref="F36">IFERROR(IF(MechCarbonPrice!$B$4=1,INDEX('BOM calc'!R:R,ROW(A3)+11),""),"")</f>
        <v/>
      </c>
      <c r="G36" s="223"/>
      <c r="H36" s="223"/>
      <c r="I36" s="223"/>
      <c r="J36" s="102"/>
    </row>
    <row r="37" spans="1:10">
      <c r="A37" s="1174" t="str" cm="1">
        <f t="array" ref="A37">IFERROR(IF(MechCarbonPrice!$B$4=1,INDEX('BOM calc'!Q:Q,ROW(A4)+2),""),"")</f>
        <v/>
      </c>
      <c r="B37" s="1174"/>
      <c r="C37" s="436" t="str" cm="1">
        <f t="array" ref="C37">IFERROR(IF(MechCarbonPrice!$B$4=1,INDEX('BOM calc'!R:R,ROW(A4)+2),""),"")</f>
        <v/>
      </c>
      <c r="D37" s="1187" t="str" cm="1">
        <f t="array" ref="D37">IFERROR(IF(MechCarbonPrice!$B$4=1,INDEX('BOM calc'!Q:Q,ROW(A4)+11),""),"")</f>
        <v/>
      </c>
      <c r="E37" s="1187"/>
      <c r="F37" s="448" t="str" cm="1">
        <f t="array" ref="F37">IFERROR(IF(MechCarbonPrice!$B$4=1,INDEX('BOM calc'!R:R,ROW(A4)+11),""),"")</f>
        <v/>
      </c>
      <c r="G37" s="223"/>
      <c r="H37" s="223"/>
      <c r="I37" s="223"/>
      <c r="J37" s="102"/>
    </row>
    <row r="38" spans="1:10">
      <c r="A38" s="1174" t="str" cm="1">
        <f t="array" ref="A38">IFERROR(IF(MechCarbonPrice!$B$4=1,INDEX('BOM calc'!Q:Q,ROW(A5)+2),""),"")</f>
        <v/>
      </c>
      <c r="B38" s="1174"/>
      <c r="C38" s="436" t="str" cm="1">
        <f t="array" ref="C38">IFERROR(IF(MechCarbonPrice!$B$4=1,INDEX('BOM calc'!R:R,ROW(A5)+2),""),"")</f>
        <v/>
      </c>
      <c r="D38" s="1187" t="str" cm="1">
        <f t="array" ref="D38">IFERROR(IF(MechCarbonPrice!$B$4=1,INDEX('BOM calc'!Q:Q,ROW(A5)+11),""),"")</f>
        <v/>
      </c>
      <c r="E38" s="1187"/>
      <c r="F38" s="448" t="str" cm="1">
        <f t="array" ref="F38">IFERROR(IF(MechCarbonPrice!$B$4=1,INDEX('BOM calc'!R:R,ROW(A5)+11),""),"")</f>
        <v/>
      </c>
      <c r="G38" s="223"/>
      <c r="H38" s="223"/>
      <c r="I38" s="223"/>
      <c r="J38" s="102"/>
    </row>
    <row r="39" spans="1:10">
      <c r="A39" s="1174" t="str" cm="1">
        <f t="array" ref="A39">IFERROR(IF(MechCarbonPrice!$B$4=1,INDEX('BOM calc'!Q:Q,ROW(A6)+2),""),"")</f>
        <v/>
      </c>
      <c r="B39" s="1174"/>
      <c r="C39" s="436" t="str" cm="1">
        <f t="array" ref="C39">IFERROR(IF(MechCarbonPrice!$B$4=1,INDEX('BOM calc'!R:R,ROW(A6)+2),""),"")</f>
        <v/>
      </c>
      <c r="D39" s="1187" t="str" cm="1">
        <f t="array" ref="D39">IFERROR(IF(MechCarbonPrice!$B$4=1,INDEX('BOM calc'!Q:Q,ROW(A6)+11),""),"")</f>
        <v/>
      </c>
      <c r="E39" s="1187"/>
      <c r="F39" s="448" t="str" cm="1">
        <f t="array" ref="F39">IFERROR(IF(MechCarbonPrice!$B$4=1,INDEX('BOM calc'!R:R,ROW(A6)+11),""),"")</f>
        <v/>
      </c>
      <c r="G39" s="223"/>
      <c r="H39" s="223"/>
      <c r="I39" s="223"/>
      <c r="J39" s="102"/>
    </row>
    <row r="40" spans="1:10">
      <c r="A40" s="1174" t="str" cm="1">
        <f t="array" ref="A40">IFERROR(IF(MechCarbonPrice!$B$4=1,INDEX('BOM calc'!Q:Q,ROW(A7)+2),""),"")</f>
        <v/>
      </c>
      <c r="B40" s="1174"/>
      <c r="C40" s="436" t="str" cm="1">
        <f t="array" ref="C40">IFERROR(IF(MechCarbonPrice!$B$4=1,INDEX('BOM calc'!R:R,ROW(A7)+2),""),"")</f>
        <v/>
      </c>
      <c r="D40" s="1187" t="str" cm="1">
        <f t="array" ref="D40">IFERROR(IF(MechCarbonPrice!$B$4=1,INDEX('BOM calc'!Q:Q,ROW(A7)+11),""),"")</f>
        <v/>
      </c>
      <c r="E40" s="1187"/>
      <c r="F40" s="448" t="str" cm="1">
        <f t="array" ref="F40">IFERROR(IF(MechCarbonPrice!$B$4=1,INDEX('BOM calc'!R:R,ROW(A7)+11),""),"")</f>
        <v/>
      </c>
      <c r="G40" s="223"/>
      <c r="H40" s="223"/>
      <c r="I40" s="223"/>
      <c r="J40" s="102"/>
    </row>
    <row r="41" spans="1:10">
      <c r="A41" s="1174" t="str" cm="1">
        <f t="array" ref="A41">IFERROR(IF(MechCarbonPrice!$B$4=1,INDEX('BOM calc'!Q:Q,ROW(A8)+2),""),"")</f>
        <v/>
      </c>
      <c r="B41" s="1174"/>
      <c r="C41" s="436" t="str" cm="1">
        <f t="array" ref="C41">IFERROR(IF(MechCarbonPrice!$B$4=1,INDEX('BOM calc'!R:R,ROW(A8)+2),""),"")</f>
        <v/>
      </c>
      <c r="D41" s="1187" t="str" cm="1">
        <f t="array" ref="D41">IFERROR(IF(MechCarbonPrice!$B$4=1,INDEX('BOM calc'!Q:Q,ROW(A8)+11),""),"")</f>
        <v/>
      </c>
      <c r="E41" s="1187"/>
      <c r="F41" s="448" t="str" cm="1">
        <f t="array" ref="F41">IFERROR(IF(MechCarbonPrice!$B$4=1,INDEX('BOM calc'!R:R,ROW(A8)+11),""),"")</f>
        <v/>
      </c>
      <c r="G41" s="223"/>
      <c r="H41" s="223"/>
      <c r="I41" s="223"/>
      <c r="J41" s="102"/>
    </row>
    <row r="42" spans="1:10">
      <c r="A42" s="1174" t="str" cm="1">
        <f t="array" ref="A42">IFERROR(IF(MechCarbonPrice!$B$4=1,INDEX('BOM calc'!Q:Q,ROW(A9)+2),""),"")</f>
        <v/>
      </c>
      <c r="B42" s="1174"/>
      <c r="C42" s="436" t="str" cm="1">
        <f t="array" ref="C42">IFERROR(IF(MechCarbonPrice!$B$4=1,INDEX('BOM calc'!R:R,ROW(A9)+2),""),"")</f>
        <v/>
      </c>
      <c r="D42" s="1187" t="str" cm="1">
        <f t="array" ref="D42">IFERROR(IF(MechCarbonPrice!$B$4=1,INDEX('BOM calc'!Q:Q,ROW(A9)+11),""),"")</f>
        <v/>
      </c>
      <c r="E42" s="1187"/>
      <c r="F42" s="448" t="str" cm="1">
        <f t="array" ref="F42">IFERROR(IF(MechCarbonPrice!$B$4=1,INDEX('BOM calc'!R:R,ROW(A9)+11),""),"")</f>
        <v/>
      </c>
      <c r="G42" s="223"/>
      <c r="H42" s="223"/>
      <c r="I42" s="223"/>
      <c r="J42" s="102"/>
    </row>
    <row r="43" spans="1:10">
      <c r="A43" s="1174" t="str" cm="1">
        <f t="array" ref="A43">IFERROR(IF(MechCarbonPrice!$B$4=1,INDEX('BOM calc'!Q:Q,ROW(A10)+2),""),"")</f>
        <v/>
      </c>
      <c r="B43" s="1174"/>
      <c r="C43" s="445" t="str" cm="1">
        <f t="array" ref="C43">IFERROR(IF(MechCarbonPrice!$B$4=1,INDEX('BOM calc'!R:R,ROW(A10)+2),""),"")</f>
        <v/>
      </c>
      <c r="D43" s="1187" t="str" cm="1">
        <f t="array" ref="D43">IFERROR(IF(MechCarbonPrice!$B$4=1,INDEX('BOM calc'!Q:Q,ROW(A10)+11),""),"")</f>
        <v/>
      </c>
      <c r="E43" s="1187"/>
      <c r="F43" s="449" t="str" cm="1">
        <f t="array" ref="F43">IFERROR(IF(MechCarbonPrice!$B$4=1,INDEX('BOM calc'!R:R,ROW(A10)+11),""),"")</f>
        <v/>
      </c>
      <c r="G43" s="221"/>
      <c r="H43" s="221"/>
      <c r="I43" s="221"/>
      <c r="J43" s="189"/>
    </row>
    <row r="51" spans="6:18" ht="32.25" customHeight="1"/>
    <row r="64" spans="6:18" ht="15.75">
      <c r="F64" s="273"/>
      <c r="G64" s="288"/>
      <c r="H64" s="260"/>
      <c r="I64" s="260"/>
      <c r="J64" s="260"/>
      <c r="K64" s="260"/>
      <c r="L64" s="260"/>
      <c r="R64" s="260"/>
    </row>
    <row r="65" spans="6:18">
      <c r="F65" s="268"/>
      <c r="H65" s="260"/>
      <c r="I65" s="260"/>
      <c r="J65" s="260"/>
      <c r="K65" s="260"/>
      <c r="L65" s="260"/>
      <c r="M65" s="262"/>
      <c r="N65" s="262"/>
      <c r="O65" s="262"/>
      <c r="P65" s="262"/>
      <c r="Q65" s="262"/>
      <c r="R65" s="260"/>
    </row>
    <row r="66" spans="6:18">
      <c r="F66" s="268"/>
      <c r="H66" s="260"/>
      <c r="I66" s="260"/>
      <c r="J66" s="260"/>
      <c r="K66" s="260"/>
      <c r="L66" s="260"/>
      <c r="M66" s="262"/>
      <c r="N66" s="262"/>
      <c r="O66" s="262"/>
      <c r="P66" s="262"/>
      <c r="Q66" s="262"/>
      <c r="R66" s="260"/>
    </row>
    <row r="67" spans="6:18">
      <c r="F67" s="268"/>
      <c r="H67" s="260"/>
      <c r="I67" s="260"/>
      <c r="J67" s="260"/>
      <c r="K67" s="260"/>
      <c r="L67" s="260"/>
      <c r="M67" s="260"/>
      <c r="N67" s="260"/>
      <c r="O67" s="260"/>
      <c r="P67" s="260"/>
      <c r="Q67" s="260"/>
      <c r="R67" s="260"/>
    </row>
  </sheetData>
  <sheetProtection selectLockedCells="1"/>
  <mergeCells count="60">
    <mergeCell ref="D43:E43"/>
    <mergeCell ref="D38:E38"/>
    <mergeCell ref="D39:E39"/>
    <mergeCell ref="D40:E40"/>
    <mergeCell ref="D41:E41"/>
    <mergeCell ref="D42:E42"/>
    <mergeCell ref="D33:E33"/>
    <mergeCell ref="D34:E34"/>
    <mergeCell ref="D35:E35"/>
    <mergeCell ref="D36:E36"/>
    <mergeCell ref="D37:E37"/>
    <mergeCell ref="A18:C18"/>
    <mergeCell ref="A19:C19"/>
    <mergeCell ref="A20:C20"/>
    <mergeCell ref="A21:J21"/>
    <mergeCell ref="I10:J10"/>
    <mergeCell ref="A11:C11"/>
    <mergeCell ref="A12:J12"/>
    <mergeCell ref="A13:C13"/>
    <mergeCell ref="A15:C15"/>
    <mergeCell ref="A10:C10"/>
    <mergeCell ref="G6:G10"/>
    <mergeCell ref="A33:B33"/>
    <mergeCell ref="A2:J2"/>
    <mergeCell ref="A3:J3"/>
    <mergeCell ref="A4:C4"/>
    <mergeCell ref="A5:C5"/>
    <mergeCell ref="A6:C6"/>
    <mergeCell ref="A7:C7"/>
    <mergeCell ref="A8:C8"/>
    <mergeCell ref="A9:C9"/>
    <mergeCell ref="I9:J9"/>
    <mergeCell ref="A16:C16"/>
    <mergeCell ref="G13:G16"/>
    <mergeCell ref="G26:J26"/>
    <mergeCell ref="A14:C14"/>
    <mergeCell ref="A22:J22"/>
    <mergeCell ref="A17:J17"/>
    <mergeCell ref="C32:D32"/>
    <mergeCell ref="E32:F32"/>
    <mergeCell ref="A28:B28"/>
    <mergeCell ref="A29:B29"/>
    <mergeCell ref="A30:B30"/>
    <mergeCell ref="A32:B32"/>
    <mergeCell ref="A31:B31"/>
    <mergeCell ref="A23:B23"/>
    <mergeCell ref="A24:B24"/>
    <mergeCell ref="A25:B25"/>
    <mergeCell ref="A26:B26"/>
    <mergeCell ref="A27:B27"/>
    <mergeCell ref="A34:B34"/>
    <mergeCell ref="A35:B35"/>
    <mergeCell ref="A36:B36"/>
    <mergeCell ref="A37:B37"/>
    <mergeCell ref="A38:B38"/>
    <mergeCell ref="A39:B39"/>
    <mergeCell ref="A40:B40"/>
    <mergeCell ref="A41:B41"/>
    <mergeCell ref="A42:B42"/>
    <mergeCell ref="A43:B43"/>
  </mergeCells>
  <phoneticPr fontId="21" type="noConversion"/>
  <conditionalFormatting sqref="C33">
    <cfRule type="containsBlanks" dxfId="4" priority="2">
      <formula>LEN(TRIM(C33))=0</formula>
    </cfRule>
  </conditionalFormatting>
  <conditionalFormatting sqref="F33">
    <cfRule type="containsBlanks" dxfId="3" priority="1">
      <formula>LEN(TRIM(F33))=0</formula>
    </cfRule>
  </conditionalFormatting>
  <dataValidations count="2">
    <dataValidation type="decimal" operator="greaterThan" allowBlank="1" showInputMessage="1" showErrorMessage="1" sqref="S6 S16 S13" xr:uid="{5184489E-B409-4CCF-85CE-461FE1CA2BDE}">
      <formula1>0</formula1>
    </dataValidation>
    <dataValidation type="list" allowBlank="1" showInputMessage="1" showErrorMessage="1" sqref="G5" xr:uid="{1B8A1223-4E61-4D05-9106-72F55507BE21}">
      <formula1>$P$5:$P$6</formula1>
    </dataValidation>
  </dataValidations>
  <printOptions horizontalCentered="1"/>
  <pageMargins left="0.25" right="0.25" top="1" bottom="0.75" header="0.25" footer="0.3"/>
  <pageSetup scale="34" orientation="portrait" r:id="rId1"/>
  <headerFooter alignWithMargins="0">
    <oddHeader xml:space="preserve">&amp;L&amp;G&amp;R&amp;"-,Bold"&amp;KFA7D00OmegaWrap®
&amp;"-,Regular"&amp;10&amp;K01+000 (832) 947-4488
www.omegawrap.com </oddHeader>
    <oddFooter>&amp;L&amp;9Calculator Version &amp;F&amp;R&amp;9Page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593" r:id="rId5" name="Control 1753">
              <controlPr defaultSize="0" print="0" uiObject="1" autoLine="0" autoPict="0">
                <anchor moveWithCells="1" sizeWithCells="1">
                  <from>
                    <xdr:col>4</xdr:col>
                    <xdr:colOff>0</xdr:colOff>
                    <xdr:row>25</xdr:row>
                    <xdr:rowOff>0</xdr:rowOff>
                  </from>
                  <to>
                    <xdr:col>5</xdr:col>
                    <xdr:colOff>0</xdr:colOff>
                    <xdr:row>26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EA2FD72-EB3D-41E3-BB0E-6F789997DD87}">
          <x14:formula1>
            <xm:f>'OW Variables'!$T$4:$T$6</xm:f>
          </x14:formula1>
          <xm:sqref>E18</xm:sqref>
        </x14:dataValidation>
        <x14:dataValidation type="list" allowBlank="1" showInputMessage="1" showErrorMessage="1" xr:uid="{3F69C0E5-E733-4ACF-9669-932E00D1BDCF}">
          <x14:formula1>
            <xm:f>'OW Variables'!$O$4:$O$5</xm:f>
          </x14:formula1>
          <xm:sqref>E20</xm:sqref>
        </x14:dataValidation>
        <x14:dataValidation type="list" allowBlank="1" showInputMessage="1" showErrorMessage="1" prompt="24000(unknown)" xr:uid="{C08B68BF-E14E-41A3-8797-DEF2E35ACD4A}">
          <x14:formula1>
            <xm:f>'OW Variables'!$B$4:$B$14</xm:f>
          </x14:formula1>
          <xm:sqref>E7</xm:sqref>
        </x14:dataValidation>
        <x14:dataValidation type="list" allowBlank="1" showInputMessage="1" showErrorMessage="1" xr:uid="{3105E8B5-F310-41A8-8A4C-582561D6846E}">
          <x14:formula1>
            <xm:f>'OW Variables'!$M$4:$M$6</xm:f>
          </x14:formula1>
          <xm:sqref>E32:F32</xm:sqref>
        </x14:dataValidation>
        <x14:dataValidation type="list" allowBlank="1" showInputMessage="1" showErrorMessage="1" prompt="40 class 4,_x000a_50 class 3,_x000a_60 class 2,_x000a_72 class 1 (normal),_x000a_80 class 1 - special case" xr:uid="{C44DA326-8815-49ED-9635-A2B15850268C}">
          <x14:formula1>
            <xm:f>'OW Variables'!$AD$4:$AD$8</xm:f>
          </x14:formula1>
          <xm:sqref>E10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D59FC-25E2-4FF7-98CE-781E98C17F94}">
  <sheetPr codeName="Sheet05">
    <tabColor theme="5" tint="-0.249977111117893"/>
  </sheetPr>
  <dimension ref="B1:Q74"/>
  <sheetViews>
    <sheetView showGridLines="0" showRuler="0" zoomScaleNormal="100" workbookViewId="0">
      <selection activeCell="J50" sqref="J50"/>
    </sheetView>
  </sheetViews>
  <sheetFormatPr defaultRowHeight="15"/>
  <cols>
    <col min="3" max="3" width="12" bestFit="1" customWidth="1"/>
    <col min="4" max="4" width="9.28515625" bestFit="1" customWidth="1"/>
    <col min="8" max="8" width="11.42578125" bestFit="1" customWidth="1"/>
    <col min="10" max="10" width="9.42578125" customWidth="1"/>
    <col min="13" max="13" width="11.28515625" customWidth="1"/>
  </cols>
  <sheetData>
    <row r="1" spans="2:17" ht="15.75" thickBot="1"/>
    <row r="2" spans="2:17" ht="36">
      <c r="B2" s="1194" t="s">
        <v>174</v>
      </c>
      <c r="C2" s="1195"/>
      <c r="D2" s="1195"/>
      <c r="E2" s="1195"/>
      <c r="F2" s="1195"/>
      <c r="G2" s="1195"/>
      <c r="H2" s="1195"/>
      <c r="I2" s="1195"/>
      <c r="J2" s="1195"/>
      <c r="K2" s="1196"/>
    </row>
    <row r="3" spans="2:17">
      <c r="B3" s="1158" t="s">
        <v>93</v>
      </c>
      <c r="C3" s="1159"/>
      <c r="D3" s="1159"/>
      <c r="E3" s="1159"/>
      <c r="F3" s="1159"/>
      <c r="G3" s="1159"/>
      <c r="H3" s="1159"/>
      <c r="I3" s="1159"/>
      <c r="J3" s="1159"/>
      <c r="K3" s="1160"/>
    </row>
    <row r="4" spans="2:17" ht="15" customHeight="1">
      <c r="B4" s="1161" t="s">
        <v>94</v>
      </c>
      <c r="C4" s="1162"/>
      <c r="D4" s="1162"/>
      <c r="E4" s="1162"/>
      <c r="F4" s="1162"/>
      <c r="G4" s="1162"/>
      <c r="H4" s="1162"/>
      <c r="I4" s="1162"/>
      <c r="J4" s="1162"/>
      <c r="K4" s="1163"/>
    </row>
    <row r="5" spans="2:17">
      <c r="B5" s="1161"/>
      <c r="C5" s="1162"/>
      <c r="D5" s="1162"/>
      <c r="E5" s="1162"/>
      <c r="F5" s="1162"/>
      <c r="G5" s="1162"/>
      <c r="H5" s="1162"/>
      <c r="I5" s="1162"/>
      <c r="J5" s="1162"/>
      <c r="K5" s="1163"/>
    </row>
    <row r="6" spans="2:17" ht="15.75" customHeight="1">
      <c r="B6" s="1167" t="s">
        <v>95</v>
      </c>
      <c r="C6" s="1168"/>
      <c r="D6" s="1168"/>
      <c r="E6" s="1168"/>
      <c r="F6" s="1168"/>
      <c r="G6" s="1168"/>
      <c r="H6" s="1168"/>
      <c r="I6" s="1168"/>
      <c r="J6" s="1168"/>
      <c r="K6" s="1169"/>
    </row>
    <row r="7" spans="2:17" ht="15.75" thickBot="1">
      <c r="B7" s="1170"/>
      <c r="C7" s="1171"/>
      <c r="D7" s="1171"/>
      <c r="E7" s="1171"/>
      <c r="F7" s="1171"/>
      <c r="G7" s="1171"/>
      <c r="H7" s="1171"/>
      <c r="I7" s="1171"/>
      <c r="J7" s="1171"/>
      <c r="K7" s="1172"/>
    </row>
    <row r="8" spans="2:17" ht="15.75">
      <c r="B8" s="1126" t="s">
        <v>96</v>
      </c>
      <c r="C8" s="1127"/>
      <c r="D8" s="1127"/>
      <c r="E8" s="1127"/>
      <c r="F8" s="1127"/>
      <c r="G8" s="1127"/>
      <c r="H8" s="1127"/>
      <c r="I8" s="1127"/>
      <c r="J8" s="1127"/>
      <c r="K8" s="1128"/>
      <c r="M8" s="1126" t="s">
        <v>97</v>
      </c>
      <c r="N8" s="1127"/>
      <c r="O8" s="1127"/>
      <c r="P8" s="1127"/>
      <c r="Q8" s="1128"/>
    </row>
    <row r="9" spans="2:17" ht="15.75" thickBot="1">
      <c r="B9" s="1166" t="s">
        <v>98</v>
      </c>
      <c r="C9" s="1141"/>
      <c r="D9" s="45"/>
      <c r="E9" s="27" t="s">
        <v>99</v>
      </c>
      <c r="F9" s="45"/>
      <c r="G9" s="45"/>
      <c r="H9" s="45"/>
      <c r="I9" s="27" t="s">
        <v>100</v>
      </c>
      <c r="J9" s="27" t="s">
        <v>101</v>
      </c>
      <c r="K9" s="28" t="s">
        <v>102</v>
      </c>
      <c r="M9" s="91" t="s">
        <v>3</v>
      </c>
      <c r="N9" s="1145" t="str">
        <f>IF(ISBLANK(Main!C3),"",Main!C3)</f>
        <v/>
      </c>
      <c r="O9" s="1145"/>
      <c r="P9" s="1145"/>
      <c r="Q9" s="1146"/>
    </row>
    <row r="10" spans="2:17" ht="27" customHeight="1">
      <c r="B10" s="1164" t="s">
        <v>30</v>
      </c>
      <c r="C10" s="1165"/>
      <c r="D10" s="41"/>
      <c r="E10" s="42"/>
      <c r="F10" s="41"/>
      <c r="G10" s="70">
        <f>J10*'OW Variables'!$S$5</f>
        <v>762</v>
      </c>
      <c r="H10" s="69" t="s">
        <v>73</v>
      </c>
      <c r="I10" s="41"/>
      <c r="J10" s="43">
        <f>Mechanical!S4</f>
        <v>30</v>
      </c>
      <c r="K10" s="44" t="s">
        <v>32</v>
      </c>
      <c r="M10" s="92" t="s">
        <v>11</v>
      </c>
      <c r="N10" s="1145" t="str">
        <f>IF(ISBLANK(Main!C4),"",Main!C4)</f>
        <v/>
      </c>
      <c r="O10" s="1145"/>
      <c r="P10" s="1145"/>
      <c r="Q10" s="1146"/>
    </row>
    <row r="11" spans="2:17" ht="27" customHeight="1">
      <c r="B11" s="1110" t="s">
        <v>33</v>
      </c>
      <c r="C11" s="1111"/>
      <c r="D11" s="25"/>
      <c r="E11" s="1"/>
      <c r="F11" s="25"/>
      <c r="G11" s="71">
        <f>J11*'OW Variables'!$S$5</f>
        <v>9.5249999999999986</v>
      </c>
      <c r="H11" s="26" t="s">
        <v>73</v>
      </c>
      <c r="I11" s="25"/>
      <c r="J11" s="37">
        <f>Mechanical!S5</f>
        <v>0.375</v>
      </c>
      <c r="K11" s="12" t="s">
        <v>32</v>
      </c>
      <c r="M11" s="92" t="s">
        <v>2</v>
      </c>
      <c r="N11" s="1147" t="str">
        <f>IF(ISBLANK(Main!H4),"",Main!H4)</f>
        <v/>
      </c>
      <c r="O11" s="1148"/>
      <c r="P11" s="1148"/>
      <c r="Q11" s="1149"/>
    </row>
    <row r="12" spans="2:17" ht="27" customHeight="1">
      <c r="B12" s="1110" t="s">
        <v>41</v>
      </c>
      <c r="C12" s="1111"/>
      <c r="D12" s="25"/>
      <c r="E12" s="1"/>
      <c r="F12" s="25"/>
      <c r="G12" s="25"/>
      <c r="H12" s="25"/>
      <c r="I12" s="25"/>
      <c r="J12" s="37" t="str">
        <f>Mechanical!E7</f>
        <v>X52</v>
      </c>
      <c r="K12" s="12"/>
      <c r="M12" s="92" t="s">
        <v>12</v>
      </c>
      <c r="N12" s="1148" t="str">
        <f>IF(ISBLANK(Main!C5),"",Main!C5)</f>
        <v/>
      </c>
      <c r="O12" s="1148"/>
      <c r="P12" s="1148"/>
      <c r="Q12" s="1149"/>
    </row>
    <row r="13" spans="2:17" ht="27" customHeight="1">
      <c r="B13" s="1110" t="s">
        <v>44</v>
      </c>
      <c r="C13" s="1111"/>
      <c r="D13" s="25"/>
      <c r="E13" s="1"/>
      <c r="F13" s="25"/>
      <c r="G13" s="25"/>
      <c r="H13" s="25"/>
      <c r="I13" s="25"/>
      <c r="J13" s="1">
        <f>VLOOKUP($J$12,'OW Variables'!$B$4:$D$15,2,FALSE)</f>
        <v>52200</v>
      </c>
      <c r="K13" s="12" t="s">
        <v>45</v>
      </c>
      <c r="M13" s="92" t="s">
        <v>13</v>
      </c>
      <c r="N13" s="1145" t="str">
        <f>IF(ISBLANK(Main!C5),"",Main!C5)</f>
        <v/>
      </c>
      <c r="O13" s="1145"/>
      <c r="P13" s="1145"/>
      <c r="Q13" s="1146"/>
    </row>
    <row r="14" spans="2:17" ht="27" customHeight="1">
      <c r="B14" s="1110" t="s">
        <v>47</v>
      </c>
      <c r="C14" s="1111"/>
      <c r="D14" s="25"/>
      <c r="E14" s="1"/>
      <c r="F14" s="25"/>
      <c r="G14" s="25"/>
      <c r="H14" s="25"/>
      <c r="I14" s="25"/>
      <c r="J14" s="1">
        <f>VLOOKUP($J$12,'OW Variables'!$B$4:$D$15,3,FALSE)</f>
        <v>66700</v>
      </c>
      <c r="K14" s="12" t="s">
        <v>45</v>
      </c>
      <c r="M14" s="92" t="s">
        <v>5</v>
      </c>
      <c r="N14" s="1148" t="str">
        <f>IF(ISBLANK(Main!C7),"",Main!C7)</f>
        <v/>
      </c>
      <c r="O14" s="1148"/>
      <c r="P14" s="1148"/>
      <c r="Q14" s="1149"/>
    </row>
    <row r="15" spans="2:17" ht="27" customHeight="1">
      <c r="B15" s="1110" t="s">
        <v>103</v>
      </c>
      <c r="C15" s="1111"/>
      <c r="D15" s="25"/>
      <c r="E15" s="1"/>
      <c r="F15" s="25"/>
      <c r="G15" s="25"/>
      <c r="H15" s="25"/>
      <c r="I15" s="25"/>
      <c r="J15" s="178">
        <f>IF(Mechanical!E10&gt;1,Mechanical!E10/100,Mechanical!E10)</f>
        <v>0.72</v>
      </c>
      <c r="K15" s="12" t="s">
        <v>49</v>
      </c>
      <c r="M15" s="92" t="s">
        <v>104</v>
      </c>
      <c r="N15" s="1153" t="str">
        <f>IF(ISBLANK(Main!H7),"",Main!H7)</f>
        <v/>
      </c>
      <c r="O15" s="1153"/>
      <c r="P15" s="1153"/>
      <c r="Q15" s="1154"/>
    </row>
    <row r="16" spans="2:17" ht="27" customHeight="1">
      <c r="B16" s="1110" t="s">
        <v>50</v>
      </c>
      <c r="C16" s="1111"/>
      <c r="D16" s="25"/>
      <c r="E16" s="1"/>
      <c r="F16" s="25"/>
      <c r="G16" s="25"/>
      <c r="H16" s="25"/>
      <c r="I16" s="25"/>
      <c r="J16" s="1">
        <f>ROUND(J15*((2*(J13*J11))/J10),0)</f>
        <v>940</v>
      </c>
      <c r="K16" s="12" t="s">
        <v>105</v>
      </c>
      <c r="M16" s="92" t="s">
        <v>14</v>
      </c>
      <c r="N16" s="1145" t="str">
        <f>IF(ISBLANK(Main!C8),"",Main!C8)</f>
        <v/>
      </c>
      <c r="O16" s="1145"/>
      <c r="P16" s="1145"/>
      <c r="Q16" s="1146"/>
    </row>
    <row r="17" spans="2:17" ht="27" customHeight="1">
      <c r="B17" s="1110" t="s">
        <v>106</v>
      </c>
      <c r="C17" s="1111"/>
      <c r="D17" s="25"/>
      <c r="E17" s="1"/>
      <c r="F17" s="25"/>
      <c r="G17" s="25"/>
      <c r="H17" s="25"/>
      <c r="I17" s="25"/>
      <c r="J17" s="199">
        <f>ROUND(0.8*J16,0)</f>
        <v>752</v>
      </c>
      <c r="K17" s="12" t="s">
        <v>105</v>
      </c>
      <c r="M17" s="92" t="s">
        <v>107</v>
      </c>
      <c r="N17" s="1145" t="str">
        <f>IF(ISBLANK(Main!C9),"",Main!C9)</f>
        <v/>
      </c>
      <c r="O17" s="1145"/>
      <c r="P17" s="1145"/>
      <c r="Q17" s="1146"/>
    </row>
    <row r="18" spans="2:17" ht="27" customHeight="1">
      <c r="B18" s="1110" t="s">
        <v>108</v>
      </c>
      <c r="C18" s="1111"/>
      <c r="D18" s="25"/>
      <c r="E18" s="25"/>
      <c r="F18" s="25"/>
      <c r="G18" s="25"/>
      <c r="H18" s="25"/>
      <c r="I18" s="25"/>
      <c r="J18" s="1">
        <f>'OW Variables'!AC$4</f>
        <v>30000000</v>
      </c>
      <c r="K18" s="12" t="s">
        <v>45</v>
      </c>
      <c r="M18" s="92" t="s">
        <v>109</v>
      </c>
      <c r="N18" s="1148" t="str">
        <f>IF(ISBLANK(Main!H9),"",Main!H9)</f>
        <v/>
      </c>
      <c r="O18" s="1148"/>
      <c r="P18" s="1148"/>
      <c r="Q18" s="1149"/>
    </row>
    <row r="19" spans="2:17" ht="27" customHeight="1">
      <c r="B19" s="1123" t="s">
        <v>110</v>
      </c>
      <c r="C19" s="1124"/>
      <c r="D19" s="33"/>
      <c r="E19" s="34"/>
      <c r="F19" s="33"/>
      <c r="G19" s="68">
        <f>(J19-32)*5/9</f>
        <v>26.666666666666668</v>
      </c>
      <c r="H19" s="35" t="s">
        <v>111</v>
      </c>
      <c r="I19" s="82" t="str" cm="1">
        <f t="array" ref="I19">_xlfn.IFS(J24='OW Variables'!E5,_xlfn.IFS(J19&lt;'OW Variables'!G5,'OW Variables'!H5,AND(J19&gt;='OW Variables'!F6,J19&lt;='OW Variables'!G6),'OW Variables'!H6,AND(J19&gt;'OW Variables'!F7,J19&lt;='OW Variables'!G7),'OW Variables'!H7,AND(J19&gt;'OW Variables'!F8,J19&lt;='OW Variables'!G8),'OW Variables'!H8,J19&gt;'OW Variables'!F9,'OW Variables'!H9),J24='OW Variables'!E10,_xlfn.IFS(J19&lt;'OW Variables'!G10,'OW Variables'!H10,AND(J19&gt;='OW Variables'!F11,J19&lt;='OW Variables'!G11),'OW Variables'!H11,AND(J19&gt;'OW Variables'!F12,J19&lt;='OW Variables'!G12),'OW Variables'!H12,AND(J19&gt;'OW Variables'!F13,J19&lt;='OW Variables'!G13),'OW Variables'!H13,J19&gt;'OW Variables'!F14,'OW Variables'!H14),J24='OW Variables'!E15,_xlfn.IFS(J19&lt;'OW Variables'!G15,'OW Variables'!H15,AND(J19&gt;='OW Variables'!F16,J19&lt;='OW Variables'!G16),'OW Variables'!H16,AND(J19&gt;'OW Variables'!#REF!,J19&lt;='OW Variables'!#REF!),'OW Variables'!#REF!,AND(J19&gt;'OW Variables'!#REF!,J19&lt;='OW Variables'!#REF!),'OW Variables'!#REF!,J19&gt;'OW Variables'!F17,'OW Variables'!H17))</f>
        <v xml:space="preserve"> </v>
      </c>
      <c r="J19" s="68">
        <f>Mechanical!S6</f>
        <v>80</v>
      </c>
      <c r="K19" s="36" t="s">
        <v>39</v>
      </c>
      <c r="M19" s="92" t="s">
        <v>15</v>
      </c>
      <c r="N19" s="1147" t="str">
        <f>IF(ISBLANK(Main!C10),"",Main!C10)</f>
        <v/>
      </c>
      <c r="O19" s="1148"/>
      <c r="P19" s="1148"/>
      <c r="Q19" s="1149"/>
    </row>
    <row r="20" spans="2:17" ht="27" customHeight="1">
      <c r="B20" s="1119" t="s">
        <v>112</v>
      </c>
      <c r="C20" s="1120"/>
      <c r="D20" s="25"/>
      <c r="E20" s="1"/>
      <c r="F20" s="25"/>
      <c r="G20" s="71">
        <f>J20*'OW Variables'!$S$5</f>
        <v>4.8259999999999996</v>
      </c>
      <c r="H20" s="26" t="s">
        <v>73</v>
      </c>
      <c r="I20" s="61"/>
      <c r="J20" s="60">
        <f>Mechanical!S13</f>
        <v>0.19</v>
      </c>
      <c r="K20" s="12" t="s">
        <v>32</v>
      </c>
      <c r="M20" s="92" t="s">
        <v>16</v>
      </c>
      <c r="N20" s="1145" t="str">
        <f>IF(ISBLANK(Main!H10),"",Main!H10)</f>
        <v/>
      </c>
      <c r="O20" s="1145"/>
      <c r="P20" s="1145"/>
      <c r="Q20" s="1146"/>
    </row>
    <row r="21" spans="2:17" ht="27" customHeight="1">
      <c r="B21" s="1110" t="s">
        <v>173</v>
      </c>
      <c r="C21" s="1111"/>
      <c r="D21" s="25"/>
      <c r="E21" s="1"/>
      <c r="F21" s="25"/>
      <c r="G21" s="74"/>
      <c r="H21" s="26"/>
      <c r="I21" s="61"/>
      <c r="J21" s="74">
        <f>ROUND(100*(J20/J10),1)</f>
        <v>0.6</v>
      </c>
      <c r="K21" s="12" t="s">
        <v>49</v>
      </c>
      <c r="M21" s="1152" t="s">
        <v>114</v>
      </c>
      <c r="N21" s="1150" t="str">
        <f>IF(ISBLANK(Main!C11),"",Main!C11)</f>
        <v/>
      </c>
      <c r="O21" s="1150"/>
      <c r="P21" s="1150"/>
      <c r="Q21" s="1151"/>
    </row>
    <row r="22" spans="2:17" ht="27" customHeight="1">
      <c r="B22" s="1110" t="s">
        <v>115</v>
      </c>
      <c r="C22" s="1111"/>
      <c r="D22" s="25"/>
      <c r="E22" s="1"/>
      <c r="F22" s="25"/>
      <c r="G22" s="71">
        <f>J22*'OW Variables'!$S$5</f>
        <v>304.79999999999995</v>
      </c>
      <c r="H22" s="26" t="s">
        <v>73</v>
      </c>
      <c r="J22" s="71">
        <f>Mechanical!S15</f>
        <v>12</v>
      </c>
      <c r="K22" s="12" t="s">
        <v>32</v>
      </c>
      <c r="M22" s="1152"/>
      <c r="N22" s="1150"/>
      <c r="O22" s="1150"/>
      <c r="P22" s="1150"/>
      <c r="Q22" s="1151"/>
    </row>
    <row r="23" spans="2:17" ht="27" customHeight="1">
      <c r="B23" s="1110" t="s">
        <v>116</v>
      </c>
      <c r="C23" s="1111"/>
      <c r="D23" s="25"/>
      <c r="E23" s="1"/>
      <c r="F23" s="25"/>
      <c r="G23" s="71">
        <f>J23*'OW Variables'!$S$5</f>
        <v>127</v>
      </c>
      <c r="H23" s="26" t="s">
        <v>73</v>
      </c>
      <c r="I23" s="61"/>
      <c r="J23" s="71">
        <f>Mechanical!S16</f>
        <v>5</v>
      </c>
      <c r="K23" s="12" t="s">
        <v>32</v>
      </c>
      <c r="M23" s="1152"/>
      <c r="N23" s="1150"/>
      <c r="O23" s="1150"/>
      <c r="P23" s="1150"/>
      <c r="Q23" s="1151"/>
    </row>
    <row r="24" spans="2:17" ht="27" customHeight="1" thickBot="1">
      <c r="B24" s="1119" t="s">
        <v>63</v>
      </c>
      <c r="C24" s="1120"/>
      <c r="D24" s="32"/>
      <c r="E24" s="79"/>
      <c r="F24" s="32"/>
      <c r="G24" s="32"/>
      <c r="H24" s="32"/>
      <c r="I24" s="32"/>
      <c r="J24" s="109" t="str">
        <f>Mechanical!E18</f>
        <v>Carbon</v>
      </c>
      <c r="K24" s="107"/>
      <c r="M24" s="112" t="s">
        <v>117</v>
      </c>
      <c r="N24" s="1117" t="str">
        <f>IF(ISBLANK(Main!C13),"",Main!C13)</f>
        <v>--</v>
      </c>
      <c r="O24" s="1117"/>
      <c r="P24" s="1117"/>
      <c r="Q24" s="1118"/>
    </row>
    <row r="25" spans="2:17" ht="27" customHeight="1" thickBot="1">
      <c r="B25" s="1110" t="s">
        <v>119</v>
      </c>
      <c r="C25" s="1111"/>
      <c r="D25" s="25"/>
      <c r="E25" s="1"/>
      <c r="F25" s="25"/>
      <c r="G25" s="25"/>
      <c r="H25" s="25"/>
      <c r="I25" s="25"/>
      <c r="J25" s="1">
        <f>VLOOKUP($J$24,'OW Variables'!$T$4:$AB$6,2,FALSE)</f>
        <v>10990000</v>
      </c>
      <c r="K25" s="12" t="s">
        <v>45</v>
      </c>
    </row>
    <row r="26" spans="2:17" ht="27" customHeight="1">
      <c r="B26" s="1110" t="s">
        <v>122</v>
      </c>
      <c r="C26" s="1111"/>
      <c r="D26" s="25"/>
      <c r="E26" s="1"/>
      <c r="F26" s="25"/>
      <c r="G26" s="25"/>
      <c r="H26" s="25"/>
      <c r="I26" s="25"/>
      <c r="J26" s="1">
        <f>VLOOKUP($J$24,'OW Variables'!$T$4:$AB$6,4,FALSE)</f>
        <v>2.5000000000000001E-3</v>
      </c>
      <c r="K26" s="12" t="s">
        <v>49</v>
      </c>
      <c r="M26" s="1136" t="s">
        <v>118</v>
      </c>
      <c r="N26" s="1137"/>
      <c r="O26" s="1137"/>
      <c r="P26" s="1137"/>
      <c r="Q26" s="1138"/>
    </row>
    <row r="27" spans="2:17" ht="27" customHeight="1">
      <c r="B27" s="1110" t="s">
        <v>65</v>
      </c>
      <c r="C27" s="1111"/>
      <c r="D27" s="25"/>
      <c r="E27" s="1"/>
      <c r="F27" s="25"/>
      <c r="G27" s="25"/>
      <c r="H27" s="25"/>
      <c r="I27" s="25"/>
      <c r="J27" s="1">
        <f>VLOOKUP($J$24,'OW Variables'!$T$4:$AB$6,5,FALSE)</f>
        <v>56483</v>
      </c>
      <c r="K27" s="12" t="s">
        <v>45</v>
      </c>
      <c r="M27" s="155" t="s">
        <v>175</v>
      </c>
      <c r="N27" s="1141" t="s">
        <v>121</v>
      </c>
      <c r="O27" s="1141"/>
      <c r="P27" s="1141"/>
      <c r="Q27" s="1142"/>
    </row>
    <row r="28" spans="2:17" ht="27" customHeight="1">
      <c r="B28" s="1110" t="s">
        <v>124</v>
      </c>
      <c r="C28" s="1111"/>
      <c r="D28" s="25"/>
      <c r="E28" s="1"/>
      <c r="F28" s="25"/>
      <c r="G28" s="25"/>
      <c r="H28" s="25"/>
      <c r="I28" s="25"/>
      <c r="J28" s="1">
        <f>VLOOKUP($J$24,'OW Variables'!$T$4:$AB$6,6,FALSE)</f>
        <v>2.1999999999999999E-2</v>
      </c>
      <c r="K28" s="12" t="s">
        <v>32</v>
      </c>
      <c r="M28" s="152" t="s">
        <v>123</v>
      </c>
      <c r="N28" s="1143" t="str" cm="1">
        <f t="array" ref="N28">IFERROR(VLOOKUP(INDEX(_xlfn._xlws.FILTER(_xlfn._xlws.FILTER($M$34:$Q$40,($M$34:$M$40="Y")*($N$34:$N$40=$M28),""),{0,0,0,1,0}),MATCH(MIN(_xlfn._xlws.FILTER(_xlfn._xlws.FILTER($M$34:$Q$40,($M$34:$M$40="Y")*($N$34:$N$40=$M28),""),{0,0,0,0,1})),_xlfn._xlws.FILTER(_xlfn._xlws.FILTER($M$34:$Q$40,($M$34:$M$40="Y")*($N$34:$N$40=$M28),""),{0,0,0,0,1}),0)),'OW Variables'!$G$20:$H$26,2),"")</f>
        <v/>
      </c>
      <c r="O28" s="1143"/>
      <c r="P28" s="1143"/>
      <c r="Q28" s="1144"/>
    </row>
    <row r="29" spans="2:17" ht="27" customHeight="1">
      <c r="B29" s="1110" t="s">
        <v>125</v>
      </c>
      <c r="C29" s="1111"/>
      <c r="D29" s="25"/>
      <c r="E29" s="1"/>
      <c r="F29" s="25"/>
      <c r="G29" s="25"/>
      <c r="H29" s="25"/>
      <c r="I29" s="25"/>
      <c r="J29" s="1">
        <f>VLOOKUP($J$24,'OW Variables'!$T$4:$AB$6,9,FALSE)</f>
        <v>12</v>
      </c>
      <c r="K29" s="12" t="s">
        <v>32</v>
      </c>
      <c r="M29" s="64" t="s">
        <v>51</v>
      </c>
      <c r="N29" s="1139" t="str" cm="1">
        <f t="array" ref="N29">IFERROR(VLOOKUP(INDEX(_xlfn._xlws.FILTER(_xlfn._xlws.FILTER($M$34:$Q$40,($M$34:$M$40="Y")*($N$34:$N$40=$M29),""),{0,0,0,1,0}),MATCH(MIN(_xlfn._xlws.FILTER(_xlfn._xlws.FILTER($M$34:$Q$40,($M$34:$M$40="Y")*($N$34:$N$40=$M29),""),{0,0,0,0,1})),_xlfn._xlws.FILTER(_xlfn._xlws.FILTER($M$34:$Q$40,($M$34:$M$40="Y")*($N$34:$N$40=$M29),""),{0,0,0,0,1}),0)),'OW Variables'!$G$20:$H$26,2),"")</f>
        <v/>
      </c>
      <c r="O29" s="1139"/>
      <c r="P29" s="1139"/>
      <c r="Q29" s="1140"/>
    </row>
    <row r="30" spans="2:17" ht="27" customHeight="1">
      <c r="B30" s="1110" t="s">
        <v>127</v>
      </c>
      <c r="C30" s="1111"/>
      <c r="D30" s="25"/>
      <c r="E30" s="1"/>
      <c r="F30" s="25"/>
      <c r="G30" s="25"/>
      <c r="H30" s="25"/>
      <c r="I30" s="25"/>
      <c r="J30" s="1">
        <f>VLOOKUP($J$24,'OW Variables'!$T$4:$AB$6,7,FALSE)</f>
        <v>30</v>
      </c>
      <c r="K30" s="12" t="s">
        <v>128</v>
      </c>
      <c r="M30" s="153" t="s">
        <v>70</v>
      </c>
      <c r="N30" s="1132" t="str" cm="1">
        <f t="array" ref="N30">IFERROR(VLOOKUP(INDEX(_xlfn._xlws.FILTER(_xlfn._xlws.FILTER($M$34:$Q$40,($M$34:$M$40="Y")*($N$34:$N$40=$M30),""),{0,0,0,1,0}),MATCH(MIN(_xlfn._xlws.FILTER(_xlfn._xlws.FILTER($M$34:$Q$40,($M$34:$M$40="Y")*($N$34:$N$40=$M30),""),{0,0,0,0,1})),_xlfn._xlws.FILTER(_xlfn._xlws.FILTER($M$34:$Q$40,($M$34:$M$40="Y")*($N$34:$N$40=$M30),""),{0,0,0,0,1}),0)),'OW Variables'!$G$20:$H$26,2),"")</f>
        <v/>
      </c>
      <c r="O30" s="1132"/>
      <c r="P30" s="1132"/>
      <c r="Q30" s="1133"/>
    </row>
    <row r="31" spans="2:17" ht="27" customHeight="1">
      <c r="B31" s="1110" t="s">
        <v>130</v>
      </c>
      <c r="C31" s="1111"/>
      <c r="D31" s="25"/>
      <c r="E31" s="1"/>
      <c r="F31" s="25"/>
      <c r="G31" s="25"/>
      <c r="H31" s="25"/>
      <c r="I31" s="25"/>
      <c r="J31" s="1">
        <f>VLOOKUP($J$51,'OW Variables'!$M$4:$N$6,2,FALSE)</f>
        <v>0</v>
      </c>
      <c r="K31" s="12" t="s">
        <v>49</v>
      </c>
      <c r="M31" s="65"/>
      <c r="N31" s="1134" t="s">
        <v>126</v>
      </c>
      <c r="O31" s="1134"/>
      <c r="P31" s="1134"/>
      <c r="Q31" s="1135"/>
    </row>
    <row r="32" spans="2:17" ht="27" customHeight="1">
      <c r="B32" s="1110" t="s">
        <v>67</v>
      </c>
      <c r="C32" s="1111"/>
      <c r="D32" s="25"/>
      <c r="E32" s="1"/>
      <c r="G32" s="25"/>
      <c r="H32" s="25"/>
      <c r="I32" s="25"/>
      <c r="J32" s="37">
        <f>Mechanical!E20</f>
        <v>0.5</v>
      </c>
      <c r="K32" s="12"/>
      <c r="M32" s="152" t="s">
        <v>129</v>
      </c>
      <c r="N32" s="166" t="str">
        <f>_xlfn.TEXTJOIN(";",TRUE,I10:I34,I49:I72)</f>
        <v xml:space="preserve"> </v>
      </c>
      <c r="O32" s="164"/>
      <c r="P32" s="164"/>
      <c r="Q32" s="165"/>
    </row>
    <row r="33" spans="2:17" ht="27" customHeight="1">
      <c r="B33" s="1110" t="s">
        <v>134</v>
      </c>
      <c r="C33" s="1111"/>
      <c r="D33" s="25"/>
      <c r="E33" s="1"/>
      <c r="F33" s="25"/>
      <c r="G33" s="25"/>
      <c r="H33" s="25"/>
      <c r="I33" s="25"/>
      <c r="J33" s="108" t="str">
        <f>"Factor applicable if using "&amp;VLOOKUP(J32,'OW Variables'!O3:P5,2)</f>
        <v>Factor applicable if using 1 000-h Data</v>
      </c>
      <c r="K33" s="12"/>
      <c r="M33" s="168" t="s">
        <v>131</v>
      </c>
      <c r="N33" s="167" t="s">
        <v>120</v>
      </c>
      <c r="O33" s="157"/>
      <c r="P33" s="157" t="s">
        <v>132</v>
      </c>
      <c r="Q33" s="158" t="s">
        <v>133</v>
      </c>
    </row>
    <row r="34" spans="2:17" ht="27" customHeight="1" thickBot="1">
      <c r="B34" s="1108" t="s">
        <v>135</v>
      </c>
      <c r="C34" s="1109"/>
      <c r="D34" s="25"/>
      <c r="E34" s="1"/>
      <c r="F34" s="25"/>
      <c r="G34" s="25"/>
      <c r="H34" s="25"/>
      <c r="I34" s="25" t="str">
        <f>IF(AND(J50/12='OW Variables'!$L$4,J34&lt;&gt;'OW Variables'!$M$4),'OW Variables'!$G$26,"")</f>
        <v/>
      </c>
      <c r="J34" s="159" t="str">
        <f>Mechanical!E32</f>
        <v>Layer over Layer</v>
      </c>
      <c r="K34" s="12"/>
      <c r="M34" s="169" t="str">
        <f t="shared" ref="M34:M40" si="0">IF(ISNUMBER(SEARCH($P34,$N$32)),"Y","")</f>
        <v/>
      </c>
      <c r="N34" s="73" t="s">
        <v>123</v>
      </c>
      <c r="O34" s="170"/>
      <c r="P34" s="110">
        <v>1</v>
      </c>
      <c r="Q34" s="171">
        <v>1</v>
      </c>
    </row>
    <row r="35" spans="2:17" ht="16.5" customHeight="1" thickBot="1">
      <c r="B35" s="1129" t="s">
        <v>136</v>
      </c>
      <c r="C35" s="1130"/>
      <c r="D35" s="1130"/>
      <c r="E35" s="1130"/>
      <c r="F35" s="1130"/>
      <c r="G35" s="1130"/>
      <c r="H35" s="1130"/>
      <c r="I35" s="1130"/>
      <c r="J35" s="1130"/>
      <c r="K35" s="1131"/>
      <c r="M35" s="169" t="str">
        <f t="shared" si="0"/>
        <v/>
      </c>
      <c r="N35" s="73" t="s">
        <v>70</v>
      </c>
      <c r="O35" s="170"/>
      <c r="P35" s="110">
        <v>2</v>
      </c>
      <c r="Q35" s="171">
        <v>2</v>
      </c>
    </row>
    <row r="36" spans="2:17" ht="27" customHeight="1">
      <c r="B36" s="1192" t="s">
        <v>71</v>
      </c>
      <c r="C36" s="1193"/>
      <c r="D36" s="452"/>
      <c r="E36" s="453"/>
      <c r="F36" s="452"/>
      <c r="G36" s="452"/>
      <c r="H36" s="452"/>
      <c r="I36" s="452"/>
      <c r="J36" s="454">
        <f>IF(ISNUMBER(I20),"-",J53)</f>
        <v>26</v>
      </c>
      <c r="K36" s="455"/>
      <c r="M36" s="169" t="str">
        <f t="shared" si="0"/>
        <v/>
      </c>
      <c r="N36" s="73" t="s">
        <v>51</v>
      </c>
      <c r="O36" s="170"/>
      <c r="P36" s="110">
        <v>3</v>
      </c>
      <c r="Q36" s="171">
        <v>5</v>
      </c>
    </row>
    <row r="37" spans="2:17" ht="27" customHeight="1">
      <c r="B37" s="1189" t="s">
        <v>72</v>
      </c>
      <c r="C37" s="1111"/>
      <c r="D37" s="25"/>
      <c r="E37" s="1"/>
      <c r="F37" s="25"/>
      <c r="G37" s="25"/>
      <c r="H37" s="227">
        <f>IFERROR(J37*VLOOKUP(I37,'OW Variables'!$R$4:$S$13,2,FALSE),"-")</f>
        <v>14.528799999999999</v>
      </c>
      <c r="I37" s="1" t="s">
        <v>73</v>
      </c>
      <c r="J37" s="51">
        <f>IF(ISNUMBER(I20),"-",J55)</f>
        <v>0.57199999999999995</v>
      </c>
      <c r="K37" s="456" t="s">
        <v>32</v>
      </c>
      <c r="M37" s="169" t="str">
        <f t="shared" si="0"/>
        <v/>
      </c>
      <c r="N37" s="73" t="s">
        <v>123</v>
      </c>
      <c r="O37" s="170"/>
      <c r="P37" s="110">
        <v>4</v>
      </c>
      <c r="Q37" s="171">
        <v>6</v>
      </c>
    </row>
    <row r="38" spans="2:17" ht="27" customHeight="1">
      <c r="B38" s="1189" t="s">
        <v>138</v>
      </c>
      <c r="C38" s="1111"/>
      <c r="D38" s="25"/>
      <c r="E38" s="1"/>
      <c r="F38" s="25"/>
      <c r="G38" s="25"/>
      <c r="H38" s="227">
        <f>IFERROR(J38*VLOOKUP(I38,'OW Variables'!$R$4:$S$13,2,FALSE),"-")</f>
        <v>791.05759999999987</v>
      </c>
      <c r="I38" s="1" t="s">
        <v>73</v>
      </c>
      <c r="J38" s="51">
        <f>(((J53*2)*J28)+J10)</f>
        <v>31.143999999999998</v>
      </c>
      <c r="K38" s="456" t="s">
        <v>32</v>
      </c>
      <c r="M38" s="169" t="str">
        <f t="shared" si="0"/>
        <v/>
      </c>
      <c r="N38" s="73" t="s">
        <v>123</v>
      </c>
      <c r="O38" s="170"/>
      <c r="P38" s="110">
        <v>5</v>
      </c>
      <c r="Q38" s="171">
        <v>3</v>
      </c>
    </row>
    <row r="39" spans="2:17" ht="27" customHeight="1">
      <c r="B39" s="1189" t="s">
        <v>74</v>
      </c>
      <c r="C39" s="1111"/>
      <c r="D39" s="25"/>
      <c r="E39" s="1"/>
      <c r="F39" s="25"/>
      <c r="G39" s="25"/>
      <c r="H39" s="227">
        <f>IFERROR(J39*VLOOKUP(I39,'OW Variables'!$R$4:$S$13,2,FALSE),"-")</f>
        <v>63.428270400000009</v>
      </c>
      <c r="I39" s="1" t="s">
        <v>76</v>
      </c>
      <c r="J39" s="227">
        <f>IF(ISNUMBER(I20),"-",J57)</f>
        <v>208.09800000000001</v>
      </c>
      <c r="K39" s="456" t="s">
        <v>75</v>
      </c>
      <c r="M39" s="169" t="str">
        <f t="shared" si="0"/>
        <v/>
      </c>
      <c r="N39" s="73" t="s">
        <v>123</v>
      </c>
      <c r="O39" s="170"/>
      <c r="P39" s="110">
        <v>6</v>
      </c>
      <c r="Q39" s="171">
        <v>7</v>
      </c>
    </row>
    <row r="40" spans="2:17" ht="27" customHeight="1" thickBot="1">
      <c r="B40" s="1189" t="s">
        <v>77</v>
      </c>
      <c r="C40" s="1111"/>
      <c r="D40" s="25"/>
      <c r="E40" s="1"/>
      <c r="F40" s="25"/>
      <c r="G40" s="25"/>
      <c r="H40" s="227">
        <f>IFERROR(J40*VLOOKUP(I40,'OW Variables'!$R$4:$S$13,2,FALSE),"-")</f>
        <v>609.59999999999991</v>
      </c>
      <c r="I40" s="1" t="s">
        <v>73</v>
      </c>
      <c r="J40" s="52">
        <f>IF(ISNUMBER(I20),"-",J50)</f>
        <v>24</v>
      </c>
      <c r="K40" s="456" t="s">
        <v>32</v>
      </c>
      <c r="M40" s="172" t="str">
        <f t="shared" si="0"/>
        <v/>
      </c>
      <c r="N40" s="173" t="s">
        <v>70</v>
      </c>
      <c r="O40" s="174"/>
      <c r="P40" s="156">
        <v>7</v>
      </c>
      <c r="Q40" s="175">
        <v>4</v>
      </c>
    </row>
    <row r="41" spans="2:17" ht="27" customHeight="1">
      <c r="B41" s="1189" t="s">
        <v>78</v>
      </c>
      <c r="C41" s="1111"/>
      <c r="D41" s="25"/>
      <c r="E41" s="1"/>
      <c r="F41" s="25"/>
      <c r="G41" s="25"/>
      <c r="H41" s="227">
        <f>IFERROR(J41*VLOOKUP(I41,'OW Variables'!$R$4:$S$13,2,FALSE),"-")</f>
        <v>38.665856988000002</v>
      </c>
      <c r="I41" s="1" t="s">
        <v>139</v>
      </c>
      <c r="J41" s="227">
        <f>IF(ISNUMBER(I20),"-",J58)</f>
        <v>416.19600000000003</v>
      </c>
      <c r="K41" s="456" t="s">
        <v>140</v>
      </c>
    </row>
    <row r="42" spans="2:17" ht="27" customHeight="1" thickBot="1">
      <c r="B42" s="1189" t="s">
        <v>81</v>
      </c>
      <c r="C42" s="1111"/>
      <c r="D42" s="25"/>
      <c r="E42" s="1"/>
      <c r="F42" s="25"/>
      <c r="G42" s="25"/>
      <c r="H42" s="227">
        <f>IFERROR(J67*(VLOOKUP(I42,'OW Variables'!$R$4:$S$13,2,FALSE)*2),"-")</f>
        <v>6.5644652831999997</v>
      </c>
      <c r="I42" s="1" t="s">
        <v>84</v>
      </c>
      <c r="J42" s="227">
        <f>IF(ISNUMBER(I20),"-",ROUNDUP(J67,2))</f>
        <v>6.9399999999999995</v>
      </c>
      <c r="K42" s="456" t="str">
        <f>IFERROR(K67,"-")</f>
        <v>Qt/ft</v>
      </c>
    </row>
    <row r="43" spans="2:17" ht="27" customHeight="1" thickBot="1">
      <c r="B43" s="1189" t="s">
        <v>83</v>
      </c>
      <c r="C43" s="1111"/>
      <c r="D43" s="25"/>
      <c r="E43" s="1"/>
      <c r="F43" s="25"/>
      <c r="G43" s="25"/>
      <c r="H43" s="227">
        <f>IFERROR(J68*(VLOOKUP(I43,'OW Variables'!$R$4:$S$13,2,FALSE)*2),"-")</f>
        <v>13.128930566399999</v>
      </c>
      <c r="I43" s="1" t="s">
        <v>84</v>
      </c>
      <c r="J43" s="227">
        <f>IF(ISNUMBER(I20),"-",ROUNDUP(J68,2))</f>
        <v>13.879999999999999</v>
      </c>
      <c r="K43" s="456" t="str">
        <f>IFERROR(K68,"-")</f>
        <v>Qt</v>
      </c>
      <c r="M43" s="214" t="s">
        <v>117</v>
      </c>
      <c r="N43" s="1121" t="str">
        <f>N24</f>
        <v>--</v>
      </c>
      <c r="O43" s="1121"/>
      <c r="P43" s="1121"/>
      <c r="Q43" s="1122"/>
    </row>
    <row r="44" spans="2:17" ht="27" customHeight="1">
      <c r="B44" s="1189" t="s">
        <v>87</v>
      </c>
      <c r="C44" s="1111"/>
      <c r="D44" s="25"/>
      <c r="E44" s="1"/>
      <c r="F44" s="25"/>
      <c r="G44" s="25"/>
      <c r="H44" s="227">
        <f>IFERROR(J66*VLOOKUP(I44,'OW Variables'!$R$4:$S$13,2,FALSE),"-")</f>
        <v>1.8018499944908426E-2</v>
      </c>
      <c r="I44" s="1" t="s">
        <v>84</v>
      </c>
      <c r="J44" s="51">
        <f>IF(ISNUMBER(I19),"-",J66)</f>
        <v>3.8079910952602047E-2</v>
      </c>
      <c r="K44" s="456" t="str">
        <f>IFERROR(K66,"-")</f>
        <v>Qt</v>
      </c>
    </row>
    <row r="45" spans="2:17" ht="27" customHeight="1">
      <c r="B45" s="1189" t="s">
        <v>85</v>
      </c>
      <c r="C45" s="1111"/>
      <c r="D45" s="25"/>
      <c r="E45" s="1"/>
      <c r="F45" s="25"/>
      <c r="G45" s="25"/>
      <c r="H45" s="227">
        <f>IFERROR(J45*VLOOKUP(I45,'OW Variables'!$R$4:$S$13,2,FALSE),"-")</f>
        <v>0.18681234285714288</v>
      </c>
      <c r="I45" s="1" t="s">
        <v>84</v>
      </c>
      <c r="J45" s="227">
        <f>IF(ISNUMBER(I20),"-",J72)</f>
        <v>0.39480519480519488</v>
      </c>
      <c r="K45" s="456" t="s">
        <v>86</v>
      </c>
    </row>
    <row r="46" spans="2:17" ht="15.95" customHeight="1" thickBot="1">
      <c r="B46" s="1188" t="s">
        <v>88</v>
      </c>
      <c r="C46" s="1109"/>
      <c r="D46" s="29"/>
      <c r="E46" s="63"/>
      <c r="F46" s="29"/>
      <c r="G46" s="29"/>
      <c r="H46" s="46"/>
      <c r="I46" s="160"/>
      <c r="J46" s="154" t="str">
        <f>J51</f>
        <v>Layer over Layer</v>
      </c>
      <c r="K46" s="457"/>
    </row>
    <row r="47" spans="2:17" ht="15.95" customHeight="1" thickBot="1">
      <c r="B47" s="1198" t="s">
        <v>143</v>
      </c>
      <c r="C47" s="1127"/>
      <c r="D47" s="1127"/>
      <c r="E47" s="1127"/>
      <c r="F47" s="1127"/>
      <c r="G47" s="1127"/>
      <c r="H47" s="1127"/>
      <c r="I47" s="1127"/>
      <c r="J47" s="1127"/>
      <c r="K47" s="1199"/>
    </row>
    <row r="48" spans="2:17" ht="26.1" customHeight="1" thickBot="1">
      <c r="B48" s="458"/>
      <c r="C48" s="54"/>
      <c r="D48" s="55" t="s">
        <v>144</v>
      </c>
      <c r="E48" s="1125" t="s">
        <v>145</v>
      </c>
      <c r="F48" s="1125"/>
      <c r="G48" s="1125"/>
      <c r="H48" s="1125"/>
      <c r="I48" s="56" t="s">
        <v>100</v>
      </c>
      <c r="J48" s="56" t="s">
        <v>101</v>
      </c>
      <c r="K48" s="459" t="s">
        <v>102</v>
      </c>
    </row>
    <row r="49" spans="2:17" ht="60" customHeight="1">
      <c r="B49" s="1189" t="s">
        <v>147</v>
      </c>
      <c r="C49" s="1111"/>
      <c r="D49" s="26">
        <v>17</v>
      </c>
      <c r="E49" s="25"/>
      <c r="F49" s="25"/>
      <c r="G49" s="25"/>
      <c r="H49" s="25"/>
      <c r="I49" s="25"/>
      <c r="J49" s="48">
        <f>2.5*SQRT(J10*J11/2)</f>
        <v>5.9292706128157118</v>
      </c>
      <c r="K49" s="456" t="s">
        <v>32</v>
      </c>
    </row>
    <row r="50" spans="2:17" ht="60" customHeight="1">
      <c r="B50" s="1189" t="s">
        <v>148</v>
      </c>
      <c r="C50" s="1111"/>
      <c r="D50" s="26">
        <v>19</v>
      </c>
      <c r="E50" s="25"/>
      <c r="F50" s="25"/>
      <c r="G50" s="25"/>
      <c r="H50" s="25"/>
      <c r="I50" s="25"/>
      <c r="J50" s="460">
        <f>CEILING(2*J49+J22,12)</f>
        <v>24</v>
      </c>
      <c r="K50" s="456" t="s">
        <v>32</v>
      </c>
    </row>
    <row r="51" spans="2:17" ht="60" customHeight="1" thickBot="1">
      <c r="B51" s="1188" t="s">
        <v>88</v>
      </c>
      <c r="C51" s="1109"/>
      <c r="D51" s="26"/>
      <c r="E51" s="25"/>
      <c r="F51" s="25"/>
      <c r="G51" s="25"/>
      <c r="H51" s="25"/>
      <c r="I51" s="25"/>
      <c r="J51" s="62" t="str">
        <f>IF((J50/12)='OW Variables'!$L$4,'OW Variables'!$M$4,J34)</f>
        <v>Layer over Layer</v>
      </c>
      <c r="K51" s="456"/>
    </row>
    <row r="52" spans="2:17" ht="15.95" customHeight="1" thickBot="1">
      <c r="B52" s="1190" t="s">
        <v>176</v>
      </c>
      <c r="C52" s="1130"/>
      <c r="D52" s="1130"/>
      <c r="E52" s="1130"/>
      <c r="F52" s="1130"/>
      <c r="G52" s="1130"/>
      <c r="H52" s="1130"/>
      <c r="I52" s="1130"/>
      <c r="J52" s="1130"/>
      <c r="K52" s="1191"/>
    </row>
    <row r="53" spans="2:17" ht="60" customHeight="1">
      <c r="B53" s="1164" t="s">
        <v>177</v>
      </c>
      <c r="C53" s="1165"/>
      <c r="D53" s="69"/>
      <c r="E53" s="41"/>
      <c r="F53" s="41"/>
      <c r="G53" s="41"/>
      <c r="H53" s="41"/>
      <c r="I53" s="128" t="str">
        <f>IF((J11*1.5/J28)&lt;3,'OW Variables'!$G$21,"")</f>
        <v/>
      </c>
      <c r="J53" s="114">
        <f>IF(ROUNDUP(J11*1.5/J28,0)&lt;3,3,ROUNDUP(J11*1.5/J28,0))</f>
        <v>26</v>
      </c>
      <c r="K53" s="105" t="s">
        <v>151</v>
      </c>
      <c r="L53" s="385"/>
      <c r="M53" s="375"/>
    </row>
    <row r="54" spans="2:17" ht="60" customHeight="1">
      <c r="B54" s="1110" t="s">
        <v>152</v>
      </c>
      <c r="C54" s="1111"/>
      <c r="D54" s="26"/>
      <c r="E54" s="25"/>
      <c r="F54" s="25"/>
      <c r="G54" s="25"/>
      <c r="H54" s="25"/>
      <c r="I54" s="461"/>
      <c r="J54" s="62">
        <f>(1/(1-(J31/100)))*((J50/J29)-1)+1</f>
        <v>2</v>
      </c>
      <c r="K54" s="30" t="s">
        <v>153</v>
      </c>
      <c r="M54" s="375"/>
    </row>
    <row r="55" spans="2:17" ht="60" customHeight="1">
      <c r="B55" s="1110" t="s">
        <v>154</v>
      </c>
      <c r="C55" s="1111"/>
      <c r="D55" s="26"/>
      <c r="E55" s="25"/>
      <c r="F55" s="25"/>
      <c r="G55" s="25"/>
      <c r="H55" s="25"/>
      <c r="I55" s="25"/>
      <c r="J55" s="48">
        <f>_xlfn.CEILING.MATH(J53*J28,J28)</f>
        <v>0.57199999999999995</v>
      </c>
      <c r="K55" s="12" t="s">
        <v>32</v>
      </c>
    </row>
    <row r="56" spans="2:17" ht="16.5" customHeight="1">
      <c r="B56" s="1114" t="s">
        <v>155</v>
      </c>
      <c r="C56" s="1115"/>
      <c r="D56" s="1115"/>
      <c r="E56" s="1115"/>
      <c r="F56" s="1115"/>
      <c r="G56" s="1115"/>
      <c r="H56" s="1115"/>
      <c r="I56" s="1115"/>
      <c r="J56" s="1115"/>
      <c r="K56" s="1116"/>
    </row>
    <row r="57" spans="2:17" ht="60" customHeight="1">
      <c r="B57" s="1110" t="s">
        <v>156</v>
      </c>
      <c r="C57" s="1111"/>
      <c r="D57" s="26"/>
      <c r="E57" s="25"/>
      <c r="F57" s="25"/>
      <c r="G57" s="25"/>
      <c r="H57" s="25"/>
      <c r="I57" s="25"/>
      <c r="J57" s="48">
        <f>ROUNDUP((PI()*((((J38)^2)/4)-((J10^2)/4))/J28)/12,3)</f>
        <v>208.09800000000001</v>
      </c>
      <c r="K57" s="12" t="s">
        <v>75</v>
      </c>
    </row>
    <row r="58" spans="2:17" ht="60" customHeight="1">
      <c r="B58" s="1110" t="s">
        <v>157</v>
      </c>
      <c r="C58" s="1111"/>
      <c r="D58" s="26"/>
      <c r="E58" s="25"/>
      <c r="F58" s="25"/>
      <c r="G58" s="25"/>
      <c r="H58" s="25"/>
      <c r="I58" s="25"/>
      <c r="J58" s="48">
        <f>J57*J54</f>
        <v>416.19600000000003</v>
      </c>
      <c r="K58" s="12" t="s">
        <v>75</v>
      </c>
    </row>
    <row r="59" spans="2:17" ht="16.5" customHeight="1">
      <c r="B59" s="1114" t="s">
        <v>158</v>
      </c>
      <c r="C59" s="1115"/>
      <c r="D59" s="1115"/>
      <c r="E59" s="1115"/>
      <c r="F59" s="1115"/>
      <c r="G59" s="1115"/>
      <c r="H59" s="1115"/>
      <c r="I59" s="1115"/>
      <c r="J59" s="1115"/>
      <c r="K59" s="1116"/>
    </row>
    <row r="60" spans="2:17" ht="60" customHeight="1">
      <c r="B60" s="1110" t="s">
        <v>159</v>
      </c>
      <c r="C60" s="1111"/>
      <c r="D60" s="26"/>
      <c r="E60" s="25"/>
      <c r="F60" s="25"/>
      <c r="G60" s="25"/>
      <c r="H60" s="25"/>
      <c r="I60" s="25"/>
      <c r="J60" s="48" t="str" cm="1">
        <f t="array" aca="1" ref="J60" ca="1">IFERROR(RepairWrapLengthSpiral(J10,J28,J53,J22,J29,J31,1),"-")</f>
        <v>-</v>
      </c>
      <c r="K60" s="12" t="s">
        <v>75</v>
      </c>
    </row>
    <row r="61" spans="2:17" ht="60" customHeight="1">
      <c r="B61" s="1110"/>
      <c r="C61" s="1111"/>
      <c r="D61" s="26"/>
      <c r="E61" s="25"/>
      <c r="F61" s="25"/>
      <c r="G61" s="25"/>
      <c r="H61" s="25"/>
      <c r="I61" s="25"/>
      <c r="K61" s="12"/>
    </row>
    <row r="62" spans="2:17" ht="16.5" customHeight="1">
      <c r="B62" s="1114" t="s">
        <v>160</v>
      </c>
      <c r="C62" s="1115"/>
      <c r="D62" s="1115"/>
      <c r="E62" s="1115"/>
      <c r="F62" s="1115"/>
      <c r="G62" s="1115"/>
      <c r="H62" s="1115"/>
      <c r="I62" s="1115"/>
      <c r="J62" s="1115"/>
      <c r="K62" s="1116"/>
    </row>
    <row r="63" spans="2:17" ht="60" customHeight="1" thickBot="1">
      <c r="B63" s="1110" t="s">
        <v>161</v>
      </c>
      <c r="C63" s="1111"/>
      <c r="D63" s="26"/>
      <c r="E63" s="25"/>
      <c r="F63" s="25"/>
      <c r="G63" s="25"/>
      <c r="H63" s="25"/>
      <c r="I63" s="25"/>
      <c r="J63" s="48" cm="1">
        <f t="array" ref="J63">_xlfn.IFS(J51='OW Variables'!M4,J58,J51='OW Variables'!M5,J58,J51='OW Variables'!M6,J60)</f>
        <v>416.19600000000003</v>
      </c>
      <c r="K63" s="12" t="s">
        <v>75</v>
      </c>
    </row>
    <row r="64" spans="2:17" ht="60" customHeight="1" thickBot="1">
      <c r="B64" s="1110" t="s">
        <v>162</v>
      </c>
      <c r="C64" s="1111"/>
      <c r="D64" s="26"/>
      <c r="E64" s="25"/>
      <c r="F64" s="25"/>
      <c r="G64" s="25"/>
      <c r="H64" s="25"/>
      <c r="I64" s="25"/>
      <c r="J64" s="48">
        <f>J63/J54</f>
        <v>208.09800000000001</v>
      </c>
      <c r="K64" s="12" t="s">
        <v>75</v>
      </c>
      <c r="M64" s="214" t="s">
        <v>117</v>
      </c>
      <c r="N64" s="1121">
        <f>N48</f>
        <v>0</v>
      </c>
      <c r="O64" s="1121"/>
      <c r="P64" s="1121"/>
      <c r="Q64" s="1122"/>
    </row>
    <row r="65" spans="2:17" ht="60" customHeight="1">
      <c r="B65" s="1110" t="s">
        <v>163</v>
      </c>
      <c r="C65" s="1111"/>
      <c r="D65" s="26"/>
      <c r="E65" s="25"/>
      <c r="F65" s="25"/>
      <c r="G65" s="25"/>
      <c r="H65" s="25"/>
      <c r="I65" s="25"/>
      <c r="J65" s="48">
        <f>J63</f>
        <v>416.19600000000003</v>
      </c>
      <c r="K65" s="12" t="s">
        <v>140</v>
      </c>
    </row>
    <row r="66" spans="2:17" ht="60" customHeight="1">
      <c r="B66" s="1110" t="s">
        <v>87</v>
      </c>
      <c r="C66" s="1111"/>
      <c r="D66" s="26"/>
      <c r="E66" s="25"/>
      <c r="F66" s="25"/>
      <c r="G66" s="25"/>
      <c r="H66" s="25"/>
      <c r="I66" s="25"/>
      <c r="J66" s="48">
        <f>((((PI()*(J10+0.025))-(PI()*(J10)))*(J50+4))/57.75)</f>
        <v>3.8079910952602047E-2</v>
      </c>
      <c r="K66" s="12" t="s">
        <v>142</v>
      </c>
    </row>
    <row r="67" spans="2:17" ht="60" customHeight="1">
      <c r="B67" s="1110" t="s">
        <v>164</v>
      </c>
      <c r="C67" s="1111"/>
      <c r="D67" s="26"/>
      <c r="E67" s="25"/>
      <c r="F67" s="25"/>
      <c r="G67" s="25"/>
      <c r="H67" s="25"/>
      <c r="I67" s="25"/>
      <c r="J67" s="48">
        <f>J68/J54</f>
        <v>6.9366000000000003</v>
      </c>
      <c r="K67" s="12" t="s">
        <v>141</v>
      </c>
    </row>
    <row r="68" spans="2:17" ht="60" customHeight="1">
      <c r="B68" s="1110" t="s">
        <v>178</v>
      </c>
      <c r="C68" s="1111"/>
      <c r="D68" s="26"/>
      <c r="E68" s="25"/>
      <c r="F68" s="25"/>
      <c r="G68" s="25"/>
      <c r="H68" s="25"/>
      <c r="I68" s="25"/>
      <c r="J68" s="48">
        <f>(J65/J30)</f>
        <v>13.873200000000001</v>
      </c>
      <c r="K68" s="12" t="s">
        <v>142</v>
      </c>
    </row>
    <row r="69" spans="2:17" ht="60" customHeight="1">
      <c r="B69" s="1110" t="s">
        <v>166</v>
      </c>
      <c r="C69" s="1111"/>
      <c r="D69" s="26"/>
      <c r="E69" s="25"/>
      <c r="F69" s="25"/>
      <c r="G69" s="25"/>
      <c r="H69" s="25"/>
      <c r="I69" s="25"/>
      <c r="J69" s="48">
        <f>SUM(((J10*PI())*2)/12)</f>
        <v>15.707963267948964</v>
      </c>
      <c r="K69" s="12" t="s">
        <v>167</v>
      </c>
    </row>
    <row r="70" spans="2:17" ht="60" customHeight="1">
      <c r="B70" s="1112" t="s">
        <v>168</v>
      </c>
      <c r="C70" s="1113"/>
      <c r="D70" s="26"/>
      <c r="E70" s="25"/>
      <c r="F70" s="25"/>
      <c r="G70" s="25"/>
      <c r="H70" s="25"/>
      <c r="I70" s="25"/>
      <c r="J70" s="48">
        <f>J69*((J40/12)+1)</f>
        <v>47.123889803846893</v>
      </c>
      <c r="K70" s="12" t="s">
        <v>169</v>
      </c>
    </row>
    <row r="71" spans="2:17" ht="60" customHeight="1" thickBot="1">
      <c r="B71" s="1112" t="s">
        <v>168</v>
      </c>
      <c r="C71" s="1113"/>
      <c r="D71" s="26"/>
      <c r="E71" s="25"/>
      <c r="F71" s="25"/>
      <c r="G71" s="25"/>
      <c r="H71" s="25"/>
      <c r="I71" s="25"/>
      <c r="J71" s="48">
        <f>ROUNDUP(J70*0.06, 0)</f>
        <v>3</v>
      </c>
      <c r="K71" s="12" t="s">
        <v>142</v>
      </c>
    </row>
    <row r="72" spans="2:17" ht="60" customHeight="1" thickBot="1">
      <c r="B72" s="1108" t="s">
        <v>170</v>
      </c>
      <c r="C72" s="1109"/>
      <c r="D72" s="31"/>
      <c r="E72" s="29"/>
      <c r="F72" s="29"/>
      <c r="G72" s="29"/>
      <c r="H72" s="29"/>
      <c r="I72" s="29"/>
      <c r="J72" s="50">
        <f>(J20*J22*J23)/'OW Variables'!$S$14</f>
        <v>0.39480519480519488</v>
      </c>
      <c r="K72" s="13" t="s">
        <v>86</v>
      </c>
      <c r="M72" s="415" t="s">
        <v>117</v>
      </c>
      <c r="N72" s="1200">
        <f>N54</f>
        <v>0</v>
      </c>
      <c r="O72" s="1200"/>
      <c r="P72" s="1200"/>
      <c r="Q72" s="1201"/>
    </row>
    <row r="73" spans="2:17">
      <c r="M73" s="1197"/>
      <c r="N73" s="1197"/>
    </row>
    <row r="74" spans="2:17">
      <c r="N74" s="268"/>
    </row>
  </sheetData>
  <sheetProtection selectLockedCells="1" selectUnlockedCells="1"/>
  <mergeCells count="95">
    <mergeCell ref="M73:N73"/>
    <mergeCell ref="B65:C65"/>
    <mergeCell ref="B40:C40"/>
    <mergeCell ref="B41:C41"/>
    <mergeCell ref="B42:C42"/>
    <mergeCell ref="B67:C67"/>
    <mergeCell ref="B47:K47"/>
    <mergeCell ref="B66:C66"/>
    <mergeCell ref="B44:C44"/>
    <mergeCell ref="B56:K56"/>
    <mergeCell ref="B59:K59"/>
    <mergeCell ref="B63:C63"/>
    <mergeCell ref="B57:C57"/>
    <mergeCell ref="B58:C58"/>
    <mergeCell ref="B61:C61"/>
    <mergeCell ref="N72:Q72"/>
    <mergeCell ref="B68:C68"/>
    <mergeCell ref="B72:C72"/>
    <mergeCell ref="B69:C69"/>
    <mergeCell ref="M8:Q8"/>
    <mergeCell ref="B2:K2"/>
    <mergeCell ref="B3:K3"/>
    <mergeCell ref="B4:K5"/>
    <mergeCell ref="B6:K7"/>
    <mergeCell ref="B8:K8"/>
    <mergeCell ref="B12:C12"/>
    <mergeCell ref="N12:Q12"/>
    <mergeCell ref="B13:C13"/>
    <mergeCell ref="N13:Q13"/>
    <mergeCell ref="B14:C14"/>
    <mergeCell ref="N14:Q14"/>
    <mergeCell ref="B9:C9"/>
    <mergeCell ref="N9:Q9"/>
    <mergeCell ref="B10:C10"/>
    <mergeCell ref="N10:Q10"/>
    <mergeCell ref="B11:C11"/>
    <mergeCell ref="N11:Q11"/>
    <mergeCell ref="N19:Q19"/>
    <mergeCell ref="B20:C20"/>
    <mergeCell ref="N20:Q20"/>
    <mergeCell ref="B15:C15"/>
    <mergeCell ref="N15:Q15"/>
    <mergeCell ref="B16:C16"/>
    <mergeCell ref="N16:Q16"/>
    <mergeCell ref="N17:Q17"/>
    <mergeCell ref="B17:C17"/>
    <mergeCell ref="B18:C18"/>
    <mergeCell ref="N18:Q18"/>
    <mergeCell ref="B19:C19"/>
    <mergeCell ref="M21:M23"/>
    <mergeCell ref="N21:Q23"/>
    <mergeCell ref="B23:C23"/>
    <mergeCell ref="B25:C25"/>
    <mergeCell ref="M26:Q26"/>
    <mergeCell ref="B24:C24"/>
    <mergeCell ref="N24:Q24"/>
    <mergeCell ref="B22:C22"/>
    <mergeCell ref="B21:C21"/>
    <mergeCell ref="B29:C29"/>
    <mergeCell ref="B26:C26"/>
    <mergeCell ref="B27:C27"/>
    <mergeCell ref="B28:C28"/>
    <mergeCell ref="N28:Q28"/>
    <mergeCell ref="N27:Q27"/>
    <mergeCell ref="N29:Q29"/>
    <mergeCell ref="N30:Q30"/>
    <mergeCell ref="B30:C30"/>
    <mergeCell ref="B31:C31"/>
    <mergeCell ref="B32:C32"/>
    <mergeCell ref="B33:C33"/>
    <mergeCell ref="N31:Q31"/>
    <mergeCell ref="B43:C43"/>
    <mergeCell ref="N64:Q64"/>
    <mergeCell ref="B34:C34"/>
    <mergeCell ref="B35:K35"/>
    <mergeCell ref="B36:C36"/>
    <mergeCell ref="B37:C37"/>
    <mergeCell ref="B39:C39"/>
    <mergeCell ref="B38:C38"/>
    <mergeCell ref="B70:C70"/>
    <mergeCell ref="B71:C71"/>
    <mergeCell ref="N43:Q43"/>
    <mergeCell ref="B46:C46"/>
    <mergeCell ref="B45:C45"/>
    <mergeCell ref="B64:C64"/>
    <mergeCell ref="E48:H48"/>
    <mergeCell ref="B49:C49"/>
    <mergeCell ref="B52:K52"/>
    <mergeCell ref="B53:C53"/>
    <mergeCell ref="B55:C55"/>
    <mergeCell ref="B50:C50"/>
    <mergeCell ref="B51:C51"/>
    <mergeCell ref="B54:C54"/>
    <mergeCell ref="B62:K62"/>
    <mergeCell ref="B60:C60"/>
  </mergeCells>
  <pageMargins left="0.25" right="0.25" top="1" bottom="0.75" header="0.25" footer="0.3"/>
  <pageSetup scale="60" fitToWidth="0" fitToHeight="0" orientation="portrait" r:id="rId1"/>
  <headerFooter alignWithMargins="0">
    <oddHeader xml:space="preserve">&amp;L&amp;G&amp;R&amp;"-,Bold"&amp;16OmegaWrap®&amp;12
&amp;"-,Regular"&amp;14 (832) 947-4488
www.omegawrap.com </oddHeader>
    <oddFooter>&amp;L&amp;16Calculator Version &amp;F&amp;R&amp;16Page &amp;P of &amp;N</oddFooter>
  </headerFooter>
  <rowBreaks count="2" manualBreakCount="2">
    <brk id="43" max="17" man="1"/>
    <brk id="64" max="17" man="1"/>
  </rowBreaks>
  <drawing r:id="rId2"/>
  <legacyDrawing r:id="rId3"/>
  <legacyDrawingHF r:id="rId4"/>
  <controls>
    <mc:AlternateContent xmlns:mc="http://schemas.openxmlformats.org/markup-compatibility/2006">
      <mc:Choice Requires="x14">
        <control shapeId="12289" r:id="rId5" name="ExportSingle">
          <controlPr defaultSize="0" autoLine="0" r:id="rId6">
            <anchor moveWithCells="1">
              <from>
                <xdr:col>11</xdr:col>
                <xdr:colOff>600075</xdr:colOff>
                <xdr:row>1</xdr:row>
                <xdr:rowOff>409575</xdr:rowOff>
              </from>
              <to>
                <xdr:col>17</xdr:col>
                <xdr:colOff>0</xdr:colOff>
                <xdr:row>5</xdr:row>
                <xdr:rowOff>57150</xdr:rowOff>
              </to>
            </anchor>
          </controlPr>
        </control>
      </mc:Choice>
      <mc:Fallback>
        <control shapeId="12289" r:id="rId5" name="ExportSingle"/>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AC153-0E97-400C-9EF1-4AB040EA894C}">
  <sheetPr>
    <tabColor rgb="FF92D050"/>
    <pageSetUpPr autoPageBreaks="0"/>
  </sheetPr>
  <dimension ref="A1:AD6"/>
  <sheetViews>
    <sheetView workbookViewId="0">
      <selection activeCell="E7" sqref="E7"/>
    </sheetView>
  </sheetViews>
  <sheetFormatPr defaultColWidth="8.85546875" defaultRowHeight="15"/>
  <cols>
    <col min="1" max="1" width="12.7109375" style="292" customWidth="1"/>
    <col min="2" max="2" width="11.5703125" style="292" customWidth="1"/>
    <col min="3" max="3" width="16.140625" style="292" bestFit="1" customWidth="1"/>
    <col min="4" max="4" width="11.85546875" style="292" customWidth="1"/>
    <col min="5" max="5" width="16.140625" style="292" bestFit="1" customWidth="1"/>
    <col min="6" max="6" width="8.85546875" style="292"/>
    <col min="7" max="8" width="12.7109375" style="292" customWidth="1"/>
    <col min="9" max="9" width="16.140625" style="292" bestFit="1" customWidth="1"/>
    <col min="10" max="10" width="11.85546875" style="292" customWidth="1"/>
    <col min="11" max="12" width="8.85546875" style="292"/>
    <col min="13" max="14" width="12.7109375" style="292" customWidth="1"/>
    <col min="15" max="18" width="8.85546875" style="292"/>
    <col min="19" max="20" width="12.7109375" style="292" customWidth="1"/>
    <col min="21" max="21" width="8.85546875" style="292"/>
    <col min="22" max="22" width="11.85546875" style="292" customWidth="1"/>
    <col min="23" max="24" width="8.85546875" style="292"/>
    <col min="25" max="26" width="12.7109375" style="292" customWidth="1"/>
    <col min="27" max="16384" width="8.85546875" style="292"/>
  </cols>
  <sheetData>
    <row r="1" spans="1:30">
      <c r="A1" s="1003" t="s">
        <v>179</v>
      </c>
      <c r="B1" s="1009"/>
      <c r="C1" s="1202"/>
      <c r="D1" s="525" t="b">
        <v>0</v>
      </c>
      <c r="E1" s="292">
        <v>6</v>
      </c>
      <c r="F1" s="292">
        <v>20</v>
      </c>
      <c r="G1" s="1003" t="s">
        <v>180</v>
      </c>
      <c r="H1" s="1009"/>
      <c r="I1" s="1202"/>
      <c r="J1" s="525" t="b">
        <v>0</v>
      </c>
      <c r="K1" s="292">
        <v>12</v>
      </c>
      <c r="L1" s="292">
        <v>15</v>
      </c>
      <c r="M1" s="1003" t="s">
        <v>181</v>
      </c>
      <c r="N1" s="1009"/>
      <c r="O1" s="1202"/>
      <c r="P1" s="636" t="b">
        <v>0</v>
      </c>
      <c r="Q1" s="292">
        <v>12</v>
      </c>
      <c r="R1" s="292">
        <v>15</v>
      </c>
      <c r="S1" s="1003" t="s">
        <v>182</v>
      </c>
      <c r="T1" s="1009"/>
      <c r="U1" s="1202"/>
      <c r="V1" s="525" t="b">
        <v>0</v>
      </c>
      <c r="W1" s="292">
        <v>12</v>
      </c>
      <c r="X1" s="292">
        <v>15</v>
      </c>
      <c r="Y1" s="1003" t="s">
        <v>183</v>
      </c>
      <c r="Z1" s="1009"/>
      <c r="AA1" s="1202"/>
      <c r="AB1" s="525" t="b">
        <v>0</v>
      </c>
      <c r="AC1" s="292">
        <v>12</v>
      </c>
      <c r="AD1" s="292">
        <v>15</v>
      </c>
    </row>
    <row r="2" spans="1:30">
      <c r="A2" s="588" t="s">
        <v>184</v>
      </c>
      <c r="B2" s="590" t="s">
        <v>185</v>
      </c>
      <c r="C2" s="589" t="s">
        <v>186</v>
      </c>
      <c r="D2" s="525" t="b">
        <v>0</v>
      </c>
      <c r="E2" s="292">
        <v>12</v>
      </c>
      <c r="F2" s="292">
        <v>15</v>
      </c>
      <c r="G2" s="588" t="s">
        <v>184</v>
      </c>
      <c r="H2" s="590" t="s">
        <v>185</v>
      </c>
      <c r="I2" s="589" t="s">
        <v>186</v>
      </c>
      <c r="J2" s="525" t="b">
        <v>1</v>
      </c>
      <c r="K2" s="292">
        <v>12</v>
      </c>
      <c r="L2" s="292">
        <v>30</v>
      </c>
      <c r="M2" s="588" t="s">
        <v>184</v>
      </c>
      <c r="N2" s="590" t="s">
        <v>185</v>
      </c>
      <c r="O2" s="589" t="s">
        <v>186</v>
      </c>
      <c r="P2" s="525" t="b">
        <v>1</v>
      </c>
      <c r="Q2" s="292">
        <v>12</v>
      </c>
      <c r="R2" s="292">
        <v>30</v>
      </c>
      <c r="S2" s="588" t="s">
        <v>184</v>
      </c>
      <c r="T2" s="590" t="s">
        <v>185</v>
      </c>
      <c r="U2" s="589" t="s">
        <v>186</v>
      </c>
      <c r="V2" s="525" t="b">
        <v>1</v>
      </c>
      <c r="W2" s="292">
        <v>12</v>
      </c>
      <c r="X2" s="292">
        <v>30</v>
      </c>
      <c r="Y2" s="588" t="s">
        <v>184</v>
      </c>
      <c r="Z2" s="590" t="s">
        <v>185</v>
      </c>
      <c r="AA2" s="589" t="s">
        <v>186</v>
      </c>
      <c r="AB2" s="525" t="b">
        <v>1</v>
      </c>
      <c r="AC2" s="292">
        <v>12</v>
      </c>
      <c r="AD2" s="292">
        <v>30</v>
      </c>
    </row>
    <row r="3" spans="1:30">
      <c r="A3" s="1203" t="s">
        <v>187</v>
      </c>
      <c r="B3" s="1204"/>
      <c r="C3" s="505">
        <f>COUNTIF(D1:D3,TRUE)</f>
        <v>1</v>
      </c>
      <c r="D3" s="525" t="b">
        <v>1</v>
      </c>
      <c r="E3" s="292">
        <v>12</v>
      </c>
      <c r="F3" s="292">
        <v>30</v>
      </c>
      <c r="G3" s="1203" t="s">
        <v>187</v>
      </c>
      <c r="H3" s="1204"/>
      <c r="I3" s="505">
        <f>COUNTIF(J1:J3,TRUE)</f>
        <v>1</v>
      </c>
      <c r="J3" s="525" t="b">
        <v>0</v>
      </c>
      <c r="M3" s="1203" t="s">
        <v>187</v>
      </c>
      <c r="N3" s="1204"/>
      <c r="O3" s="505">
        <f>COUNTIF(P1:P3,TRUE)</f>
        <v>1</v>
      </c>
      <c r="P3" s="525" t="b">
        <v>0</v>
      </c>
      <c r="S3" s="1203" t="s">
        <v>187</v>
      </c>
      <c r="T3" s="1204"/>
      <c r="U3" s="505">
        <f>COUNTIF(V1:V3,TRUE)</f>
        <v>1</v>
      </c>
      <c r="V3" s="525" t="b">
        <v>0</v>
      </c>
      <c r="Y3" s="1203" t="s">
        <v>187</v>
      </c>
      <c r="Z3" s="1204"/>
      <c r="AA3" s="505">
        <f>COUNTIF(AB1:AB3,TRUE)</f>
        <v>1</v>
      </c>
      <c r="AB3" s="525" t="b">
        <v>0</v>
      </c>
    </row>
    <row r="4" spans="1:30">
      <c r="A4" s="992" t="s">
        <v>188</v>
      </c>
      <c r="B4" s="1003"/>
      <c r="C4" s="589" t="s">
        <v>189</v>
      </c>
      <c r="G4" s="992" t="s">
        <v>188</v>
      </c>
      <c r="H4" s="1003"/>
      <c r="I4" s="589" t="s">
        <v>189</v>
      </c>
      <c r="M4" s="992" t="s">
        <v>188</v>
      </c>
      <c r="N4" s="1003"/>
      <c r="O4" s="589" t="s">
        <v>189</v>
      </c>
      <c r="S4" s="992" t="s">
        <v>188</v>
      </c>
      <c r="T4" s="1003"/>
      <c r="U4" s="589" t="s">
        <v>189</v>
      </c>
      <c r="Y4" s="992" t="s">
        <v>188</v>
      </c>
      <c r="Z4" s="1003"/>
      <c r="AA4" s="589" t="s">
        <v>189</v>
      </c>
    </row>
    <row r="5" spans="1:30">
      <c r="A5" s="992" t="s">
        <v>190</v>
      </c>
      <c r="B5" s="1003"/>
      <c r="C5" s="589" t="s">
        <v>191</v>
      </c>
      <c r="G5" s="992" t="s">
        <v>190</v>
      </c>
      <c r="H5" s="1003"/>
      <c r="I5" s="589" t="s">
        <v>192</v>
      </c>
      <c r="M5" s="992" t="s">
        <v>190</v>
      </c>
      <c r="N5" s="1003"/>
      <c r="O5" s="589" t="s">
        <v>192</v>
      </c>
      <c r="S5" s="992" t="s">
        <v>190</v>
      </c>
      <c r="T5" s="1003"/>
      <c r="U5" s="589" t="s">
        <v>193</v>
      </c>
      <c r="Y5" s="992" t="s">
        <v>190</v>
      </c>
      <c r="Z5" s="1003"/>
      <c r="AA5" s="589" t="s">
        <v>193</v>
      </c>
    </row>
    <row r="6" spans="1:30">
      <c r="A6" s="992" t="s">
        <v>194</v>
      </c>
      <c r="B6" s="1003"/>
      <c r="C6" s="589"/>
      <c r="G6" s="992" t="s">
        <v>194</v>
      </c>
      <c r="H6" s="1003"/>
      <c r="I6" s="589"/>
      <c r="M6" s="992" t="s">
        <v>194</v>
      </c>
      <c r="N6" s="1003"/>
      <c r="O6" s="589" t="s">
        <v>195</v>
      </c>
      <c r="S6" s="992" t="s">
        <v>194</v>
      </c>
      <c r="T6" s="1003"/>
      <c r="U6" s="589"/>
      <c r="Y6" s="992" t="s">
        <v>194</v>
      </c>
      <c r="Z6" s="1003"/>
      <c r="AA6" s="589" t="s">
        <v>195</v>
      </c>
    </row>
  </sheetData>
  <mergeCells count="25">
    <mergeCell ref="M1:O1"/>
    <mergeCell ref="A1:C1"/>
    <mergeCell ref="A3:B3"/>
    <mergeCell ref="A4:B4"/>
    <mergeCell ref="A5:B5"/>
    <mergeCell ref="G1:I1"/>
    <mergeCell ref="G3:H3"/>
    <mergeCell ref="G4:H4"/>
    <mergeCell ref="G5:H5"/>
    <mergeCell ref="A6:B6"/>
    <mergeCell ref="G6:H6"/>
    <mergeCell ref="M6:N6"/>
    <mergeCell ref="S6:T6"/>
    <mergeCell ref="Y1:AA1"/>
    <mergeCell ref="Y3:Z3"/>
    <mergeCell ref="Y4:Z4"/>
    <mergeCell ref="Y5:Z5"/>
    <mergeCell ref="Y6:Z6"/>
    <mergeCell ref="M3:N3"/>
    <mergeCell ref="M4:N4"/>
    <mergeCell ref="M5:N5"/>
    <mergeCell ref="S1:U1"/>
    <mergeCell ref="S3:T3"/>
    <mergeCell ref="S4:T4"/>
    <mergeCell ref="S5:T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0D68-3CA6-43F6-8D73-E438DD1AA9DD}">
  <sheetPr>
    <tabColor rgb="FFFFC000"/>
  </sheetPr>
  <dimension ref="A1:ER108"/>
  <sheetViews>
    <sheetView tabSelected="1" topLeftCell="A21" zoomScaleNormal="100" workbookViewId="0">
      <selection activeCell="F33" sqref="F33"/>
    </sheetView>
  </sheetViews>
  <sheetFormatPr defaultRowHeight="15" customHeight="1"/>
  <cols>
    <col min="2" max="2" width="32.5703125" style="289" bestFit="1" customWidth="1"/>
    <col min="3" max="3" width="27.5703125" bestFit="1" customWidth="1"/>
    <col min="4" max="4" width="20.140625" customWidth="1"/>
    <col min="5" max="5" width="17.42578125" customWidth="1"/>
    <col min="6" max="6" width="17.85546875" bestFit="1" customWidth="1"/>
    <col min="7" max="7" width="27.5703125" bestFit="1" customWidth="1"/>
    <col min="8" max="8" width="12.7109375" style="320" customWidth="1"/>
    <col min="9" max="9" width="12.7109375" customWidth="1"/>
    <col min="10" max="10" width="52.7109375" bestFit="1" customWidth="1"/>
    <col min="11" max="11" width="11.5703125" customWidth="1"/>
    <col min="12" max="12" width="15.28515625" customWidth="1"/>
    <col min="13" max="14" width="13.140625" customWidth="1"/>
    <col min="15" max="15" width="15" customWidth="1"/>
    <col min="16" max="22" width="13.140625" customWidth="1"/>
    <col min="23" max="23" width="15" customWidth="1"/>
    <col min="24" max="30" width="13.140625" customWidth="1"/>
    <col min="31" max="31" width="22.7109375" customWidth="1"/>
    <col min="32" max="32" width="24.7109375" customWidth="1"/>
    <col min="33" max="33" width="13.140625" customWidth="1"/>
    <col min="34" max="34" width="71.5703125" customWidth="1"/>
    <col min="35" max="35" width="68.42578125" customWidth="1"/>
    <col min="36" max="36" width="18.42578125" customWidth="1"/>
    <col min="37" max="40" width="13.140625" customWidth="1"/>
    <col min="41" max="41" width="16.140625" bestFit="1" customWidth="1"/>
    <col min="42" max="42" width="40.5703125" bestFit="1" customWidth="1"/>
    <col min="43" max="43" width="15" bestFit="1" customWidth="1"/>
    <col min="44" max="44" width="19.5703125" customWidth="1"/>
    <col min="45" max="45" width="13.140625" customWidth="1"/>
    <col min="46" max="46" width="23" bestFit="1" customWidth="1"/>
    <col min="47" max="47" width="18.140625" bestFit="1" customWidth="1"/>
    <col min="48" max="48" width="38.5703125" bestFit="1" customWidth="1"/>
    <col min="49" max="50" width="13.28515625" customWidth="1"/>
    <col min="51" max="51" width="22.85546875" customWidth="1"/>
    <col min="52" max="52" width="21" bestFit="1" customWidth="1"/>
    <col min="53" max="53" width="23.28515625" bestFit="1" customWidth="1"/>
    <col min="54" max="54" width="16.140625" bestFit="1" customWidth="1"/>
    <col min="55" max="55" width="19.28515625" bestFit="1" customWidth="1"/>
    <col min="56" max="56" width="28.5703125" bestFit="1" customWidth="1"/>
    <col min="57" max="57" width="19.28515625" bestFit="1" customWidth="1"/>
    <col min="58" max="58" width="15.42578125" bestFit="1" customWidth="1"/>
    <col min="59" max="59" width="13.42578125" bestFit="1" customWidth="1"/>
    <col min="60" max="60" width="20.5703125" customWidth="1"/>
    <col min="62" max="62" width="21.5703125" customWidth="1"/>
    <col min="63" max="63" width="22.140625" customWidth="1"/>
    <col min="64" max="64" width="10.5703125" bestFit="1" customWidth="1"/>
    <col min="66" max="66" width="24.85546875" bestFit="1" customWidth="1"/>
    <col min="68" max="68" width="18.42578125" bestFit="1" customWidth="1"/>
    <col min="69" max="69" width="12.5703125" bestFit="1" customWidth="1"/>
    <col min="70" max="70" width="21.140625" bestFit="1" customWidth="1"/>
    <col min="73" max="73" width="10.5703125" bestFit="1" customWidth="1"/>
    <col min="74" max="74" width="10.28515625" bestFit="1" customWidth="1"/>
    <col min="77" max="78" width="9" bestFit="1" customWidth="1"/>
    <col min="79" max="79" width="10.28515625" bestFit="1" customWidth="1"/>
    <col min="86" max="86" width="15.28515625" bestFit="1" customWidth="1"/>
    <col min="103" max="103" width="10.28515625" bestFit="1" customWidth="1"/>
    <col min="109" max="109" width="2" bestFit="1" customWidth="1"/>
    <col min="110" max="110" width="9" bestFit="1" customWidth="1"/>
    <col min="111" max="111" width="10.28515625" bestFit="1" customWidth="1"/>
    <col min="113" max="113" width="2" bestFit="1" customWidth="1"/>
    <col min="114" max="114" width="9" bestFit="1" customWidth="1"/>
  </cols>
  <sheetData>
    <row r="1" spans="1:148" ht="15.75" customHeight="1"/>
    <row r="2" spans="1:148">
      <c r="E2" s="304" t="s">
        <v>196</v>
      </c>
      <c r="F2" s="266" t="s">
        <v>197</v>
      </c>
      <c r="G2" s="304" t="s">
        <v>33</v>
      </c>
    </row>
    <row r="3" spans="1:148">
      <c r="B3" s="289" t="s">
        <v>198</v>
      </c>
      <c r="E3">
        <f>(IF(B4=1,Mechanical!C26,Corrosion!C27)/12)</f>
        <v>6</v>
      </c>
      <c r="F3" s="292">
        <f>IF(B4=1,Mechanical!S4,Corrosion!S4)</f>
        <v>20</v>
      </c>
      <c r="G3">
        <f>IF(B4=1,Mechanical!S5,Corrosion!S5)</f>
        <v>0.25</v>
      </c>
    </row>
    <row r="4" spans="1:148">
      <c r="B4" s="374">
        <f>IF(Main!C15="Mechanical",1,0)</f>
        <v>0</v>
      </c>
      <c r="E4" s="304" t="s">
        <v>199</v>
      </c>
      <c r="F4" s="266" t="s">
        <v>200</v>
      </c>
      <c r="G4" s="304" t="s">
        <v>201</v>
      </c>
    </row>
    <row r="5" spans="1:148">
      <c r="B5" s="289" t="s">
        <v>202</v>
      </c>
      <c r="C5" s="289" t="s">
        <v>203</v>
      </c>
      <c r="D5" t="s">
        <v>204</v>
      </c>
      <c r="E5">
        <f>IF(B4=1,Mechanical!C27,Corrosion!C28)</f>
        <v>253.54199999999997</v>
      </c>
      <c r="F5" s="292">
        <f>IF(B4=1,Mechanical!C26/12,Corrosion!C27/12)</f>
        <v>6</v>
      </c>
      <c r="G5">
        <f>IF(B4=1,Mechanical!C26,Corrosion!C27)</f>
        <v>72</v>
      </c>
    </row>
    <row r="6" spans="1:148">
      <c r="B6" s="289">
        <f>IF(Mechanical!E18="Carbon",1,0)</f>
        <v>1</v>
      </c>
      <c r="C6" s="289">
        <f>IF(Corrosion!E19="Carbon",1,0)</f>
        <v>1</v>
      </c>
      <c r="D6">
        <f>IF(B4=1,B6,C6)</f>
        <v>1</v>
      </c>
    </row>
    <row r="7" spans="1:148"/>
    <row r="8" spans="1:148">
      <c r="BA8" s="292" t="s">
        <v>205</v>
      </c>
    </row>
    <row r="9" spans="1:148" ht="43.9" customHeight="1">
      <c r="B9" s="468" t="s">
        <v>206</v>
      </c>
      <c r="C9" s="469" t="s">
        <v>90</v>
      </c>
      <c r="D9" s="470" t="s">
        <v>207</v>
      </c>
      <c r="E9" s="470" t="s">
        <v>207</v>
      </c>
      <c r="F9" s="470" t="s">
        <v>91</v>
      </c>
      <c r="G9" s="471" t="s">
        <v>208</v>
      </c>
      <c r="H9" s="1213" t="s">
        <v>209</v>
      </c>
      <c r="I9" s="1214"/>
      <c r="J9" s="472" t="s">
        <v>210</v>
      </c>
      <c r="BA9" s="266" t="s">
        <v>211</v>
      </c>
      <c r="BG9" s="264" t="s">
        <v>212</v>
      </c>
      <c r="BH9" s="264" t="s">
        <v>213</v>
      </c>
    </row>
    <row r="10" spans="1:148" ht="15.75">
      <c r="A10" s="1014" t="s">
        <v>64</v>
      </c>
      <c r="B10" s="356" t="s">
        <v>214</v>
      </c>
      <c r="C10" s="269" t="s">
        <v>215</v>
      </c>
      <c r="D10" s="270">
        <v>647.5</v>
      </c>
      <c r="E10" s="270">
        <f t="shared" ref="E10:E18" si="0">D10*$BG$10</f>
        <v>647.5</v>
      </c>
      <c r="F10" s="819">
        <f>'Fabric Calc'!BU6</f>
        <v>12</v>
      </c>
      <c r="G10" s="474">
        <v>1</v>
      </c>
      <c r="H10" s="475">
        <v>1</v>
      </c>
      <c r="I10" s="473">
        <f>F10*H10</f>
        <v>12</v>
      </c>
      <c r="J10" s="476"/>
      <c r="AZ10" s="266"/>
      <c r="BA10" s="268" t="s">
        <v>216</v>
      </c>
      <c r="BB10" s="266"/>
      <c r="BC10" s="266"/>
      <c r="BD10" s="266"/>
      <c r="BE10" s="266"/>
      <c r="BG10" s="300">
        <v>1</v>
      </c>
      <c r="BH10" s="301">
        <f>1-BG10</f>
        <v>0</v>
      </c>
    </row>
    <row r="11" spans="1:148" ht="15.95" customHeight="1">
      <c r="A11" s="1014"/>
      <c r="B11" s="356" t="s">
        <v>217</v>
      </c>
      <c r="C11" s="269" t="s">
        <v>218</v>
      </c>
      <c r="D11" s="270">
        <v>822.5</v>
      </c>
      <c r="E11" s="265">
        <f t="shared" si="0"/>
        <v>822.5</v>
      </c>
      <c r="F11" s="817"/>
      <c r="G11" s="467">
        <f t="shared" ref="G11:G18" si="1">F11*E11</f>
        <v>0</v>
      </c>
      <c r="H11" s="329">
        <v>1</v>
      </c>
      <c r="I11" s="352">
        <f>F11*H11</f>
        <v>0</v>
      </c>
      <c r="J11" s="306"/>
      <c r="AZ11" s="292"/>
      <c r="BA11" s="273" t="s">
        <v>219</v>
      </c>
      <c r="BB11" s="292"/>
      <c r="BC11" s="292"/>
      <c r="BD11" s="292"/>
      <c r="BE11" s="292"/>
    </row>
    <row r="12" spans="1:148" ht="15.95" customHeight="1">
      <c r="A12" s="1014"/>
      <c r="B12" s="357" t="s">
        <v>220</v>
      </c>
      <c r="C12" s="272" t="s">
        <v>221</v>
      </c>
      <c r="D12" s="271">
        <v>323.75</v>
      </c>
      <c r="E12" s="265">
        <f t="shared" si="0"/>
        <v>323.75</v>
      </c>
      <c r="F12" s="463">
        <f>'Fabric Calc'!BU5</f>
        <v>0</v>
      </c>
      <c r="G12" s="467">
        <f t="shared" si="1"/>
        <v>0</v>
      </c>
      <c r="H12" s="329">
        <v>0.5</v>
      </c>
      <c r="I12" s="352">
        <f>F12*H12</f>
        <v>0</v>
      </c>
      <c r="J12" s="306"/>
      <c r="AZ12" s="266"/>
      <c r="BB12" s="266"/>
      <c r="BC12" s="266"/>
      <c r="BD12" s="266"/>
      <c r="BE12" s="266"/>
    </row>
    <row r="13" spans="1:148" ht="15.95" customHeight="1">
      <c r="A13" s="1014"/>
      <c r="B13" s="356" t="s">
        <v>222</v>
      </c>
      <c r="C13" s="272" t="s">
        <v>223</v>
      </c>
      <c r="D13" s="271">
        <v>411.3</v>
      </c>
      <c r="E13" s="265">
        <f t="shared" si="0"/>
        <v>411.3</v>
      </c>
      <c r="F13" s="818"/>
      <c r="G13" s="467">
        <f t="shared" si="1"/>
        <v>0</v>
      </c>
      <c r="H13" s="329">
        <v>0.5</v>
      </c>
      <c r="I13" s="352">
        <f>F13*H13</f>
        <v>0</v>
      </c>
      <c r="J13" s="306"/>
      <c r="AN13" s="268"/>
      <c r="AQ13" s="262"/>
      <c r="AR13" s="262"/>
      <c r="AS13" s="262"/>
      <c r="AT13" s="262"/>
      <c r="AU13" s="262"/>
      <c r="AZ13" s="268"/>
      <c r="BB13" s="268"/>
      <c r="BC13" s="268"/>
      <c r="BD13" s="268"/>
      <c r="BE13" s="268"/>
    </row>
    <row r="14" spans="1:148" ht="15.75">
      <c r="A14" s="1014"/>
      <c r="B14" s="357" t="s">
        <v>224</v>
      </c>
      <c r="C14" s="272" t="s">
        <v>225</v>
      </c>
      <c r="D14" s="271">
        <v>125</v>
      </c>
      <c r="E14" s="265">
        <f t="shared" si="0"/>
        <v>125</v>
      </c>
      <c r="F14" s="463">
        <f>R14</f>
        <v>18</v>
      </c>
      <c r="G14" s="467">
        <f t="shared" si="1"/>
        <v>2250</v>
      </c>
      <c r="H14" s="329"/>
      <c r="I14" s="351"/>
      <c r="J14" s="306"/>
      <c r="K14" t="s">
        <v>64</v>
      </c>
      <c r="L14" s="273" t="s">
        <v>226</v>
      </c>
      <c r="M14" s="326">
        <f>ROUNDUP(((1.1/57.75)*((F3+0.025)*0.025*PI()*(IF(B4=1,Mechanical!C26,Corrosion!C27))))/2,0)</f>
        <v>2</v>
      </c>
      <c r="N14" s="345" t="s">
        <v>227</v>
      </c>
      <c r="O14" s="261" t="s">
        <v>228</v>
      </c>
      <c r="P14" s="377">
        <f>ROUNDUP((I10+I11+I12+I13+I16+I17+I18+M14),0)</f>
        <v>18</v>
      </c>
      <c r="Q14" t="s">
        <v>229</v>
      </c>
      <c r="R14" s="451">
        <f>ROUNDUP(P14,0)</f>
        <v>18</v>
      </c>
      <c r="T14" t="s">
        <v>230</v>
      </c>
      <c r="U14">
        <f>I27</f>
        <v>29</v>
      </c>
      <c r="W14" s="273"/>
      <c r="Z14" s="273"/>
      <c r="AA14" s="273"/>
      <c r="AB14" s="273"/>
      <c r="AC14" s="273"/>
      <c r="AD14" s="273"/>
      <c r="AE14" s="273"/>
      <c r="AF14" s="273"/>
      <c r="AG14" s="273"/>
      <c r="AH14" s="273"/>
      <c r="AI14" s="273"/>
      <c r="AJ14" s="273"/>
      <c r="AK14" s="273"/>
      <c r="AL14" s="273"/>
      <c r="AM14" s="273"/>
      <c r="AN14" s="273"/>
      <c r="AO14" s="273"/>
      <c r="AP14" s="273"/>
      <c r="AQ14" s="273"/>
      <c r="AR14" s="273"/>
      <c r="AS14" s="273"/>
      <c r="AT14" s="262"/>
      <c r="AU14" s="262"/>
      <c r="AZ14" s="273"/>
      <c r="BB14" s="273"/>
      <c r="BC14" s="273"/>
      <c r="BD14" s="273"/>
      <c r="BH14" s="262"/>
      <c r="BI14" s="262"/>
    </row>
    <row r="15" spans="1:148" ht="30">
      <c r="A15" s="1014"/>
      <c r="B15" s="357" t="s">
        <v>231</v>
      </c>
      <c r="C15" s="272" t="s">
        <v>232</v>
      </c>
      <c r="D15" s="271">
        <v>165.6</v>
      </c>
      <c r="E15" s="265">
        <f t="shared" si="0"/>
        <v>165.6</v>
      </c>
      <c r="F15" s="463">
        <f>L15+N15</f>
        <v>3</v>
      </c>
      <c r="G15" s="467">
        <f t="shared" si="1"/>
        <v>496.79999999999995</v>
      </c>
      <c r="H15" s="329"/>
      <c r="I15" s="351"/>
      <c r="J15" s="353" t="s">
        <v>233</v>
      </c>
      <c r="K15" s="325" t="s">
        <v>234</v>
      </c>
      <c r="L15" s="354">
        <f>ROUNDUP(IF(B4=1,Mechanical!C30,Corrosion!C31),0)</f>
        <v>3</v>
      </c>
      <c r="M15" s="325" t="s">
        <v>235</v>
      </c>
      <c r="N15" s="325">
        <v>0</v>
      </c>
      <c r="W15" s="262"/>
      <c r="X15" s="262"/>
      <c r="Y15" s="262"/>
      <c r="Z15" s="262"/>
      <c r="AA15" s="262"/>
      <c r="AC15" s="262"/>
      <c r="AD15" s="262"/>
      <c r="AE15" s="262"/>
      <c r="AK15" s="264" t="s">
        <v>236</v>
      </c>
      <c r="AL15" s="274">
        <f>_xlfn.CEILING.MATH(((2*PI()*F3)/12)*(F5+1),5)</f>
        <v>75</v>
      </c>
      <c r="AM15" s="264" t="s">
        <v>237</v>
      </c>
      <c r="AN15" s="291" t="s">
        <v>238</v>
      </c>
      <c r="AP15" s="358"/>
      <c r="AQ15" s="359" t="s">
        <v>30</v>
      </c>
      <c r="AR15" s="366">
        <f>F3</f>
        <v>20</v>
      </c>
      <c r="AS15" s="358" t="s">
        <v>239</v>
      </c>
      <c r="AT15" s="358"/>
      <c r="AU15" s="360" t="s">
        <v>240</v>
      </c>
      <c r="AV15" s="361">
        <f>AU37</f>
        <v>0</v>
      </c>
      <c r="AW15" s="373" t="str">
        <f>IF(AV15=0,"","Gets ("&amp; AV15 &amp;") 6"" wide isolation wrap")</f>
        <v/>
      </c>
      <c r="AX15" s="358">
        <f>IF(AR16&gt;1,AR16+1,AR16)</f>
        <v>7</v>
      </c>
      <c r="AY15" s="358"/>
      <c r="AZ15" s="358"/>
      <c r="BA15" s="358"/>
      <c r="BB15" s="358"/>
      <c r="BC15" s="358"/>
      <c r="BD15" s="358"/>
      <c r="BE15" s="358"/>
      <c r="BF15" s="358"/>
      <c r="BG15" s="358"/>
      <c r="BH15" s="358"/>
      <c r="BI15" s="358"/>
      <c r="BJ15" s="358"/>
      <c r="BK15" s="358"/>
      <c r="BL15" s="358"/>
      <c r="BN15" s="358"/>
      <c r="BO15" s="358" t="s">
        <v>241</v>
      </c>
      <c r="BP15" s="358"/>
      <c r="BQ15" s="358"/>
      <c r="BR15" s="358"/>
      <c r="BS15" s="358"/>
      <c r="BT15" s="358"/>
      <c r="BU15" s="358"/>
      <c r="BV15" s="358"/>
      <c r="BW15" s="358"/>
      <c r="BX15" s="358"/>
    </row>
    <row r="16" spans="1:148" ht="60">
      <c r="A16" s="1014"/>
      <c r="B16" s="357" t="s">
        <v>242</v>
      </c>
      <c r="C16" s="272" t="s">
        <v>243</v>
      </c>
      <c r="D16" s="271">
        <v>68.8</v>
      </c>
      <c r="E16" s="265">
        <f t="shared" si="0"/>
        <v>68.8</v>
      </c>
      <c r="F16" s="462">
        <f>'IW Calc 2'!CC111</f>
        <v>0</v>
      </c>
      <c r="G16" s="467">
        <f t="shared" si="1"/>
        <v>0</v>
      </c>
      <c r="H16" s="329">
        <v>0.3</v>
      </c>
      <c r="I16" s="352">
        <f>F16*H16</f>
        <v>0</v>
      </c>
      <c r="J16" s="333"/>
      <c r="L16" s="262"/>
      <c r="N16" s="262"/>
      <c r="O16" s="262"/>
      <c r="P16" s="262"/>
      <c r="Q16" s="262"/>
      <c r="R16" s="262"/>
      <c r="S16" s="262"/>
      <c r="T16" s="262"/>
      <c r="U16" s="262"/>
      <c r="V16" s="262"/>
      <c r="W16" s="262"/>
      <c r="X16" s="262"/>
      <c r="Y16" s="262"/>
      <c r="Z16" s="262"/>
      <c r="AA16" s="262"/>
      <c r="AB16" s="262"/>
      <c r="AC16" s="262"/>
      <c r="AD16" s="262"/>
      <c r="AE16" s="262"/>
      <c r="AF16" s="262"/>
      <c r="AG16" s="262"/>
      <c r="AH16" s="262"/>
      <c r="AI16" s="262"/>
      <c r="AJ16" s="262"/>
      <c r="AK16" s="262"/>
      <c r="AL16" s="262"/>
      <c r="AM16" s="262"/>
      <c r="AN16" s="262"/>
      <c r="AO16" s="262"/>
      <c r="AP16" s="358"/>
      <c r="AQ16" s="362" t="s">
        <v>244</v>
      </c>
      <c r="AR16" s="419">
        <f>F5</f>
        <v>6</v>
      </c>
      <c r="AS16" s="358" t="s">
        <v>245</v>
      </c>
      <c r="AT16" s="358"/>
      <c r="AU16" s="364" t="s">
        <v>246</v>
      </c>
      <c r="AV16" s="365">
        <f>AV37</f>
        <v>7</v>
      </c>
      <c r="AW16" s="373" t="str">
        <f>IF(AV16=0,"","Gets (" &amp; AV16 &amp; ") 12"" by 30' isolation wrap")</f>
        <v>Gets (7) 12" by 30' isolation wrap</v>
      </c>
      <c r="AX16" s="358"/>
      <c r="AY16" s="358"/>
      <c r="AZ16" s="358"/>
      <c r="BA16" s="358"/>
      <c r="BY16" s="262"/>
      <c r="DW16" s="379" t="s">
        <v>247</v>
      </c>
      <c r="DX16" s="378" t="s">
        <v>30</v>
      </c>
      <c r="DY16" s="366">
        <v>13</v>
      </c>
      <c r="DZ16" s="358" t="s">
        <v>239</v>
      </c>
      <c r="EA16" s="358"/>
      <c r="EB16" s="360" t="s">
        <v>240</v>
      </c>
      <c r="EC16" s="361">
        <f>EB38</f>
        <v>1</v>
      </c>
      <c r="ED16" s="373" t="str">
        <f>IF(EC16=0,"","Gets ("&amp; EC16 &amp;") 6"" wide isolation wrap")</f>
        <v>Gets (1) 6" wide isolation wrap</v>
      </c>
      <c r="EE16" s="358">
        <f>IF(DY17&gt;1,DY17+1,DY17)</f>
        <v>1</v>
      </c>
      <c r="EF16" s="358"/>
      <c r="EH16" s="358" t="s">
        <v>248</v>
      </c>
      <c r="EI16" s="358">
        <f>ROUNDDOWN(20/DX24,0)</f>
        <v>2</v>
      </c>
      <c r="EJ16" s="358" t="s">
        <v>249</v>
      </c>
      <c r="EK16" s="358">
        <f>20/EI16</f>
        <v>10</v>
      </c>
      <c r="EL16" s="358" t="s">
        <v>250</v>
      </c>
      <c r="EM16" s="358"/>
      <c r="EN16" s="358"/>
      <c r="EO16" s="358"/>
      <c r="EP16" s="358"/>
      <c r="EQ16" s="358"/>
      <c r="ER16" s="358"/>
    </row>
    <row r="17" spans="1:148" ht="42" customHeight="1">
      <c r="A17" s="1014"/>
      <c r="B17" s="357" t="s">
        <v>251</v>
      </c>
      <c r="C17" s="272" t="s">
        <v>252</v>
      </c>
      <c r="D17" s="271">
        <v>61.46</v>
      </c>
      <c r="E17" s="265">
        <f t="shared" si="0"/>
        <v>61.46</v>
      </c>
      <c r="F17" s="462">
        <f>'IW Calc 2'!CC112</f>
        <v>0</v>
      </c>
      <c r="G17" s="467">
        <f t="shared" si="1"/>
        <v>0</v>
      </c>
      <c r="H17" s="329">
        <v>0.45</v>
      </c>
      <c r="I17" s="352">
        <f>F17*H17</f>
        <v>0</v>
      </c>
      <c r="J17" s="306"/>
      <c r="K17" s="263">
        <f>AV16</f>
        <v>7</v>
      </c>
      <c r="L17" s="262"/>
      <c r="M17" s="262"/>
      <c r="N17" s="262"/>
      <c r="O17" s="262"/>
      <c r="P17" s="262"/>
      <c r="Q17" s="262"/>
      <c r="R17" s="262"/>
      <c r="S17" s="262"/>
      <c r="T17" s="262"/>
      <c r="U17" s="262"/>
      <c r="V17" s="262"/>
      <c r="W17" s="262"/>
      <c r="X17" s="262"/>
      <c r="Y17" s="262"/>
      <c r="Z17" s="262"/>
      <c r="AA17" s="262"/>
      <c r="AB17" s="262"/>
      <c r="AC17" s="262"/>
      <c r="AD17" s="262"/>
      <c r="AE17" s="262"/>
      <c r="AF17" s="262"/>
      <c r="AG17" s="262"/>
      <c r="AH17" s="262"/>
      <c r="AI17" s="262"/>
      <c r="AJ17" s="262"/>
      <c r="AK17" s="262"/>
      <c r="AL17" s="262"/>
      <c r="AM17" s="262"/>
      <c r="AN17" s="262"/>
      <c r="AO17" s="262"/>
      <c r="AP17" s="358"/>
      <c r="AQ17" s="358"/>
      <c r="AR17" s="358"/>
      <c r="AS17" s="358"/>
      <c r="AT17" s="358"/>
      <c r="AU17" s="364" t="s">
        <v>253</v>
      </c>
      <c r="AV17" s="365">
        <f>AW37</f>
        <v>0</v>
      </c>
      <c r="AW17" s="373" t="str">
        <f>IF(AV17=0,"","Gets (" &amp; AV17 &amp; ") 12"" by 30' isolation wrap")</f>
        <v/>
      </c>
      <c r="AX17" s="373" t="str">
        <f>IF(AS25=0,"","30' isolation wrap split into 20ft and 10ft rolls")</f>
        <v/>
      </c>
      <c r="AY17" s="358"/>
      <c r="AZ17" s="358"/>
      <c r="BA17" s="358"/>
      <c r="BY17" s="262"/>
      <c r="DV17" s="262"/>
      <c r="DW17" s="358"/>
      <c r="DX17" s="362" t="s">
        <v>244</v>
      </c>
      <c r="DY17" s="363">
        <v>1</v>
      </c>
      <c r="DZ17" s="358" t="s">
        <v>245</v>
      </c>
      <c r="EA17" s="358"/>
      <c r="EB17" s="364" t="s">
        <v>246</v>
      </c>
      <c r="EC17" s="365">
        <f>EC38</f>
        <v>1</v>
      </c>
      <c r="ED17" s="373" t="str">
        <f>IF(EC17=0,"","Gets (" &amp; EC17 &amp; ") 12"" by 15' isolation wrap")</f>
        <v>Gets (1) 12" by 15' isolation wrap</v>
      </c>
      <c r="EE17" s="358"/>
      <c r="EF17" s="358"/>
      <c r="EG17" s="358"/>
      <c r="EH17" s="358" t="s">
        <v>254</v>
      </c>
      <c r="EI17" s="358">
        <f>ROUNDDOWN(15/DX24,0)</f>
        <v>2</v>
      </c>
      <c r="EJ17" s="358" t="s">
        <v>249</v>
      </c>
      <c r="EK17" s="358">
        <f>15/EI17</f>
        <v>7.5</v>
      </c>
      <c r="EL17" s="358" t="s">
        <v>250</v>
      </c>
      <c r="EM17" s="358"/>
      <c r="EN17" s="358"/>
      <c r="EO17" s="358"/>
      <c r="EP17" s="358"/>
      <c r="EQ17" s="358"/>
      <c r="ER17" s="358"/>
    </row>
    <row r="18" spans="1:148" ht="43.5" customHeight="1">
      <c r="A18" s="1014"/>
      <c r="B18" s="357" t="s">
        <v>255</v>
      </c>
      <c r="C18" s="272" t="s">
        <v>256</v>
      </c>
      <c r="D18" s="271">
        <v>123</v>
      </c>
      <c r="E18" s="265">
        <f t="shared" si="0"/>
        <v>123</v>
      </c>
      <c r="F18" s="462">
        <f>'IW Calc 2'!CC113</f>
        <v>4</v>
      </c>
      <c r="G18" s="467">
        <f t="shared" si="1"/>
        <v>492</v>
      </c>
      <c r="H18" s="329">
        <v>0.9</v>
      </c>
      <c r="I18" s="352">
        <f>F18*H18</f>
        <v>3.6</v>
      </c>
      <c r="J18" s="306"/>
      <c r="L18" s="262"/>
      <c r="M18" s="262"/>
      <c r="N18" s="262"/>
      <c r="O18" s="262"/>
      <c r="P18" s="262"/>
      <c r="Q18" s="262"/>
      <c r="R18" s="262"/>
      <c r="S18" s="262"/>
      <c r="T18" s="262"/>
      <c r="U18" s="262"/>
      <c r="V18" s="262"/>
      <c r="W18" s="262"/>
      <c r="X18" s="262"/>
      <c r="Y18" s="262"/>
      <c r="Z18" s="262"/>
      <c r="AA18" s="262"/>
      <c r="AB18" s="262"/>
      <c r="AC18" s="262"/>
      <c r="AD18" s="262"/>
      <c r="AE18" s="262"/>
      <c r="AF18" s="262"/>
      <c r="AG18" s="262"/>
      <c r="AH18" s="262"/>
      <c r="AI18" s="262"/>
      <c r="AJ18" s="262"/>
      <c r="AK18" s="262"/>
      <c r="AL18" s="262"/>
      <c r="AM18" s="262"/>
      <c r="AN18" s="262"/>
      <c r="AO18" s="262"/>
      <c r="AP18" s="358"/>
      <c r="AQ18" s="358"/>
      <c r="AR18" s="358"/>
      <c r="AS18" s="358"/>
      <c r="AT18" s="358"/>
      <c r="AU18" s="358"/>
      <c r="AV18" s="358"/>
      <c r="AW18" s="358"/>
      <c r="AX18" s="358"/>
      <c r="AY18" s="358"/>
      <c r="AZ18" s="358"/>
      <c r="BA18" s="358"/>
      <c r="BY18" s="262"/>
      <c r="DV18" s="262"/>
      <c r="DW18" s="358"/>
      <c r="DX18" s="358"/>
      <c r="DY18" s="358"/>
      <c r="DZ18" s="358"/>
      <c r="EA18" s="358"/>
      <c r="EB18" s="364" t="s">
        <v>253</v>
      </c>
      <c r="EC18" s="365">
        <f>ED38</f>
        <v>0</v>
      </c>
      <c r="ED18" s="373" t="str">
        <f>IF(EC18=0,"","Gets (" &amp; EC18 &amp; ") 12"" by 30' isolation wrap")</f>
        <v/>
      </c>
      <c r="EE18" s="373" t="str">
        <f>IF(DZ26=0,"","30' isolation wrap split into 20ft and 10ft rolls")</f>
        <v/>
      </c>
      <c r="EF18" s="358"/>
      <c r="EG18" s="358"/>
      <c r="EH18" s="358"/>
      <c r="EI18" s="358"/>
      <c r="EJ18" s="358"/>
      <c r="EK18" s="358"/>
      <c r="EL18" s="358"/>
      <c r="EM18" s="358"/>
      <c r="EN18" s="358"/>
      <c r="EO18" s="358"/>
      <c r="EP18" s="358"/>
      <c r="EQ18" s="358"/>
      <c r="ER18" s="358"/>
    </row>
    <row r="19" spans="1:148">
      <c r="AU19" s="358"/>
      <c r="AV19" s="358"/>
      <c r="AW19" s="358"/>
      <c r="AX19" s="358"/>
      <c r="AY19" s="358"/>
      <c r="AZ19" s="358"/>
      <c r="BA19" s="358"/>
      <c r="DV19" s="262"/>
      <c r="DW19" s="358"/>
      <c r="DX19" s="358"/>
      <c r="DY19" s="358"/>
      <c r="DZ19" s="358"/>
      <c r="EA19" s="358"/>
      <c r="EB19" s="358"/>
      <c r="EC19" s="358"/>
      <c r="ED19" s="358"/>
      <c r="EE19" s="358"/>
      <c r="EF19" s="358"/>
      <c r="EG19" s="358"/>
      <c r="EH19" s="358"/>
      <c r="EI19" s="358"/>
      <c r="EJ19" s="358"/>
      <c r="EK19" s="358"/>
      <c r="EL19" s="358"/>
      <c r="EM19" s="358"/>
      <c r="EN19" s="358"/>
      <c r="EO19" s="358"/>
      <c r="EP19" s="358"/>
      <c r="EQ19" s="358"/>
      <c r="ER19" s="358"/>
    </row>
    <row r="20" spans="1:148" ht="15.75">
      <c r="B20" s="295"/>
      <c r="C20" s="275"/>
      <c r="D20" s="276"/>
      <c r="E20" s="276"/>
      <c r="F20" s="277" t="s">
        <v>257</v>
      </c>
      <c r="G20" s="308"/>
      <c r="H20" s="331"/>
      <c r="I20" s="332"/>
      <c r="J20" s="334"/>
      <c r="M20" s="273"/>
      <c r="N20" s="273"/>
      <c r="O20" s="273"/>
      <c r="P20" s="273"/>
      <c r="Q20" s="273"/>
      <c r="R20" s="273"/>
      <c r="S20" s="273"/>
      <c r="T20" s="273"/>
      <c r="U20" s="273"/>
      <c r="V20" s="273"/>
      <c r="W20" s="273"/>
      <c r="X20" s="273"/>
      <c r="Y20" s="273"/>
      <c r="Z20" s="273"/>
      <c r="AA20" s="262"/>
      <c r="AC20" s="262"/>
      <c r="AD20" s="262"/>
      <c r="AE20" s="262"/>
      <c r="AV20" s="358"/>
      <c r="AW20" s="358"/>
      <c r="AX20" s="358"/>
      <c r="AY20" s="358"/>
      <c r="AZ20" s="358"/>
      <c r="BA20" s="358"/>
      <c r="EB20" s="358"/>
      <c r="EC20" s="358"/>
      <c r="EE20" s="358"/>
      <c r="EF20" s="358"/>
      <c r="EG20" s="358"/>
      <c r="EH20" s="358"/>
      <c r="EI20" s="358"/>
      <c r="EJ20" s="358"/>
      <c r="EK20" s="358"/>
      <c r="EL20" s="358"/>
      <c r="EM20" s="358"/>
      <c r="EN20" s="358"/>
      <c r="EO20" s="358"/>
      <c r="EP20" s="358"/>
      <c r="EQ20" s="358"/>
      <c r="ER20" s="358"/>
    </row>
    <row r="21" spans="1:148" ht="15.75">
      <c r="B21" s="321" t="s">
        <v>206</v>
      </c>
      <c r="C21" s="322" t="s">
        <v>258</v>
      </c>
      <c r="D21" s="322" t="s">
        <v>259</v>
      </c>
      <c r="E21" s="322" t="s">
        <v>207</v>
      </c>
      <c r="F21" s="322" t="s">
        <v>91</v>
      </c>
      <c r="G21" s="343" t="s">
        <v>208</v>
      </c>
      <c r="H21" s="349" t="s">
        <v>209</v>
      </c>
      <c r="I21" s="350"/>
      <c r="AP21" s="358"/>
      <c r="AQ21" s="358"/>
      <c r="AR21" s="358"/>
      <c r="AS21" s="358"/>
      <c r="AT21" s="358"/>
      <c r="AU21" s="358"/>
      <c r="AV21" s="358"/>
      <c r="AW21" s="358"/>
      <c r="AX21" s="358"/>
      <c r="AY21" s="358"/>
      <c r="AZ21" s="358" t="s">
        <v>260</v>
      </c>
      <c r="BA21" s="482">
        <f>F5+1</f>
        <v>7</v>
      </c>
      <c r="BB21" t="s">
        <v>75</v>
      </c>
      <c r="EC21" s="358"/>
      <c r="ED21" s="358"/>
      <c r="EE21" s="358"/>
      <c r="EF21" s="358"/>
      <c r="EG21" s="358"/>
      <c r="EH21" s="358"/>
      <c r="EI21" s="358"/>
      <c r="EJ21" s="358"/>
      <c r="EK21" s="358"/>
      <c r="EL21" s="358"/>
      <c r="EM21" s="358"/>
      <c r="EN21" s="358"/>
      <c r="EO21" s="358"/>
      <c r="EP21" s="358"/>
      <c r="EQ21" s="358"/>
      <c r="ER21" s="358"/>
    </row>
    <row r="22" spans="1:148" ht="15.75">
      <c r="A22" s="1014" t="s">
        <v>230</v>
      </c>
      <c r="B22" s="355" t="s">
        <v>261</v>
      </c>
      <c r="C22" s="272" t="s">
        <v>262</v>
      </c>
      <c r="D22" s="324">
        <v>172.5</v>
      </c>
      <c r="E22" s="324">
        <v>172.5</v>
      </c>
      <c r="F22" s="820">
        <f>F10</f>
        <v>12</v>
      </c>
      <c r="G22" s="344">
        <f>F22*E22</f>
        <v>2070</v>
      </c>
      <c r="H22" s="340">
        <v>2.1</v>
      </c>
      <c r="I22" s="341">
        <f>ROUNDUP(F22*H22,0)</f>
        <v>26</v>
      </c>
      <c r="AP22" s="358"/>
      <c r="AQ22" s="358"/>
      <c r="AR22" s="358"/>
      <c r="AS22" s="358"/>
      <c r="AT22" s="358"/>
      <c r="AU22" s="358"/>
      <c r="AV22" s="358"/>
      <c r="AW22" s="358"/>
      <c r="AX22" s="358"/>
      <c r="AY22" s="358"/>
      <c r="AZ22" s="358"/>
      <c r="BA22" s="358"/>
      <c r="DW22" s="358"/>
      <c r="DX22" s="358"/>
      <c r="DY22" s="358"/>
      <c r="DZ22" s="358"/>
      <c r="EA22" s="358"/>
      <c r="EB22" s="358"/>
      <c r="EC22" s="358"/>
      <c r="ED22" s="358"/>
      <c r="EE22" s="358"/>
      <c r="EF22" s="358"/>
      <c r="EG22" s="358"/>
      <c r="EH22" s="358"/>
      <c r="EI22" s="358"/>
      <c r="EJ22" s="358"/>
      <c r="EK22" s="358"/>
      <c r="EL22" s="358"/>
      <c r="EM22" s="358"/>
      <c r="EN22" s="358"/>
      <c r="EO22" s="358"/>
      <c r="EP22" s="358"/>
      <c r="EQ22" s="358"/>
      <c r="ER22" s="358"/>
    </row>
    <row r="23" spans="1:148" ht="15.75">
      <c r="A23" s="1014"/>
      <c r="B23" s="355" t="s">
        <v>263</v>
      </c>
      <c r="C23" s="272" t="s">
        <v>264</v>
      </c>
      <c r="D23" s="324">
        <v>227.7</v>
      </c>
      <c r="E23" s="324">
        <v>227.7</v>
      </c>
      <c r="F23" s="323">
        <v>0</v>
      </c>
      <c r="G23" s="344">
        <f>F23*E23</f>
        <v>0</v>
      </c>
      <c r="H23" s="340">
        <v>4.2</v>
      </c>
      <c r="I23" s="341">
        <f>ROUNDUP(F23*H23,0)</f>
        <v>0</v>
      </c>
      <c r="AP23" s="358" t="s">
        <v>265</v>
      </c>
      <c r="AQ23" s="1206">
        <f>SUM(((AR15*PI())*2)/12)</f>
        <v>10.471975511965978</v>
      </c>
      <c r="AR23" s="1207"/>
      <c r="AS23" s="1208"/>
      <c r="AT23" s="358"/>
      <c r="AU23" s="358"/>
      <c r="AV23" s="358"/>
      <c r="AW23" s="358"/>
      <c r="AX23" s="358"/>
      <c r="AY23" s="358"/>
      <c r="AZ23" s="358" t="s">
        <v>266</v>
      </c>
      <c r="BA23" s="370">
        <f>AQ23</f>
        <v>10.471975511965978</v>
      </c>
      <c r="BB23" s="358" t="s">
        <v>75</v>
      </c>
      <c r="DW23" s="358"/>
      <c r="DX23" s="358"/>
      <c r="DY23" s="358"/>
      <c r="DZ23" s="358"/>
      <c r="EA23" s="358"/>
      <c r="EB23" s="358"/>
      <c r="EC23" s="358"/>
      <c r="ED23" s="358"/>
      <c r="EE23" s="358"/>
      <c r="EF23" s="358"/>
      <c r="EG23" s="358"/>
      <c r="EH23" s="358"/>
      <c r="EI23" s="358"/>
      <c r="EJ23" s="358"/>
      <c r="EK23" s="358"/>
      <c r="EL23" s="358"/>
      <c r="EM23" s="358"/>
      <c r="EN23" s="358"/>
      <c r="EO23" s="358"/>
      <c r="EP23" s="358"/>
      <c r="EQ23" s="358"/>
      <c r="ER23" s="358"/>
    </row>
    <row r="24" spans="1:148" ht="15.75">
      <c r="A24" s="1014"/>
      <c r="B24" s="355" t="s">
        <v>267</v>
      </c>
      <c r="C24" s="272" t="s">
        <v>268</v>
      </c>
      <c r="D24" s="324">
        <v>86.25</v>
      </c>
      <c r="E24" s="324">
        <v>86.25</v>
      </c>
      <c r="F24" s="820">
        <f>F12</f>
        <v>0</v>
      </c>
      <c r="G24" s="344">
        <f>F24*E24</f>
        <v>0</v>
      </c>
      <c r="H24" s="340">
        <v>1.05</v>
      </c>
      <c r="I24" s="341">
        <f>ROUNDUP(F24*H24,0)</f>
        <v>0</v>
      </c>
      <c r="AU24" s="358"/>
      <c r="AV24" s="358"/>
      <c r="AW24" s="358"/>
      <c r="AX24" s="358"/>
      <c r="AY24" s="358"/>
      <c r="AZ24" s="358"/>
      <c r="BA24" s="358"/>
      <c r="DW24" s="358" t="s">
        <v>265</v>
      </c>
      <c r="DX24" s="1206">
        <f>SUM(((DY16*PI())*2)/12)</f>
        <v>6.8067840827778854</v>
      </c>
      <c r="DY24" s="1207"/>
      <c r="DZ24" s="1208"/>
      <c r="EA24" s="358"/>
      <c r="EB24" s="358"/>
      <c r="EC24" s="358"/>
      <c r="ED24" s="358"/>
      <c r="EE24" s="358"/>
      <c r="EF24" s="358"/>
      <c r="EG24" s="358"/>
      <c r="EH24" s="358"/>
      <c r="EI24" s="358"/>
      <c r="EJ24" s="358"/>
      <c r="EK24" s="358"/>
      <c r="EL24" s="358"/>
      <c r="EM24" s="358"/>
      <c r="EN24" s="358"/>
      <c r="EO24" s="358"/>
      <c r="EP24" s="358"/>
      <c r="EQ24" s="358"/>
      <c r="ER24" s="358"/>
    </row>
    <row r="25" spans="1:148" ht="57.75" customHeight="1">
      <c r="A25" s="1014"/>
      <c r="B25" s="355" t="s">
        <v>269</v>
      </c>
      <c r="C25" s="272" t="s">
        <v>270</v>
      </c>
      <c r="D25" s="324">
        <v>113.85</v>
      </c>
      <c r="E25" s="324">
        <v>113.85</v>
      </c>
      <c r="F25" s="323">
        <v>0</v>
      </c>
      <c r="G25" s="344">
        <f>F25*E25</f>
        <v>0</v>
      </c>
      <c r="H25" s="340">
        <v>2.1</v>
      </c>
      <c r="I25" s="341">
        <f>ROUNDUP(F25*H25,0)</f>
        <v>0</v>
      </c>
      <c r="AR25">
        <f>IF(AQ23&lt;=16,15,30)</f>
        <v>15</v>
      </c>
      <c r="AS25">
        <f>IF(AND(AQ23&gt;16,AQ23&lt;2=20),1,0)</f>
        <v>0</v>
      </c>
      <c r="AT25" s="358"/>
      <c r="AU25" s="358"/>
      <c r="AV25" s="358"/>
      <c r="AW25" s="358"/>
      <c r="AX25" s="358"/>
      <c r="BC25" s="480" t="str">
        <f>"Linear foot per (" &amp; BA23 &amp; ") ft roll"</f>
        <v>Linear foot per (10.471975511966) ft roll</v>
      </c>
      <c r="BD25" s="483" t="s">
        <v>271</v>
      </c>
      <c r="BE25" s="289"/>
      <c r="BF25" s="483" t="str">
        <f>"Amount needed for (" &amp; (BA21) &amp; ") linear feet"</f>
        <v>Amount needed for (7) linear feet</v>
      </c>
      <c r="BH25" s="483" t="str">
        <f>"can it cover (" &amp; (BA21) &amp; ") linear feet?"</f>
        <v>can it cover (7) linear feet?</v>
      </c>
      <c r="EB25" s="358"/>
      <c r="EC25" s="358"/>
      <c r="ED25" s="358"/>
      <c r="EE25" s="358"/>
      <c r="EF25" s="358"/>
      <c r="EG25" s="358"/>
      <c r="EH25" s="358"/>
      <c r="EI25" s="358"/>
      <c r="EJ25" s="358"/>
      <c r="EK25" s="358"/>
      <c r="EL25" s="358"/>
      <c r="EM25" s="358"/>
      <c r="EN25" s="358"/>
      <c r="EO25" s="358"/>
      <c r="EP25" s="358"/>
      <c r="EQ25" s="358"/>
      <c r="ER25" s="358"/>
    </row>
    <row r="26" spans="1:148" ht="15.75">
      <c r="A26" s="1014"/>
      <c r="B26" s="355" t="s">
        <v>272</v>
      </c>
      <c r="C26" s="272" t="s">
        <v>273</v>
      </c>
      <c r="D26" s="324">
        <v>125</v>
      </c>
      <c r="E26" s="324">
        <v>125</v>
      </c>
      <c r="F26" s="394">
        <f>I27</f>
        <v>29</v>
      </c>
      <c r="G26" s="344">
        <v>2375</v>
      </c>
      <c r="H26" s="338" t="s">
        <v>226</v>
      </c>
      <c r="I26" s="339">
        <f>ROUNDUP(((((PI())*((0.025*F3)+(0.025*0.025))*(F5*12))*1.1)/57.75),0)</f>
        <v>3</v>
      </c>
      <c r="AT26" s="358"/>
      <c r="AU26" s="358"/>
      <c r="AV26" s="358"/>
      <c r="AW26" s="358"/>
      <c r="AX26" s="358"/>
      <c r="DY26">
        <f>IF(DX24&lt;=16,CEILING(DX24,15),CEILING(DX24,30))</f>
        <v>15</v>
      </c>
      <c r="DZ26">
        <f>IF(AND(DX24&gt;16,DX24&lt;2=20),1,0)</f>
        <v>0</v>
      </c>
      <c r="EA26" s="358"/>
      <c r="EB26" s="358"/>
      <c r="EC26" s="358"/>
      <c r="ED26" s="358"/>
      <c r="EE26" s="358"/>
      <c r="EF26" s="358"/>
      <c r="EG26" s="358"/>
      <c r="EH26" s="358"/>
      <c r="EI26" s="358"/>
      <c r="EJ26" s="358"/>
      <c r="EK26" s="358"/>
      <c r="EL26" s="358"/>
      <c r="EM26" s="358"/>
      <c r="EN26" s="358"/>
      <c r="EO26" s="358"/>
      <c r="EP26" s="358"/>
      <c r="EQ26" s="358"/>
      <c r="ER26" s="358"/>
    </row>
    <row r="27" spans="1:148" ht="43.5" customHeight="1">
      <c r="A27" s="1014"/>
      <c r="B27" s="355" t="s">
        <v>231</v>
      </c>
      <c r="C27" s="272" t="s">
        <v>232</v>
      </c>
      <c r="D27" s="324">
        <v>165.6</v>
      </c>
      <c r="E27" s="324">
        <v>165.6</v>
      </c>
      <c r="F27" s="420">
        <f>L15</f>
        <v>3</v>
      </c>
      <c r="G27" s="344">
        <f>F27*E27</f>
        <v>496.79999999999995</v>
      </c>
      <c r="H27" s="338" t="s">
        <v>274</v>
      </c>
      <c r="I27" s="342">
        <f>ROUNDUP(I26+(SUM(I22:I25)),0)</f>
        <v>29</v>
      </c>
      <c r="AT27" s="358"/>
      <c r="AU27" s="358"/>
      <c r="AV27" s="358"/>
      <c r="AW27" s="358"/>
      <c r="AX27" s="358"/>
      <c r="AZ27" s="1210" t="s">
        <v>275</v>
      </c>
      <c r="BA27" s="481">
        <v>6.2</v>
      </c>
      <c r="BC27" s="465">
        <f>ROUNDDOWN((20/BA23),0)/2</f>
        <v>0.5</v>
      </c>
      <c r="BD27" s="464" t="str">
        <f>"which is (" &amp; (BC27/0.5) &amp; ") of 6 inch roll"</f>
        <v>which is (1) of 6 inch roll</v>
      </c>
      <c r="BE27" s="477"/>
      <c r="BF27" s="484">
        <f>BA21/0.5</f>
        <v>14</v>
      </c>
      <c r="BH27" s="486">
        <f>IF(BF27&lt;BC27,BC27,0)</f>
        <v>0</v>
      </c>
      <c r="EA27" s="358"/>
      <c r="EB27" s="358"/>
      <c r="EC27" s="358"/>
      <c r="ED27" s="358"/>
      <c r="EE27" s="358"/>
      <c r="EF27" s="358"/>
      <c r="EG27" s="358"/>
      <c r="EH27" s="358"/>
      <c r="EI27" s="358"/>
      <c r="EJ27" s="358"/>
      <c r="EK27" s="358"/>
      <c r="EL27" s="358"/>
      <c r="EM27" s="358"/>
      <c r="EN27" s="358"/>
      <c r="EO27" s="358"/>
      <c r="EP27" s="358"/>
      <c r="EQ27" s="358"/>
      <c r="ER27" s="358"/>
    </row>
    <row r="28" spans="1:148" ht="15.6" customHeight="1">
      <c r="B28" s="299"/>
      <c r="C28" s="283"/>
      <c r="D28" s="284"/>
      <c r="E28" s="284"/>
      <c r="F28" s="285" t="s">
        <v>257</v>
      </c>
      <c r="G28" s="285"/>
      <c r="H28" s="331"/>
      <c r="I28" s="332"/>
      <c r="J28" s="334"/>
      <c r="AT28" s="358"/>
      <c r="AU28" s="371">
        <v>0.2638888888888889</v>
      </c>
      <c r="AV28" s="371">
        <v>0.51041666666666663</v>
      </c>
      <c r="AW28" s="371">
        <v>0.52083333333333337</v>
      </c>
      <c r="AZ28" s="1211"/>
      <c r="BA28" s="479"/>
      <c r="BC28" s="477"/>
      <c r="BD28" s="477"/>
      <c r="BE28" s="477"/>
      <c r="BF28" s="485"/>
      <c r="BH28" s="487"/>
      <c r="EC28" s="358"/>
      <c r="ED28" s="358"/>
      <c r="EE28" s="358"/>
      <c r="EF28" s="358"/>
      <c r="EG28" s="358"/>
      <c r="EH28" s="358"/>
      <c r="EI28" s="358"/>
      <c r="EJ28" s="358"/>
      <c r="EK28" s="358"/>
      <c r="EL28" s="358"/>
      <c r="EM28" s="358"/>
      <c r="EN28" s="358"/>
      <c r="EO28" s="358"/>
      <c r="EP28" s="358"/>
      <c r="EQ28" s="358"/>
      <c r="ER28" s="358"/>
    </row>
    <row r="29" spans="1:148" ht="45">
      <c r="B29" s="296" t="s">
        <v>276</v>
      </c>
      <c r="C29" s="278" t="s">
        <v>277</v>
      </c>
      <c r="D29" s="265">
        <v>105</v>
      </c>
      <c r="E29" s="265">
        <f>D29*$BG$10</f>
        <v>105</v>
      </c>
      <c r="F29" s="395">
        <f>IF(OR(P29&gt;1,R29&gt;1),T29,1)</f>
        <v>1</v>
      </c>
      <c r="G29" s="307">
        <f>F29*E29</f>
        <v>105</v>
      </c>
      <c r="H29" s="329"/>
      <c r="I29" s="330"/>
      <c r="J29" s="333" t="s">
        <v>278</v>
      </c>
      <c r="L29" s="291" t="s">
        <v>279</v>
      </c>
      <c r="M29" s="263">
        <f>E5</f>
        <v>253.54199999999997</v>
      </c>
      <c r="N29" s="319" t="s">
        <v>199</v>
      </c>
      <c r="O29" s="291" t="s">
        <v>280</v>
      </c>
      <c r="P29" s="263">
        <f>ROUNDDOWN(E5/500,0)</f>
        <v>0</v>
      </c>
      <c r="Q29" s="311" t="s">
        <v>281</v>
      </c>
      <c r="R29" s="303">
        <v>1</v>
      </c>
      <c r="T29" s="263">
        <f>MAX(R29,P29)</f>
        <v>1</v>
      </c>
      <c r="AO29" s="1209" t="s">
        <v>282</v>
      </c>
      <c r="AP29" s="370" t="s">
        <v>283</v>
      </c>
      <c r="AQ29" s="1206">
        <f>IF(AND(AR25&lt;=20,AR15&lt;=12,AR16=1),3,0)</f>
        <v>0</v>
      </c>
      <c r="AR29" s="1207"/>
      <c r="AS29" s="1208"/>
      <c r="AT29" s="358"/>
      <c r="AU29" s="358">
        <f>AQ29</f>
        <v>0</v>
      </c>
      <c r="AV29" s="358"/>
      <c r="AW29" s="358"/>
      <c r="AZ29" s="1211"/>
      <c r="BA29" s="481">
        <v>12.15</v>
      </c>
      <c r="BC29" s="465">
        <f>ROUNDDOWN((15/BA23),0)</f>
        <v>1</v>
      </c>
      <c r="BD29" s="464" t="str">
        <f>"which is (" &amp; (BC29) &amp; ") of 12 inch roll"</f>
        <v>which is (1) of 12 inch roll</v>
      </c>
      <c r="BE29" s="477"/>
      <c r="BF29" s="484">
        <f>BA21</f>
        <v>7</v>
      </c>
      <c r="BH29" s="486">
        <f>IF(BF29&lt;BC29,BC29,0)</f>
        <v>0</v>
      </c>
      <c r="EA29" s="358"/>
      <c r="EB29" s="371">
        <v>0.2638888888888889</v>
      </c>
      <c r="EC29" s="371">
        <v>0.51041666666666663</v>
      </c>
      <c r="ED29" s="371">
        <v>0.52083333333333337</v>
      </c>
      <c r="EF29" s="358"/>
      <c r="EG29" s="358"/>
      <c r="EH29" s="358"/>
      <c r="EI29" s="358"/>
      <c r="EJ29" s="358"/>
      <c r="EK29" s="358"/>
      <c r="EL29" s="358"/>
      <c r="EM29" s="358"/>
      <c r="EN29" s="358"/>
      <c r="EO29" s="358"/>
      <c r="EP29" s="358"/>
      <c r="EQ29" s="358"/>
      <c r="ER29" s="358"/>
    </row>
    <row r="30" spans="1:148" ht="45">
      <c r="B30" s="293" t="s">
        <v>284</v>
      </c>
      <c r="C30" s="279" t="s">
        <v>285</v>
      </c>
      <c r="D30" s="270">
        <v>80</v>
      </c>
      <c r="E30" s="265">
        <f>D30*$BG$10</f>
        <v>80</v>
      </c>
      <c r="F30" s="396">
        <f>ROUNDUP('Spiral wrap calc'!B17/700,0)</f>
        <v>1</v>
      </c>
      <c r="G30" s="307">
        <f>F30*E30</f>
        <v>80</v>
      </c>
      <c r="H30" s="329"/>
      <c r="I30" s="330"/>
      <c r="J30" s="333" t="s">
        <v>286</v>
      </c>
      <c r="K30" s="306" t="s">
        <v>287</v>
      </c>
      <c r="L30" s="318">
        <v>0</v>
      </c>
      <c r="M30" s="260"/>
      <c r="N30" s="260"/>
      <c r="O30" s="260"/>
      <c r="P30" s="260"/>
      <c r="S30" s="260"/>
      <c r="T30" s="260"/>
      <c r="U30" s="260"/>
      <c r="V30" s="260"/>
      <c r="W30" s="260"/>
      <c r="X30" s="260"/>
      <c r="Y30" s="260"/>
      <c r="Z30" s="260"/>
      <c r="AA30" s="260"/>
      <c r="AB30" s="260"/>
      <c r="AC30" s="260"/>
      <c r="AD30" s="260"/>
      <c r="AE30" s="260"/>
      <c r="AF30" s="260"/>
      <c r="AG30" s="260"/>
      <c r="AH30" s="260"/>
      <c r="AO30" s="1014"/>
      <c r="AP30" s="358"/>
      <c r="AQ30" s="358"/>
      <c r="AR30" s="358"/>
      <c r="AS30" s="358"/>
      <c r="AT30" s="358"/>
      <c r="AU30" s="358"/>
      <c r="AV30" s="358"/>
      <c r="AW30" s="358"/>
      <c r="AY30" s="478"/>
      <c r="AZ30" s="1211"/>
      <c r="BA30" s="479"/>
      <c r="BC30" s="477"/>
      <c r="BD30" s="477"/>
      <c r="BE30" s="477"/>
      <c r="BF30" s="485"/>
      <c r="BH30" s="487"/>
      <c r="DV30" s="1209" t="s">
        <v>282</v>
      </c>
      <c r="DW30" s="370" t="s">
        <v>283</v>
      </c>
      <c r="DX30" s="1206">
        <f>IF(AND(DY26&lt;=20,DY16&lt;=12,DY17=1),3,0)</f>
        <v>0</v>
      </c>
      <c r="DY30" s="1207"/>
      <c r="DZ30" s="1208"/>
      <c r="EA30" s="358"/>
      <c r="EB30" s="358">
        <f>DX30</f>
        <v>0</v>
      </c>
      <c r="EC30" s="358"/>
      <c r="ED30" s="358"/>
      <c r="EF30" s="358"/>
      <c r="EG30" s="358"/>
      <c r="EH30" s="358"/>
      <c r="EI30" s="358"/>
      <c r="EJ30" s="358"/>
      <c r="EK30" s="358"/>
      <c r="EL30" s="358"/>
      <c r="EM30" s="358"/>
      <c r="EN30" s="358"/>
      <c r="EO30" s="358"/>
      <c r="EP30" s="358"/>
      <c r="EQ30" s="358"/>
      <c r="ER30" s="358"/>
    </row>
    <row r="31" spans="1:148" ht="15.75">
      <c r="B31" s="294" t="s">
        <v>288</v>
      </c>
      <c r="C31" s="280" t="s">
        <v>289</v>
      </c>
      <c r="D31" s="271">
        <v>29</v>
      </c>
      <c r="E31" s="265">
        <f>D31*$BG$10</f>
        <v>29</v>
      </c>
      <c r="F31" s="376">
        <v>0</v>
      </c>
      <c r="G31" s="307">
        <f>F31*E31</f>
        <v>0</v>
      </c>
      <c r="H31" s="329"/>
      <c r="I31" s="330"/>
      <c r="J31" s="306"/>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c r="AI31" s="260"/>
      <c r="AJ31" s="260"/>
      <c r="AK31" s="260"/>
      <c r="AL31" s="260"/>
      <c r="AM31" s="260"/>
      <c r="AN31" s="260"/>
      <c r="AO31" s="1209"/>
      <c r="AP31" s="370" t="s">
        <v>290</v>
      </c>
      <c r="AQ31" s="1205">
        <f>IF(AND(AR25&lt;=20,AR15&gt;12,AR15&lt;20,AR16=1),1,0)</f>
        <v>0</v>
      </c>
      <c r="AR31" s="1205"/>
      <c r="AS31" s="1205"/>
      <c r="AT31" s="358"/>
      <c r="AU31" s="358">
        <f>AQ31</f>
        <v>0</v>
      </c>
      <c r="AV31" s="358">
        <f>IF(AND(AQ31=1,AR25&lt;=15),1,0)</f>
        <v>0</v>
      </c>
      <c r="AW31" s="358">
        <f>IF(AND(AQ31=1,AR25&gt;15),1,0)</f>
        <v>0</v>
      </c>
      <c r="AZ31" s="1212"/>
      <c r="BA31" s="481">
        <v>12.3</v>
      </c>
      <c r="BC31" s="465">
        <f>ROUNDDOWN((30/BA23),0)</f>
        <v>2</v>
      </c>
      <c r="BD31" s="464" t="str">
        <f>"which is (" &amp; (BC31) &amp; ") of 12 inch roll"</f>
        <v>which is (2) of 12 inch roll</v>
      </c>
      <c r="BE31" s="477"/>
      <c r="BF31" s="484">
        <f>BA21</f>
        <v>7</v>
      </c>
      <c r="BH31" s="486">
        <f>IF(BF31&lt;BC31,BC31,0)</f>
        <v>0</v>
      </c>
      <c r="DV31" s="1014"/>
      <c r="DW31" s="358"/>
      <c r="DX31" s="358"/>
      <c r="DY31" s="358"/>
      <c r="DZ31" s="358"/>
      <c r="EA31" s="358"/>
      <c r="EB31" s="358"/>
      <c r="EC31" s="358"/>
      <c r="ED31" s="358"/>
      <c r="EF31" s="358"/>
      <c r="EG31" s="358"/>
      <c r="EH31" s="358"/>
      <c r="EI31" s="358"/>
      <c r="EJ31" s="358"/>
      <c r="EK31" s="358"/>
      <c r="EL31" s="358"/>
      <c r="EM31" s="358"/>
      <c r="EN31" s="358"/>
      <c r="EO31" s="358"/>
      <c r="EP31" s="358"/>
      <c r="EQ31" s="358"/>
      <c r="ER31" s="358"/>
    </row>
    <row r="32" spans="1:148" ht="15.75">
      <c r="B32" s="297" t="s">
        <v>291</v>
      </c>
      <c r="C32" s="280" t="s">
        <v>292</v>
      </c>
      <c r="D32" s="271">
        <v>192</v>
      </c>
      <c r="E32" s="265">
        <f>D32*$BG$10</f>
        <v>192</v>
      </c>
      <c r="F32" s="396">
        <f>IF(L32=0,1,L32)</f>
        <v>1</v>
      </c>
      <c r="G32" s="307">
        <f>F32*E32</f>
        <v>192</v>
      </c>
      <c r="H32" s="329"/>
      <c r="I32" s="330"/>
      <c r="J32" s="335" t="s">
        <v>293</v>
      </c>
      <c r="K32" s="306" t="s">
        <v>287</v>
      </c>
      <c r="L32" s="303">
        <v>0</v>
      </c>
      <c r="M32" s="260"/>
      <c r="N32" s="260"/>
      <c r="O32" s="260"/>
      <c r="P32" s="260"/>
      <c r="Q32" s="260"/>
      <c r="R32" s="260"/>
      <c r="S32" s="260"/>
      <c r="T32" s="260"/>
      <c r="U32" s="260"/>
      <c r="V32" s="260"/>
      <c r="W32" s="260"/>
      <c r="X32" s="260"/>
      <c r="Y32" s="260"/>
      <c r="Z32" s="260"/>
      <c r="AA32" s="260"/>
      <c r="AB32" s="260"/>
      <c r="AC32" s="260"/>
      <c r="AD32" s="260"/>
      <c r="AE32" s="260"/>
      <c r="AF32" s="260"/>
      <c r="AG32" s="260"/>
      <c r="AH32" s="260"/>
      <c r="AI32" s="260"/>
      <c r="AJ32" s="260"/>
      <c r="AK32" s="260"/>
      <c r="AL32" s="260"/>
      <c r="AM32" s="260"/>
      <c r="AN32" s="260"/>
      <c r="AO32" s="1014"/>
      <c r="AP32" s="358"/>
      <c r="AQ32" s="358"/>
      <c r="AR32" s="358"/>
      <c r="AS32" s="358"/>
      <c r="AT32" s="358"/>
      <c r="AU32" s="358"/>
      <c r="AV32" s="358"/>
      <c r="AW32" s="358"/>
      <c r="DV32" s="1209"/>
      <c r="DW32" s="370" t="s">
        <v>290</v>
      </c>
      <c r="DX32" s="1205">
        <f>IF(AND(DY26&lt;=20,DY16&gt;12,DY16&lt;20,DY17=1),1,0)</f>
        <v>1</v>
      </c>
      <c r="DY32" s="1205"/>
      <c r="DZ32" s="1205"/>
      <c r="EA32" s="358"/>
      <c r="EB32" s="358">
        <f>DX32</f>
        <v>1</v>
      </c>
      <c r="EC32" s="358">
        <f>IF(AND(DX32=1,DY26&lt;=15),1,0)</f>
        <v>1</v>
      </c>
      <c r="ED32" s="358">
        <f>IF(AND(DX32=1,DY26&gt;15),1,0)</f>
        <v>0</v>
      </c>
      <c r="EF32" s="358"/>
      <c r="EG32" s="358"/>
      <c r="EH32" s="358"/>
      <c r="EI32" s="358"/>
      <c r="EJ32" s="358"/>
      <c r="EK32" s="358"/>
      <c r="EL32" s="358"/>
      <c r="EM32" s="358"/>
      <c r="EN32" s="358"/>
      <c r="EO32" s="358"/>
      <c r="EP32" s="358"/>
      <c r="EQ32" s="358"/>
      <c r="ER32" s="358"/>
    </row>
    <row r="33" spans="2:148" ht="15.75">
      <c r="B33" s="298" t="s">
        <v>294</v>
      </c>
      <c r="C33" s="281" t="s">
        <v>295</v>
      </c>
      <c r="D33" s="282">
        <v>57</v>
      </c>
      <c r="E33" s="265">
        <f>D33*$BG$10</f>
        <v>57</v>
      </c>
      <c r="F33" s="397">
        <f>IF(N33=TRUE,L33,P33)</f>
        <v>2</v>
      </c>
      <c r="G33" s="309">
        <f>F33*E33</f>
        <v>114</v>
      </c>
      <c r="H33" s="329"/>
      <c r="I33" s="330"/>
      <c r="J33" s="336" t="s">
        <v>296</v>
      </c>
      <c r="K33" s="310" t="s">
        <v>297</v>
      </c>
      <c r="L33" s="290">
        <f>IF(F3&gt;=20,2,1)</f>
        <v>2</v>
      </c>
      <c r="M33" t="s">
        <v>298</v>
      </c>
      <c r="N33" s="305" t="b">
        <v>1</v>
      </c>
      <c r="O33" s="311" t="s">
        <v>299</v>
      </c>
      <c r="P33" s="263">
        <v>0</v>
      </c>
      <c r="AO33" s="1209"/>
      <c r="AP33" s="325" t="s">
        <v>300</v>
      </c>
      <c r="AQ33" s="1205">
        <f>IF(AND(AR15&gt;=20,AR16=1),1,0)</f>
        <v>0</v>
      </c>
      <c r="AR33" s="1205"/>
      <c r="AS33" s="1205"/>
      <c r="AT33" s="358"/>
      <c r="AU33" s="358"/>
      <c r="AV33" s="358">
        <f>IF(AND(AQ33=1,AR25&lt;=15),F5*2,0)</f>
        <v>0</v>
      </c>
      <c r="AW33" s="358">
        <f>IF(AND(AQ33=1,AR25&gt;15),1,0)</f>
        <v>0</v>
      </c>
      <c r="DV33" s="1014"/>
      <c r="DW33" s="358"/>
      <c r="DX33" s="358"/>
      <c r="DY33" s="358"/>
      <c r="DZ33" s="358"/>
      <c r="EA33" s="358"/>
      <c r="EB33" s="358"/>
      <c r="EC33" s="358"/>
      <c r="ED33" s="358"/>
      <c r="EF33" s="358"/>
      <c r="EG33" s="358"/>
      <c r="EH33" s="358"/>
      <c r="EI33" s="358"/>
      <c r="EJ33" s="358"/>
      <c r="EK33" s="358"/>
      <c r="EL33" s="358"/>
      <c r="EM33" s="358"/>
      <c r="EN33" s="358"/>
      <c r="EO33" s="358"/>
      <c r="EP33" s="358"/>
      <c r="EQ33" s="358"/>
      <c r="ER33" s="358"/>
    </row>
    <row r="34" spans="2:148" ht="15.75">
      <c r="B34" s="299"/>
      <c r="C34" s="283"/>
      <c r="D34" s="284"/>
      <c r="E34" s="284"/>
      <c r="F34" s="285" t="s">
        <v>257</v>
      </c>
      <c r="G34" s="285"/>
      <c r="H34" s="331"/>
      <c r="I34" s="332"/>
      <c r="J34" s="334"/>
      <c r="K34" s="262"/>
      <c r="L34" s="262"/>
      <c r="M34" s="262"/>
      <c r="N34" s="262"/>
      <c r="O34" s="262"/>
      <c r="P34" s="262"/>
      <c r="Q34" s="262"/>
      <c r="R34" s="262"/>
      <c r="S34" s="262"/>
      <c r="T34" s="262"/>
      <c r="U34" s="262"/>
      <c r="V34" s="262"/>
      <c r="W34" s="262"/>
      <c r="X34" s="262"/>
      <c r="Y34" s="262"/>
      <c r="Z34" s="262"/>
      <c r="AA34" s="262"/>
      <c r="AB34" s="262"/>
      <c r="AC34" s="262"/>
      <c r="AD34" s="262"/>
      <c r="AE34" s="262"/>
      <c r="AF34" s="262"/>
      <c r="AG34" s="262"/>
      <c r="AH34" s="262"/>
      <c r="AI34" s="262"/>
      <c r="AJ34" s="262"/>
      <c r="AK34" s="262"/>
      <c r="AL34" s="262"/>
      <c r="AM34" s="262"/>
      <c r="AN34" s="262"/>
      <c r="AO34" s="262"/>
      <c r="AP34" s="358"/>
      <c r="AQ34" s="358"/>
      <c r="AR34" s="358"/>
      <c r="AS34" s="358"/>
      <c r="AT34" s="358"/>
      <c r="AU34" s="358"/>
      <c r="AV34" s="358"/>
      <c r="AW34" s="358"/>
      <c r="DV34" s="1209"/>
      <c r="DW34" s="325" t="s">
        <v>300</v>
      </c>
      <c r="DX34" s="1205">
        <f>IF(AND(DY16&gt;=20,DY17=1),1,0)</f>
        <v>0</v>
      </c>
      <c r="DY34" s="1205"/>
      <c r="DZ34" s="1205"/>
      <c r="EA34" s="358"/>
      <c r="EB34" s="358"/>
      <c r="EC34" s="358">
        <f>IF(AND(DX34=1,DY26&lt;=15),1,0)</f>
        <v>0</v>
      </c>
      <c r="ED34" s="358">
        <f>IF(AND(DX34=1,DY26&gt;15),1,0)</f>
        <v>0</v>
      </c>
      <c r="EF34" s="358"/>
      <c r="EG34" s="358"/>
      <c r="EH34" s="358"/>
      <c r="EI34" s="358"/>
      <c r="EJ34" s="358"/>
      <c r="EK34" s="358"/>
      <c r="EL34" s="358"/>
      <c r="EM34" s="358"/>
      <c r="EN34" s="358"/>
      <c r="EO34" s="358"/>
      <c r="EP34" s="358"/>
      <c r="EQ34" s="358"/>
      <c r="ER34" s="358"/>
    </row>
    <row r="35" spans="2:148" ht="45">
      <c r="B35" s="298" t="s">
        <v>301</v>
      </c>
      <c r="C35" s="286" t="s">
        <v>302</v>
      </c>
      <c r="D35" s="287">
        <v>1500</v>
      </c>
      <c r="E35" s="287">
        <v>1500</v>
      </c>
      <c r="F35" s="396">
        <f>IF(L35=0.1,3,L35)</f>
        <v>3</v>
      </c>
      <c r="G35" s="309">
        <f>F35*E35</f>
        <v>4500</v>
      </c>
      <c r="H35" s="329"/>
      <c r="I35" s="330"/>
      <c r="J35" s="337" t="s">
        <v>303</v>
      </c>
      <c r="K35" s="306" t="s">
        <v>287</v>
      </c>
      <c r="L35" s="303">
        <v>0.1</v>
      </c>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372" t="s">
        <v>304</v>
      </c>
      <c r="AP35" s="370" t="s">
        <v>305</v>
      </c>
      <c r="AQ35" s="1205">
        <f>IF(AR16&gt;1,1,0)</f>
        <v>1</v>
      </c>
      <c r="AR35" s="1205"/>
      <c r="AS35" s="1205"/>
      <c r="AT35" s="358"/>
      <c r="AU35" s="358"/>
      <c r="AV35" s="358">
        <f>IF(AND(AQ35,AR25&lt;=15),AR16+1,0)</f>
        <v>7</v>
      </c>
      <c r="AW35" s="358">
        <f>IF(AND(AQ35=1,AR25&gt;15),AR16+1,0)</f>
        <v>0</v>
      </c>
      <c r="BA35" s="358"/>
      <c r="BC35" s="418" t="str">
        <f>"Linear foot per (" &amp; BA23 &amp; ") ft roll"</f>
        <v>Linear foot per (10.471975511966) ft roll</v>
      </c>
      <c r="BD35" s="466" t="s">
        <v>306</v>
      </c>
      <c r="DV35" s="262"/>
      <c r="DW35" s="358"/>
      <c r="DX35" s="358"/>
      <c r="DY35" s="358"/>
      <c r="DZ35" s="358"/>
      <c r="EA35" s="358"/>
      <c r="EB35" s="358"/>
      <c r="EC35" s="358"/>
      <c r="ED35" s="358"/>
      <c r="EF35" s="358"/>
      <c r="EG35" s="358"/>
      <c r="EH35" s="358"/>
      <c r="EI35" s="358"/>
      <c r="EJ35" s="358"/>
      <c r="EK35" s="358"/>
      <c r="EL35" s="358"/>
      <c r="EM35" s="358"/>
      <c r="EN35" s="358"/>
      <c r="EO35" s="358"/>
      <c r="EP35" s="358"/>
      <c r="EQ35" s="358"/>
      <c r="ER35" s="358"/>
    </row>
    <row r="36" spans="2:148" ht="15.75">
      <c r="F36" s="273"/>
      <c r="G36" s="288">
        <f>SUM(G10:G35)</f>
        <v>13172.6</v>
      </c>
      <c r="H36" s="327"/>
      <c r="I36" s="288"/>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c r="AI36" s="260"/>
      <c r="AJ36" s="260"/>
      <c r="AK36" s="260"/>
      <c r="AL36" s="260"/>
      <c r="AM36" s="260"/>
      <c r="AN36" s="260"/>
      <c r="AO36" s="260"/>
      <c r="AP36" s="358"/>
      <c r="AQ36" s="358"/>
      <c r="AR36" s="358"/>
      <c r="AS36" s="358"/>
      <c r="AT36" s="358"/>
      <c r="AU36" s="358"/>
      <c r="AV36" s="358"/>
      <c r="AW36" s="358"/>
      <c r="BA36" s="358"/>
      <c r="DV36" s="372" t="s">
        <v>304</v>
      </c>
      <c r="DW36" s="370" t="s">
        <v>305</v>
      </c>
      <c r="DX36" s="1205">
        <f>IF(DY17&gt;1,1,0)</f>
        <v>0</v>
      </c>
      <c r="DY36" s="1205"/>
      <c r="DZ36" s="1205"/>
      <c r="EA36" s="358"/>
      <c r="EB36" s="358"/>
      <c r="EC36" s="358">
        <f>IF(AND(DX36,DY26&lt;=15),DY17+1,0)</f>
        <v>0</v>
      </c>
      <c r="ED36" s="358">
        <f>IF(AND(DX36=1,DY26&gt;15),DY17+1,0)</f>
        <v>0</v>
      </c>
      <c r="EF36" s="358"/>
      <c r="EG36" s="358"/>
      <c r="EH36" s="358"/>
      <c r="EI36" s="358"/>
      <c r="EJ36" s="358"/>
      <c r="EK36" s="358"/>
      <c r="EL36" s="358"/>
      <c r="EM36" s="358"/>
      <c r="EN36" s="358"/>
      <c r="EO36" s="358"/>
      <c r="EP36" s="358"/>
      <c r="EQ36" s="358"/>
      <c r="ER36" s="358"/>
    </row>
    <row r="37" spans="2:148">
      <c r="AP37" s="358"/>
      <c r="AQ37" s="358"/>
      <c r="AR37" s="358"/>
      <c r="AS37" s="358"/>
      <c r="AT37" s="358" t="s">
        <v>307</v>
      </c>
      <c r="AU37" s="358">
        <f>SUM(AU29,AU30,AU31,AU32,AU33,AU34,AU35)</f>
        <v>0</v>
      </c>
      <c r="AV37" s="358">
        <f>SUM(AV29,AV30,AV31,AV32,AV33,AV34,AV35)</f>
        <v>7</v>
      </c>
      <c r="AW37" s="358">
        <f>SUM(AW29,AW30,AW31,AW32,AW33,AW34,AW35)</f>
        <v>0</v>
      </c>
      <c r="BA37" s="358"/>
      <c r="BC37" s="464">
        <f>BC27</f>
        <v>0.5</v>
      </c>
      <c r="BD37">
        <f>ROUNDDOWN((20/BA23),0)/2</f>
        <v>0.5</v>
      </c>
      <c r="DV37" s="260"/>
      <c r="DW37" s="358"/>
      <c r="DX37" s="358"/>
      <c r="DY37" s="358"/>
      <c r="DZ37" s="358"/>
      <c r="EA37" s="358"/>
      <c r="EB37" s="358"/>
      <c r="EC37" s="358"/>
      <c r="ED37" s="358"/>
      <c r="EF37" s="358"/>
      <c r="EG37" s="358"/>
      <c r="EH37" s="358"/>
      <c r="EI37" s="358"/>
      <c r="EJ37" s="358"/>
      <c r="EK37" s="358"/>
      <c r="EL37" s="358"/>
      <c r="EM37" s="358"/>
      <c r="EN37" s="358"/>
      <c r="EO37" s="358"/>
      <c r="EP37" s="358"/>
      <c r="EQ37" s="358"/>
      <c r="ER37" s="358"/>
    </row>
    <row r="38" spans="2:148">
      <c r="AP38" s="358"/>
      <c r="AQ38" s="358"/>
      <c r="AR38" s="358"/>
      <c r="AS38" s="358"/>
      <c r="AT38" s="358"/>
      <c r="AU38" s="358"/>
      <c r="AV38" s="358"/>
      <c r="AW38" s="358"/>
      <c r="AX38" s="358"/>
      <c r="AY38" s="358"/>
      <c r="BA38" s="358"/>
      <c r="BC38" s="477"/>
      <c r="DW38" s="358"/>
      <c r="DX38" s="358"/>
      <c r="DY38" s="358"/>
      <c r="DZ38" s="358"/>
      <c r="EA38" s="358" t="s">
        <v>307</v>
      </c>
      <c r="EB38" s="358">
        <f>SUM(EB30:EB36)</f>
        <v>1</v>
      </c>
      <c r="EC38" s="358">
        <f>SUM(EC30:EC36)</f>
        <v>1</v>
      </c>
      <c r="ED38" s="358">
        <f>SUM(ED30:ED36)</f>
        <v>0</v>
      </c>
      <c r="EF38" s="358"/>
      <c r="EG38" s="358"/>
      <c r="EH38" s="358"/>
      <c r="EI38" s="358"/>
      <c r="EJ38" s="358"/>
      <c r="EK38" s="358"/>
      <c r="EL38" s="358"/>
      <c r="EM38" s="358"/>
      <c r="EN38" s="358"/>
      <c r="EO38" s="358"/>
      <c r="EP38" s="358"/>
      <c r="EQ38" s="358"/>
      <c r="ER38" s="358"/>
    </row>
    <row r="39" spans="2:148">
      <c r="AP39" s="358"/>
      <c r="AQ39" s="358"/>
      <c r="AR39" s="358"/>
      <c r="AS39" s="358"/>
      <c r="AT39" s="358"/>
      <c r="AU39" s="358"/>
      <c r="AV39" s="358"/>
      <c r="AW39" s="358"/>
      <c r="AX39" s="358"/>
      <c r="AY39" s="358"/>
      <c r="AZ39" s="358"/>
      <c r="BA39" s="358"/>
      <c r="BB39" s="358"/>
      <c r="BC39" s="464">
        <f>BC29</f>
        <v>1</v>
      </c>
      <c r="BD39" s="358"/>
      <c r="BE39" s="358"/>
      <c r="BF39" s="358"/>
      <c r="BG39" s="358"/>
      <c r="BH39" s="358"/>
      <c r="BI39" s="358"/>
      <c r="BJ39" s="358"/>
      <c r="BK39" s="358"/>
      <c r="BL39" s="358"/>
      <c r="BM39" s="358"/>
      <c r="BN39" s="358"/>
      <c r="BO39" s="358"/>
      <c r="BP39" s="358"/>
      <c r="BQ39" s="358"/>
      <c r="BR39" s="358"/>
      <c r="BS39" s="358"/>
      <c r="BT39" s="358"/>
      <c r="BU39" s="358"/>
      <c r="BV39" s="358"/>
      <c r="BW39" s="358"/>
      <c r="BX39" s="358"/>
    </row>
    <row r="40" spans="2:148">
      <c r="AP40" s="358"/>
      <c r="AQ40" s="358"/>
      <c r="AR40" s="358"/>
      <c r="AS40" s="358"/>
      <c r="AT40" s="358"/>
      <c r="AU40" s="358"/>
      <c r="AV40" s="358"/>
      <c r="AW40" s="358"/>
      <c r="AX40" s="358"/>
      <c r="AY40" s="358"/>
      <c r="AZ40" s="358"/>
      <c r="BA40" s="358"/>
      <c r="BB40" s="358"/>
      <c r="BC40" s="477"/>
      <c r="BD40" s="358"/>
      <c r="BE40" s="358"/>
      <c r="BF40" s="358"/>
      <c r="BG40" s="358"/>
      <c r="BH40" s="358"/>
      <c r="BI40" s="358"/>
      <c r="BJ40" s="358"/>
      <c r="BK40" s="358"/>
      <c r="BL40" s="358"/>
      <c r="BM40" s="358"/>
      <c r="BN40" s="358"/>
      <c r="BO40" s="358"/>
      <c r="BP40" s="358"/>
      <c r="BQ40" s="358"/>
      <c r="BR40" s="358"/>
      <c r="BS40" s="358"/>
      <c r="BT40" s="358"/>
      <c r="BU40" s="358"/>
      <c r="BV40" s="358"/>
      <c r="BW40" s="358"/>
      <c r="BX40" s="358"/>
    </row>
    <row r="41" spans="2:148">
      <c r="AP41" s="358"/>
      <c r="AQ41" s="358"/>
      <c r="AR41" s="358"/>
      <c r="AS41" s="358"/>
      <c r="AT41" s="358"/>
      <c r="AU41" s="358"/>
      <c r="AV41" s="358"/>
      <c r="AW41" s="358"/>
      <c r="AX41" s="358"/>
      <c r="AY41" s="358"/>
      <c r="AZ41" s="358"/>
      <c r="BA41" s="358"/>
      <c r="BB41" s="358"/>
      <c r="BC41" s="464">
        <f>BC31</f>
        <v>2</v>
      </c>
      <c r="BD41" s="358"/>
      <c r="BE41" s="358"/>
      <c r="BF41" s="358"/>
      <c r="BG41" s="358"/>
      <c r="BH41" s="358"/>
      <c r="BI41" s="358"/>
      <c r="BJ41" s="358"/>
      <c r="BK41" s="358"/>
      <c r="BL41" s="358"/>
      <c r="BM41" s="358"/>
      <c r="BN41" s="358"/>
      <c r="BO41" s="358"/>
      <c r="BP41" s="358"/>
      <c r="BQ41" s="358"/>
      <c r="BR41" s="358"/>
      <c r="BS41" s="358"/>
      <c r="BT41" s="358"/>
      <c r="BU41" s="358"/>
      <c r="BV41" s="358"/>
      <c r="BW41" s="358"/>
      <c r="BX41" s="358"/>
    </row>
    <row r="42" spans="2:148">
      <c r="L42" s="260">
        <v>1</v>
      </c>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358"/>
      <c r="BU42" s="358"/>
      <c r="BV42" s="358"/>
      <c r="BW42" s="358"/>
      <c r="BX42" s="358"/>
    </row>
    <row r="43" spans="2:148" ht="15.6" customHeight="1">
      <c r="AP43" s="358"/>
      <c r="AQ43" s="358"/>
      <c r="AR43" s="358"/>
      <c r="AS43" s="358"/>
      <c r="AT43" s="358"/>
      <c r="AU43" s="358"/>
      <c r="AV43" s="358"/>
      <c r="AW43" s="358"/>
      <c r="AX43" s="358"/>
      <c r="AY43" s="358"/>
      <c r="AZ43" s="358"/>
      <c r="BA43" s="358"/>
      <c r="BB43" s="358"/>
      <c r="BC43" s="358"/>
      <c r="BD43" s="358"/>
      <c r="BE43" s="358"/>
      <c r="BF43" s="358"/>
      <c r="BG43" s="358"/>
      <c r="BH43" s="358"/>
      <c r="BI43" s="358"/>
      <c r="BJ43" s="358"/>
      <c r="BK43" s="358"/>
      <c r="BL43" s="358"/>
      <c r="BM43" s="358"/>
      <c r="BN43" s="358"/>
      <c r="BO43" s="358"/>
      <c r="BP43" s="358"/>
      <c r="BQ43" s="358"/>
      <c r="BR43" s="358"/>
      <c r="BS43" s="358"/>
      <c r="BT43" s="358"/>
      <c r="BU43" s="358"/>
      <c r="BV43" s="358"/>
      <c r="BW43" s="358"/>
      <c r="BX43" s="358"/>
    </row>
    <row r="44" spans="2:148">
      <c r="AP44" s="358"/>
      <c r="AQ44" s="358"/>
      <c r="AR44" s="358"/>
      <c r="AS44" s="358"/>
      <c r="AT44" s="358"/>
      <c r="AU44" s="358"/>
      <c r="AV44" s="358"/>
      <c r="AW44" s="358"/>
      <c r="AX44" s="358"/>
      <c r="AY44" s="358"/>
      <c r="AZ44" s="358"/>
      <c r="BA44" s="358"/>
      <c r="BB44" s="358"/>
      <c r="BC44" s="358"/>
      <c r="BD44" s="358"/>
      <c r="BE44" s="358"/>
      <c r="BF44" s="358"/>
      <c r="BG44" s="358"/>
      <c r="BH44" s="358"/>
      <c r="BI44" s="358"/>
      <c r="BJ44" s="358"/>
      <c r="BK44" s="358"/>
      <c r="BL44" s="358"/>
      <c r="BM44" s="358"/>
      <c r="BN44" s="358"/>
      <c r="BO44" s="358"/>
      <c r="BP44" s="358"/>
      <c r="BQ44" s="358"/>
      <c r="BR44" s="358"/>
      <c r="BS44" s="358"/>
      <c r="BT44" s="358"/>
      <c r="BU44" s="358"/>
      <c r="BV44" s="358"/>
      <c r="BW44" s="358"/>
      <c r="BX44" s="358"/>
    </row>
    <row r="45" spans="2:148">
      <c r="AP45" s="358"/>
      <c r="AQ45" s="358"/>
      <c r="AR45" s="358"/>
      <c r="AS45" s="358"/>
      <c r="AT45" s="358"/>
      <c r="AU45" s="358"/>
      <c r="AV45" s="358"/>
      <c r="AW45" s="358"/>
      <c r="AX45" s="358"/>
      <c r="AY45" s="358"/>
      <c r="AZ45" s="358"/>
      <c r="BA45" s="358"/>
      <c r="BB45" s="358"/>
      <c r="BC45" s="358"/>
      <c r="BD45" s="358"/>
      <c r="BE45" s="358"/>
      <c r="BF45" s="358"/>
      <c r="BG45" s="358"/>
      <c r="BH45" s="358"/>
      <c r="BI45" s="358"/>
      <c r="BJ45" s="358"/>
      <c r="BK45" s="358"/>
      <c r="BL45" s="358"/>
      <c r="BM45" s="358"/>
      <c r="BN45" s="358"/>
      <c r="BO45" s="358"/>
      <c r="BP45" s="358"/>
      <c r="BQ45" s="358"/>
      <c r="BR45" s="358"/>
      <c r="BS45" s="358"/>
      <c r="BT45" s="358"/>
      <c r="BU45" s="358"/>
      <c r="BV45" s="358"/>
      <c r="BW45" s="358"/>
      <c r="BX45" s="358"/>
    </row>
    <row r="46" spans="2:14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358"/>
      <c r="BU46" s="358"/>
      <c r="BV46" s="358"/>
      <c r="BW46" s="358"/>
      <c r="BX46" s="358"/>
    </row>
    <row r="47" spans="2:14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358"/>
      <c r="BU47" s="358"/>
      <c r="BV47" s="358"/>
      <c r="BW47" s="358"/>
      <c r="BX47" s="358"/>
    </row>
    <row r="48" spans="2:14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358"/>
      <c r="BU48" s="358"/>
      <c r="BV48" s="358"/>
      <c r="BW48" s="358"/>
      <c r="BX48" s="358"/>
    </row>
    <row r="49" spans="42:76">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358"/>
      <c r="BU49" s="358"/>
      <c r="BV49" s="358"/>
      <c r="BW49" s="358"/>
      <c r="BX49" s="358"/>
    </row>
    <row r="50" spans="42:76">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358"/>
      <c r="BU50" s="358"/>
      <c r="BV50" s="358"/>
      <c r="BW50" s="358"/>
      <c r="BX50" s="358"/>
    </row>
    <row r="51" spans="42:76">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358"/>
      <c r="BU51" s="358"/>
      <c r="BV51" s="358"/>
      <c r="BW51" s="358"/>
      <c r="BX51" s="358"/>
    </row>
    <row r="52" spans="42:76">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358"/>
      <c r="BU52" s="358"/>
      <c r="BV52" s="358"/>
      <c r="BW52" s="358"/>
      <c r="BX52" s="358"/>
    </row>
    <row r="53" spans="42:76">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358"/>
      <c r="BU53" s="358"/>
      <c r="BV53" s="358"/>
      <c r="BW53" s="358"/>
      <c r="BX53" s="358"/>
    </row>
    <row r="54" spans="42:76">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358"/>
      <c r="BU54" s="358"/>
      <c r="BV54" s="358"/>
      <c r="BW54" s="358"/>
      <c r="BX54" s="358"/>
    </row>
    <row r="55" spans="42:76">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358"/>
      <c r="BU55" s="358"/>
      <c r="BV55" s="358"/>
      <c r="BW55" s="358"/>
      <c r="BX55" s="358"/>
    </row>
    <row r="56" spans="42:76">
      <c r="AP56" s="358"/>
      <c r="AQ56" s="358"/>
      <c r="AR56" s="358"/>
      <c r="AS56" s="358"/>
      <c r="AT56" s="358"/>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8"/>
      <c r="BW56" s="358"/>
      <c r="BX56" s="358"/>
    </row>
    <row r="57" spans="42:76" ht="17.25" customHeight="1">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358"/>
      <c r="BU57" s="358"/>
      <c r="BV57" s="358"/>
      <c r="BW57" s="358"/>
      <c r="BX57" s="358"/>
    </row>
    <row r="58" spans="42:76">
      <c r="AP58" s="358"/>
      <c r="AQ58" s="358"/>
      <c r="AR58" s="358"/>
      <c r="AS58" s="358"/>
      <c r="AT58" s="358"/>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8"/>
      <c r="BW58" s="358"/>
      <c r="BX58" s="358"/>
    </row>
    <row r="59" spans="42:76">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358"/>
      <c r="BU59" s="358"/>
      <c r="BV59" s="358"/>
      <c r="BW59" s="358"/>
      <c r="BX59" s="358"/>
    </row>
    <row r="60" spans="42:76">
      <c r="AP60" s="358"/>
      <c r="AQ60" s="358"/>
      <c r="AR60" s="358"/>
      <c r="AS60" s="358"/>
      <c r="AT60" s="358"/>
      <c r="AU60" s="358"/>
      <c r="AV60" s="358"/>
      <c r="AW60" s="358"/>
      <c r="AX60" s="358"/>
      <c r="AY60" s="358"/>
      <c r="AZ60" s="358"/>
      <c r="BA60" s="358"/>
      <c r="BB60" s="358"/>
      <c r="BC60" s="358"/>
      <c r="BD60" s="358"/>
      <c r="BE60" s="358"/>
      <c r="BF60" s="358"/>
      <c r="BG60" s="358"/>
      <c r="BH60" s="358"/>
      <c r="BI60" s="358"/>
      <c r="BJ60" s="358"/>
      <c r="BK60" s="358"/>
      <c r="BL60" s="358"/>
      <c r="BM60" s="358"/>
      <c r="BN60" s="358"/>
      <c r="BO60" s="358"/>
      <c r="BP60" s="358"/>
      <c r="BQ60" s="358"/>
      <c r="BR60" s="358"/>
      <c r="BS60" s="358"/>
      <c r="BT60" s="358"/>
      <c r="BU60" s="358"/>
      <c r="BV60" s="358"/>
      <c r="BW60" s="358"/>
      <c r="BX60" s="358"/>
    </row>
    <row r="61" spans="42:76">
      <c r="AP61" s="358"/>
      <c r="AQ61" s="358"/>
      <c r="AR61" s="358"/>
      <c r="AS61" s="358"/>
      <c r="AT61" s="358"/>
      <c r="AU61" s="358"/>
      <c r="AV61" s="358"/>
      <c r="AW61" s="358"/>
      <c r="AX61" s="358"/>
      <c r="AY61" s="358"/>
      <c r="AZ61" s="358"/>
      <c r="BA61" s="358"/>
      <c r="BB61" s="358"/>
      <c r="BC61" s="358"/>
      <c r="BD61" s="358"/>
      <c r="BE61" s="358"/>
      <c r="BF61" s="358"/>
      <c r="BG61" s="358"/>
      <c r="BH61" s="358"/>
      <c r="BI61" s="358"/>
      <c r="BJ61" s="358"/>
      <c r="BK61" s="358"/>
      <c r="BL61" s="358"/>
      <c r="BM61" s="358"/>
      <c r="BN61" s="358"/>
      <c r="BO61" s="358"/>
      <c r="BP61" s="358"/>
      <c r="BQ61" s="358"/>
      <c r="BR61" s="358"/>
      <c r="BS61" s="358"/>
      <c r="BT61" s="358"/>
      <c r="BU61" s="358"/>
      <c r="BV61" s="358"/>
      <c r="BW61" s="358"/>
      <c r="BX61" s="358"/>
    </row>
    <row r="62" spans="42:76">
      <c r="AP62" s="358"/>
      <c r="AQ62" s="358"/>
      <c r="AR62" s="358"/>
      <c r="AS62" s="358"/>
      <c r="AT62" s="358"/>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8"/>
      <c r="BW62" s="358"/>
      <c r="BX62" s="358"/>
    </row>
    <row r="63" spans="42:76" ht="17.25" customHeight="1">
      <c r="AP63" s="358"/>
      <c r="AQ63" s="358"/>
      <c r="AR63" s="358"/>
      <c r="AS63" s="358"/>
      <c r="AT63" s="358"/>
      <c r="AU63" s="358"/>
      <c r="AV63" s="358"/>
      <c r="AW63" s="358"/>
      <c r="AX63" s="358"/>
      <c r="AY63" s="358"/>
      <c r="AZ63" s="358"/>
      <c r="BA63" s="358"/>
      <c r="BB63" s="358"/>
      <c r="BC63" s="358"/>
      <c r="BD63" s="358"/>
      <c r="BE63" s="358"/>
      <c r="BF63" s="358"/>
      <c r="BG63" s="358"/>
      <c r="BH63" s="358"/>
      <c r="BI63" s="358"/>
      <c r="BJ63" s="358"/>
      <c r="BK63" s="358"/>
      <c r="BL63" s="358"/>
      <c r="BM63" s="358"/>
      <c r="BN63" s="358"/>
      <c r="BO63" s="358"/>
      <c r="BP63" s="358"/>
      <c r="BQ63" s="358"/>
      <c r="BR63" s="358"/>
      <c r="BS63" s="358"/>
      <c r="BT63" s="358"/>
      <c r="BU63" s="358"/>
      <c r="BV63" s="358"/>
      <c r="BW63" s="358"/>
      <c r="BX63" s="358"/>
    </row>
    <row r="64" spans="42:76">
      <c r="AP64" s="358"/>
      <c r="AQ64" s="358"/>
      <c r="AR64" s="358"/>
      <c r="AS64" s="358"/>
      <c r="AT64" s="358"/>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8"/>
      <c r="BW64" s="358"/>
      <c r="BX64" s="358"/>
    </row>
    <row r="65" spans="42:76">
      <c r="AP65" s="358"/>
      <c r="AQ65" s="358"/>
      <c r="AR65" s="358"/>
      <c r="AS65" s="358"/>
      <c r="AT65" s="358"/>
      <c r="AU65" s="358"/>
      <c r="AV65" s="358"/>
      <c r="AW65" s="358"/>
      <c r="AX65" s="358"/>
      <c r="AY65" s="358"/>
      <c r="AZ65" s="358"/>
      <c r="BA65" s="358"/>
      <c r="BB65" s="358"/>
      <c r="BC65" s="358"/>
      <c r="BD65" s="358"/>
      <c r="BE65" s="358"/>
      <c r="BF65" s="358"/>
      <c r="BG65" s="358"/>
      <c r="BH65" s="358"/>
      <c r="BI65" s="358"/>
      <c r="BJ65" s="358"/>
      <c r="BK65" s="358"/>
      <c r="BL65" s="358"/>
      <c r="BM65" s="358"/>
      <c r="BN65" s="358"/>
      <c r="BO65" s="358"/>
      <c r="BP65" s="358"/>
      <c r="BQ65" s="358"/>
      <c r="BR65" s="358"/>
      <c r="BS65" s="358"/>
      <c r="BT65" s="358"/>
      <c r="BU65" s="358"/>
      <c r="BV65" s="358"/>
      <c r="BW65" s="358"/>
      <c r="BX65" s="358"/>
    </row>
    <row r="66" spans="42:76">
      <c r="AP66" s="358"/>
      <c r="AQ66" s="358"/>
      <c r="AR66" s="358"/>
      <c r="AS66" s="358"/>
      <c r="AT66" s="358"/>
      <c r="AU66" s="358"/>
      <c r="AV66" s="358"/>
      <c r="AW66" s="358"/>
      <c r="AX66" s="358"/>
      <c r="AY66" s="358"/>
      <c r="AZ66" s="358"/>
      <c r="BA66" s="358"/>
      <c r="BB66" s="358"/>
      <c r="BC66" s="358"/>
      <c r="BD66" s="358"/>
      <c r="BE66" s="358"/>
      <c r="BF66" s="358"/>
      <c r="BG66" s="358"/>
      <c r="BH66" s="358"/>
      <c r="BI66" s="358"/>
      <c r="BJ66" s="358"/>
      <c r="BK66" s="358"/>
      <c r="BL66" s="358"/>
      <c r="BM66" s="358"/>
      <c r="BN66" s="358"/>
      <c r="BO66" s="358"/>
      <c r="BP66" s="358"/>
      <c r="BQ66" s="358"/>
      <c r="BR66" s="358"/>
      <c r="BS66" s="358"/>
      <c r="BT66" s="358"/>
      <c r="BU66" s="358"/>
      <c r="BV66" s="358"/>
      <c r="BW66" s="358"/>
      <c r="BX66" s="358"/>
    </row>
    <row r="67" spans="42:76">
      <c r="AP67" s="358"/>
      <c r="AQ67" s="358"/>
      <c r="AR67" s="358"/>
      <c r="AS67" s="358"/>
      <c r="AT67" s="358"/>
      <c r="AU67" s="358"/>
      <c r="AV67" s="358"/>
      <c r="AW67" s="358"/>
      <c r="AX67" s="358"/>
      <c r="AY67" s="358"/>
      <c r="AZ67" s="358"/>
      <c r="BA67" s="358"/>
      <c r="BB67" s="358"/>
      <c r="BC67" s="358"/>
      <c r="BD67" s="358"/>
      <c r="BE67" s="358"/>
      <c r="BF67" s="358"/>
      <c r="BG67" s="358"/>
      <c r="BH67" s="358"/>
      <c r="BI67" s="358"/>
      <c r="BJ67" s="358"/>
      <c r="BK67" s="358"/>
      <c r="BL67" s="358"/>
      <c r="BM67" s="358"/>
      <c r="BN67" s="358"/>
      <c r="BO67" s="358"/>
      <c r="BP67" s="358"/>
      <c r="BQ67" s="358"/>
      <c r="BR67" s="358"/>
      <c r="BS67" s="358"/>
      <c r="BT67" s="358"/>
      <c r="BU67" s="358"/>
      <c r="BV67" s="358"/>
      <c r="BW67" s="358"/>
      <c r="BX67" s="358"/>
    </row>
    <row r="68" spans="42:76" ht="17.25" customHeight="1">
      <c r="AP68" s="358"/>
      <c r="AQ68" s="358"/>
      <c r="AR68" s="358"/>
      <c r="AS68" s="358"/>
      <c r="AT68" s="358"/>
      <c r="AU68" s="358"/>
      <c r="AV68" s="358"/>
      <c r="AW68" s="358"/>
      <c r="AX68" s="358"/>
      <c r="AY68" s="358"/>
      <c r="AZ68" s="358"/>
      <c r="BA68" s="358"/>
      <c r="BB68" s="358"/>
      <c r="BC68" s="358"/>
      <c r="BD68" s="358"/>
      <c r="BE68" s="358"/>
      <c r="BF68" s="358"/>
      <c r="BG68" s="358"/>
      <c r="BH68" s="358"/>
      <c r="BI68" s="358"/>
      <c r="BJ68" s="358"/>
      <c r="BK68" s="358"/>
      <c r="BL68" s="358"/>
      <c r="BM68" s="358"/>
      <c r="BN68" s="358"/>
      <c r="BO68" s="358"/>
      <c r="BP68" s="358"/>
      <c r="BQ68" s="358"/>
      <c r="BR68" s="358"/>
      <c r="BS68" s="358"/>
      <c r="BT68" s="358"/>
      <c r="BU68" s="358"/>
      <c r="BV68" s="358"/>
      <c r="BW68" s="358"/>
      <c r="BX68" s="358"/>
    </row>
    <row r="69" spans="42:76">
      <c r="AP69" s="358"/>
      <c r="AQ69" s="358"/>
      <c r="AR69" s="358"/>
      <c r="AS69" s="358"/>
      <c r="AT69" s="358"/>
      <c r="AU69" s="358"/>
      <c r="AV69" s="358"/>
      <c r="AW69" s="358"/>
      <c r="AX69" s="358"/>
      <c r="AY69" s="358"/>
      <c r="AZ69" s="358"/>
      <c r="BA69" s="358"/>
      <c r="BB69" s="358"/>
      <c r="BC69" s="358"/>
      <c r="BD69" s="358"/>
      <c r="BE69" s="358"/>
      <c r="BF69" s="358"/>
      <c r="BG69" s="358"/>
      <c r="BH69" s="358"/>
      <c r="BI69" s="358"/>
      <c r="BJ69" s="358"/>
      <c r="BK69" s="358"/>
      <c r="BL69" s="358"/>
      <c r="BM69" s="358"/>
      <c r="BN69" s="358"/>
      <c r="BO69" s="358"/>
      <c r="BP69" s="358"/>
      <c r="BQ69" s="358"/>
      <c r="BR69" s="358"/>
      <c r="BS69" s="358"/>
      <c r="BT69" s="358"/>
      <c r="BU69" s="358"/>
      <c r="BV69" s="358"/>
      <c r="BW69" s="358"/>
      <c r="BX69" s="358"/>
    </row>
    <row r="70" spans="42:76">
      <c r="AP70" s="358"/>
      <c r="AQ70" s="358"/>
      <c r="AR70" s="358"/>
      <c r="AS70" s="358"/>
      <c r="AT70" s="358"/>
      <c r="AU70" s="358"/>
      <c r="AV70" s="358"/>
      <c r="AW70" s="358"/>
      <c r="AX70" s="358"/>
      <c r="AY70" s="358"/>
      <c r="AZ70" s="358"/>
      <c r="BA70" s="358"/>
      <c r="BB70" s="358"/>
      <c r="BC70" s="358"/>
      <c r="BD70" s="358"/>
      <c r="BE70" s="358"/>
      <c r="BF70" s="358"/>
      <c r="BG70" s="358"/>
      <c r="BH70" s="358"/>
      <c r="BI70" s="358"/>
      <c r="BJ70" s="358"/>
      <c r="BK70" s="358"/>
      <c r="BL70" s="358"/>
      <c r="BM70" s="358"/>
      <c r="BN70" s="358"/>
      <c r="BO70" s="358"/>
      <c r="BP70" s="358"/>
      <c r="BQ70" s="358"/>
      <c r="BR70" s="358"/>
      <c r="BS70" s="358"/>
      <c r="BT70" s="358"/>
      <c r="BU70" s="358"/>
      <c r="BV70" s="358"/>
      <c r="BW70" s="358"/>
      <c r="BX70" s="358"/>
    </row>
    <row r="71" spans="42:76"/>
    <row r="72" spans="42:76"/>
    <row r="73" spans="42:76"/>
    <row r="74" spans="42:76" ht="17.25" customHeight="1"/>
    <row r="75" spans="42:76"/>
    <row r="76" spans="42:76"/>
    <row r="77" spans="42:76"/>
    <row r="78" spans="42:76"/>
    <row r="79" spans="42:76"/>
    <row r="80" spans="42:76"/>
    <row r="81" spans="2:9"/>
    <row r="82" spans="2:9"/>
    <row r="83" spans="2:9">
      <c r="B83"/>
      <c r="C83" s="268"/>
      <c r="H83"/>
      <c r="I83" s="320"/>
    </row>
    <row r="84" spans="2:9"/>
    <row r="108" spans="2:8" ht="15" customHeight="1">
      <c r="B108"/>
      <c r="C108" s="268"/>
      <c r="H108"/>
    </row>
  </sheetData>
  <mergeCells count="16">
    <mergeCell ref="A22:A27"/>
    <mergeCell ref="H9:I9"/>
    <mergeCell ref="A10:A18"/>
    <mergeCell ref="AQ23:AS23"/>
    <mergeCell ref="AQ29:AS29"/>
    <mergeCell ref="AQ31:AS31"/>
    <mergeCell ref="AQ35:AS35"/>
    <mergeCell ref="AO29:AO33"/>
    <mergeCell ref="AQ33:AS33"/>
    <mergeCell ref="AZ27:AZ31"/>
    <mergeCell ref="DX36:DZ36"/>
    <mergeCell ref="DX24:DZ24"/>
    <mergeCell ref="DV30:DV34"/>
    <mergeCell ref="DX30:DZ30"/>
    <mergeCell ref="DX32:DZ32"/>
    <mergeCell ref="DX34:DZ34"/>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3B73-F4C7-4A21-8772-FD781ED5AF5A}">
  <sheetPr>
    <tabColor theme="3"/>
  </sheetPr>
  <dimension ref="B1:FG714"/>
  <sheetViews>
    <sheetView topLeftCell="H1" workbookViewId="0">
      <selection activeCell="L9" sqref="L9"/>
    </sheetView>
  </sheetViews>
  <sheetFormatPr defaultRowHeight="15" customHeight="1"/>
  <cols>
    <col min="2" max="2" width="12.5703125" bestFit="1" customWidth="1"/>
    <col min="3" max="3" width="35.5703125" style="268" bestFit="1" customWidth="1"/>
    <col min="4" max="4" width="22.7109375" style="320" bestFit="1" customWidth="1"/>
    <col min="5" max="5" width="26.85546875" style="268" bestFit="1" customWidth="1"/>
    <col min="6" max="6" width="22.85546875" style="268" bestFit="1" customWidth="1"/>
    <col min="7" max="7" width="20.7109375" style="268" bestFit="1" customWidth="1"/>
    <col min="8" max="8" width="22.7109375" style="268" bestFit="1" customWidth="1"/>
    <col min="9" max="9" width="35.85546875" style="268" customWidth="1"/>
    <col min="10" max="10" width="19.28515625" style="268" customWidth="1"/>
    <col min="11" max="11" width="35.5703125" style="268" bestFit="1" customWidth="1"/>
    <col min="12" max="12" width="33.140625" style="268" bestFit="1" customWidth="1"/>
    <col min="13" max="13" width="22.85546875" style="268" bestFit="1" customWidth="1"/>
    <col min="14" max="15" width="35.5703125" style="268" bestFit="1" customWidth="1"/>
    <col min="16" max="16" width="21.140625" style="268" bestFit="1" customWidth="1"/>
    <col min="17" max="17" width="35.5703125" style="268" bestFit="1" customWidth="1"/>
    <col min="18" max="18" width="21.140625" style="268" bestFit="1" customWidth="1"/>
    <col min="19" max="19" width="19.28515625" customWidth="1"/>
    <col min="20" max="20" width="35.5703125" bestFit="1" customWidth="1"/>
    <col min="21" max="21" width="22.85546875" bestFit="1" customWidth="1"/>
    <col min="22" max="22" width="19.140625" bestFit="1" customWidth="1"/>
    <col min="23" max="24" width="26.85546875" bestFit="1" customWidth="1"/>
    <col min="25" max="25" width="18.7109375" bestFit="1" customWidth="1"/>
    <col min="26" max="26" width="22.140625" bestFit="1" customWidth="1"/>
    <col min="27" max="28" width="11.7109375" bestFit="1" customWidth="1"/>
    <col min="29" max="29" width="10.42578125" bestFit="1" customWidth="1"/>
    <col min="30" max="30" width="9.7109375" bestFit="1" customWidth="1"/>
    <col min="31" max="31" width="9.28515625" bestFit="1" customWidth="1"/>
    <col min="32" max="32" width="10.7109375" bestFit="1" customWidth="1"/>
    <col min="33" max="33" width="14.5703125" bestFit="1" customWidth="1"/>
    <col min="34" max="34" width="12.140625" bestFit="1" customWidth="1"/>
    <col min="35" max="35" width="27" bestFit="1" customWidth="1"/>
    <col min="36" max="36" width="10.7109375" bestFit="1" customWidth="1"/>
    <col min="37" max="37" width="16.85546875" bestFit="1" customWidth="1"/>
    <col min="38" max="82" width="10.7109375" bestFit="1" customWidth="1"/>
    <col min="83" max="90" width="6.42578125" customWidth="1"/>
    <col min="92" max="92" width="26.85546875" bestFit="1" customWidth="1"/>
    <col min="93" max="93" width="27.28515625" bestFit="1" customWidth="1"/>
    <col min="94" max="98" width="10.42578125" bestFit="1" customWidth="1"/>
    <col min="99" max="99" width="9.28515625" bestFit="1" customWidth="1"/>
    <col min="100" max="100" width="11.42578125" bestFit="1" customWidth="1"/>
    <col min="101" max="101" width="6" bestFit="1" customWidth="1"/>
    <col min="102" max="102" width="6.140625" bestFit="1" customWidth="1"/>
    <col min="103" max="103" width="6" bestFit="1" customWidth="1"/>
    <col min="104" max="104" width="6.140625" bestFit="1" customWidth="1"/>
    <col min="105" max="105" width="6" bestFit="1" customWidth="1"/>
    <col min="106" max="106" width="6.140625" bestFit="1" customWidth="1"/>
    <col min="107" max="107" width="6" bestFit="1" customWidth="1"/>
    <col min="108" max="108" width="6.140625" bestFit="1" customWidth="1"/>
    <col min="109" max="109" width="6" bestFit="1" customWidth="1"/>
    <col min="110" max="110" width="6.140625" bestFit="1" customWidth="1"/>
    <col min="111" max="111" width="6.42578125" bestFit="1" customWidth="1"/>
    <col min="112" max="112" width="6.140625" bestFit="1" customWidth="1"/>
    <col min="113" max="113" width="6.42578125" bestFit="1" customWidth="1"/>
    <col min="114" max="114" width="6.140625" bestFit="1" customWidth="1"/>
    <col min="115" max="115" width="6.42578125" bestFit="1" customWidth="1"/>
    <col min="116" max="116" width="6.140625" bestFit="1" customWidth="1"/>
    <col min="117" max="117" width="6.42578125" bestFit="1" customWidth="1"/>
    <col min="118" max="118" width="6.140625" bestFit="1" customWidth="1"/>
    <col min="119" max="119" width="6.42578125" bestFit="1" customWidth="1"/>
    <col min="120" max="120" width="6.140625" bestFit="1" customWidth="1"/>
    <col min="121" max="121" width="6.42578125" bestFit="1" customWidth="1"/>
    <col min="122" max="122" width="6.140625" bestFit="1" customWidth="1"/>
    <col min="123" max="123" width="6.42578125" bestFit="1" customWidth="1"/>
    <col min="124" max="124" width="6.140625" bestFit="1" customWidth="1"/>
    <col min="125" max="125" width="6.42578125" bestFit="1" customWidth="1"/>
    <col min="126" max="126" width="6.140625" bestFit="1" customWidth="1"/>
    <col min="127" max="127" width="6.42578125" bestFit="1" customWidth="1"/>
    <col min="128" max="128" width="6.140625" bestFit="1" customWidth="1"/>
    <col min="129" max="129" width="6.42578125" bestFit="1" customWidth="1"/>
    <col min="130" max="130" width="6.140625" bestFit="1" customWidth="1"/>
    <col min="131" max="131" width="6.42578125" bestFit="1" customWidth="1"/>
    <col min="132" max="132" width="6.140625" bestFit="1" customWidth="1"/>
    <col min="133" max="133" width="6.42578125" bestFit="1" customWidth="1"/>
    <col min="134" max="134" width="6.140625" bestFit="1" customWidth="1"/>
    <col min="135" max="135" width="6.42578125" bestFit="1" customWidth="1"/>
    <col min="136" max="136" width="6.140625" bestFit="1" customWidth="1"/>
    <col min="137" max="137" width="6.42578125" bestFit="1" customWidth="1"/>
    <col min="138" max="138" width="6.140625" bestFit="1" customWidth="1"/>
    <col min="139" max="139" width="6.42578125" bestFit="1" customWidth="1"/>
    <col min="140" max="140" width="6.140625" bestFit="1" customWidth="1"/>
    <col min="141" max="141" width="6.42578125" bestFit="1" customWidth="1"/>
    <col min="142" max="142" width="6.140625" bestFit="1" customWidth="1"/>
    <col min="143" max="143" width="6.42578125" bestFit="1" customWidth="1"/>
    <col min="144" max="144" width="6.140625" bestFit="1" customWidth="1"/>
    <col min="145" max="145" width="6.42578125" bestFit="1" customWidth="1"/>
    <col min="146" max="146" width="6.140625" bestFit="1" customWidth="1"/>
    <col min="147" max="147" width="6.42578125" bestFit="1" customWidth="1"/>
    <col min="148" max="148" width="6.140625" bestFit="1" customWidth="1"/>
    <col min="149" max="149" width="6.42578125" bestFit="1" customWidth="1"/>
    <col min="150" max="150" width="6.140625" bestFit="1" customWidth="1"/>
    <col min="151" max="151" width="6.42578125" bestFit="1" customWidth="1"/>
    <col min="156" max="156" width="15.42578125" bestFit="1" customWidth="1"/>
    <col min="157" max="157" width="10.42578125" bestFit="1" customWidth="1"/>
    <col min="158" max="158" width="26.85546875" bestFit="1" customWidth="1"/>
    <col min="159" max="159" width="27.28515625" bestFit="1" customWidth="1"/>
    <col min="160" max="160" width="16.28515625" bestFit="1" customWidth="1"/>
    <col min="161" max="161" width="10.42578125" bestFit="1" customWidth="1"/>
  </cols>
  <sheetData>
    <row r="1" spans="2:163">
      <c r="G1" s="594" t="s">
        <v>308</v>
      </c>
      <c r="H1" s="933" t="s">
        <v>309</v>
      </c>
    </row>
    <row r="2" spans="2:163">
      <c r="B2" s="325" t="s">
        <v>310</v>
      </c>
      <c r="C2" s="594" t="s">
        <v>311</v>
      </c>
      <c r="D2" s="589">
        <v>121251.01</v>
      </c>
      <c r="G2" s="594"/>
      <c r="H2" s="903">
        <f>G2+12</f>
        <v>12</v>
      </c>
      <c r="J2" s="268" t="s">
        <v>312</v>
      </c>
      <c r="K2" s="268" t="s">
        <v>313</v>
      </c>
      <c r="L2" s="268" t="s">
        <v>314</v>
      </c>
      <c r="T2" s="268" t="s">
        <v>315</v>
      </c>
    </row>
    <row r="3" spans="2:163">
      <c r="B3" s="325" t="s">
        <v>316</v>
      </c>
      <c r="C3" s="594" t="s">
        <v>311</v>
      </c>
      <c r="D3" s="589">
        <v>121273.52</v>
      </c>
      <c r="J3" s="712">
        <f>K30</f>
        <v>211444.29</v>
      </c>
      <c r="K3" s="961">
        <v>211444.54</v>
      </c>
      <c r="L3" s="712">
        <f>K32</f>
        <v>211444.79</v>
      </c>
      <c r="Q3" s="268" t="s">
        <v>311</v>
      </c>
      <c r="R3" s="589">
        <v>121275.48</v>
      </c>
      <c r="S3" s="268" t="s">
        <v>317</v>
      </c>
      <c r="T3" s="921">
        <f>T44</f>
        <v>121277.29000000001</v>
      </c>
      <c r="U3" s="268" t="s">
        <v>311</v>
      </c>
      <c r="V3" s="589">
        <v>121279.1</v>
      </c>
      <c r="CO3" s="268" t="s">
        <v>318</v>
      </c>
      <c r="CP3" s="268" t="s">
        <v>319</v>
      </c>
      <c r="CQ3" s="268" t="s">
        <v>320</v>
      </c>
      <c r="CR3" s="268" t="s">
        <v>321</v>
      </c>
      <c r="CS3" s="268" t="s">
        <v>322</v>
      </c>
      <c r="CT3" s="268" t="s">
        <v>323</v>
      </c>
      <c r="CU3" s="268" t="s">
        <v>324</v>
      </c>
      <c r="CV3" s="268" t="s">
        <v>325</v>
      </c>
      <c r="CW3" s="268" t="s">
        <v>326</v>
      </c>
      <c r="CX3" s="268" t="s">
        <v>327</v>
      </c>
      <c r="CY3" s="268" t="s">
        <v>328</v>
      </c>
      <c r="CZ3" s="268" t="s">
        <v>329</v>
      </c>
      <c r="DA3" s="268" t="s">
        <v>330</v>
      </c>
      <c r="DB3" s="268" t="s">
        <v>331</v>
      </c>
      <c r="DC3" s="268" t="s">
        <v>332</v>
      </c>
      <c r="DD3" s="268" t="s">
        <v>333</v>
      </c>
      <c r="DE3" s="268" t="s">
        <v>334</v>
      </c>
      <c r="DF3" s="268" t="s">
        <v>335</v>
      </c>
      <c r="DG3" s="268" t="s">
        <v>336</v>
      </c>
      <c r="DH3" s="268" t="s">
        <v>337</v>
      </c>
      <c r="DI3" s="268" t="s">
        <v>338</v>
      </c>
      <c r="DJ3" s="268" t="s">
        <v>339</v>
      </c>
      <c r="DK3" s="268" t="s">
        <v>340</v>
      </c>
      <c r="DL3" s="268" t="s">
        <v>341</v>
      </c>
      <c r="DM3" s="268" t="s">
        <v>342</v>
      </c>
      <c r="DN3" s="268" t="s">
        <v>343</v>
      </c>
      <c r="DO3" s="268" t="s">
        <v>344</v>
      </c>
      <c r="DP3" s="268" t="s">
        <v>345</v>
      </c>
      <c r="DQ3" s="268" t="s">
        <v>346</v>
      </c>
      <c r="DR3" s="268" t="s">
        <v>347</v>
      </c>
    </row>
    <row r="4" spans="2:163">
      <c r="D4" s="292"/>
      <c r="K4" s="268">
        <v>211444.54</v>
      </c>
      <c r="S4" s="268" t="s">
        <v>348</v>
      </c>
      <c r="T4" s="395"/>
      <c r="U4" s="268"/>
      <c r="V4" s="292"/>
      <c r="CI4" s="268"/>
      <c r="CJ4" s="268"/>
      <c r="CK4" s="268"/>
      <c r="CL4" s="268"/>
      <c r="CN4" t="s">
        <v>349</v>
      </c>
      <c r="CO4">
        <v>121275.48</v>
      </c>
      <c r="CP4">
        <v>121275.48</v>
      </c>
      <c r="CQ4">
        <v>121278.84</v>
      </c>
      <c r="CR4">
        <v>121279.1</v>
      </c>
      <c r="CS4">
        <v>0</v>
      </c>
      <c r="CT4">
        <v>0</v>
      </c>
      <c r="CU4">
        <v>0</v>
      </c>
      <c r="CV4">
        <v>0</v>
      </c>
      <c r="CW4">
        <v>0</v>
      </c>
      <c r="CX4">
        <v>0</v>
      </c>
      <c r="CY4">
        <v>0</v>
      </c>
      <c r="CZ4">
        <v>0</v>
      </c>
      <c r="DA4">
        <v>0</v>
      </c>
      <c r="DB4">
        <v>0</v>
      </c>
      <c r="DC4">
        <v>0</v>
      </c>
      <c r="DD4">
        <v>0</v>
      </c>
      <c r="DE4">
        <v>0</v>
      </c>
      <c r="DF4">
        <v>0</v>
      </c>
      <c r="DG4">
        <v>0</v>
      </c>
      <c r="DH4">
        <v>0</v>
      </c>
      <c r="DI4">
        <v>0</v>
      </c>
      <c r="DJ4">
        <v>0</v>
      </c>
      <c r="DK4">
        <v>0</v>
      </c>
      <c r="DL4">
        <v>0</v>
      </c>
      <c r="DM4">
        <v>0</v>
      </c>
      <c r="DN4">
        <v>0</v>
      </c>
      <c r="DO4">
        <v>0</v>
      </c>
      <c r="DP4">
        <v>0</v>
      </c>
      <c r="DQ4">
        <v>0</v>
      </c>
      <c r="DR4">
        <v>0</v>
      </c>
    </row>
    <row r="5" spans="2:163">
      <c r="C5" s="899" t="s">
        <v>308</v>
      </c>
      <c r="D5" s="898">
        <f>MechCarbonPrice!G5</f>
        <v>72</v>
      </c>
      <c r="M5" s="268">
        <v>0</v>
      </c>
      <c r="N5" s="268" t="s">
        <v>75</v>
      </c>
      <c r="Q5" s="268" t="s">
        <v>115</v>
      </c>
      <c r="R5" s="395">
        <v>0</v>
      </c>
      <c r="T5" s="268"/>
      <c r="U5" s="268" t="s">
        <v>115</v>
      </c>
      <c r="V5" s="712">
        <v>3.6</v>
      </c>
      <c r="CN5" t="s">
        <v>115</v>
      </c>
      <c r="CO5">
        <v>4.3499999999999996</v>
      </c>
      <c r="CP5">
        <v>4.3499999999999996</v>
      </c>
      <c r="CQ5">
        <v>208</v>
      </c>
      <c r="CR5">
        <v>3.6</v>
      </c>
      <c r="CS5">
        <v>0</v>
      </c>
      <c r="CT5">
        <v>0</v>
      </c>
      <c r="CU5">
        <v>0</v>
      </c>
      <c r="CV5">
        <v>0</v>
      </c>
      <c r="CW5">
        <v>0</v>
      </c>
      <c r="CX5">
        <v>0</v>
      </c>
      <c r="CY5">
        <v>0</v>
      </c>
      <c r="CZ5">
        <v>0</v>
      </c>
      <c r="DA5">
        <v>0</v>
      </c>
      <c r="DB5">
        <v>0</v>
      </c>
      <c r="DC5">
        <v>0</v>
      </c>
      <c r="DD5">
        <v>0</v>
      </c>
      <c r="DE5">
        <v>0</v>
      </c>
      <c r="DF5">
        <v>0</v>
      </c>
      <c r="DG5">
        <v>0</v>
      </c>
      <c r="DH5">
        <v>0</v>
      </c>
      <c r="DI5">
        <v>0</v>
      </c>
      <c r="DJ5">
        <v>0</v>
      </c>
      <c r="DK5">
        <v>0</v>
      </c>
      <c r="DL5">
        <v>0</v>
      </c>
      <c r="DM5">
        <v>0</v>
      </c>
      <c r="DN5">
        <v>0</v>
      </c>
      <c r="DO5">
        <v>0</v>
      </c>
      <c r="DP5">
        <v>0</v>
      </c>
      <c r="DQ5">
        <v>0</v>
      </c>
      <c r="DR5">
        <v>0</v>
      </c>
    </row>
    <row r="6" spans="2:163">
      <c r="C6" s="824" t="s">
        <v>350</v>
      </c>
      <c r="D6" s="889">
        <f>IF(MechCarbonPrice!B4=1,'Mechanical Calculations'!J49,'Corrosion Calculations'!J51)</f>
        <v>3.9528470752104745</v>
      </c>
      <c r="E6" s="903">
        <f>(D6*2)+F313</f>
        <v>281.05569415053276</v>
      </c>
      <c r="F6" s="897" t="s">
        <v>351</v>
      </c>
      <c r="M6" s="268">
        <v>6</v>
      </c>
      <c r="N6" s="268" t="s">
        <v>352</v>
      </c>
      <c r="Q6" s="268" t="s">
        <v>353</v>
      </c>
      <c r="R6" s="395">
        <v>5</v>
      </c>
      <c r="S6" s="268"/>
      <c r="T6" s="268"/>
      <c r="U6" s="268" t="s">
        <v>353</v>
      </c>
      <c r="V6" s="712"/>
      <c r="DR6" s="268"/>
      <c r="DS6" s="268"/>
      <c r="DT6" s="268"/>
      <c r="DU6" s="268"/>
      <c r="DV6" s="268"/>
      <c r="DW6" s="268"/>
      <c r="DX6" s="268"/>
      <c r="DY6" s="268"/>
      <c r="DZ6" s="268"/>
      <c r="EA6" s="268"/>
      <c r="EB6" s="268"/>
      <c r="EC6" s="268"/>
      <c r="ED6" s="268"/>
      <c r="EE6" s="268"/>
      <c r="EF6" s="268"/>
      <c r="EG6" s="268"/>
      <c r="EH6" s="268"/>
      <c r="EI6" s="268"/>
      <c r="EJ6" s="268"/>
      <c r="EK6" s="268"/>
      <c r="EL6" s="268"/>
      <c r="EM6" s="268"/>
      <c r="EN6" s="268"/>
      <c r="EO6" s="268"/>
      <c r="EP6" s="268"/>
      <c r="EQ6" s="268"/>
      <c r="ER6" s="268"/>
      <c r="ES6" s="268"/>
      <c r="ET6" s="268"/>
      <c r="EU6" s="268"/>
      <c r="EV6" s="268"/>
      <c r="EW6" s="268"/>
      <c r="EX6" s="268"/>
      <c r="EZ6" t="s">
        <v>310</v>
      </c>
      <c r="FA6" s="873">
        <f>CO10</f>
        <v>121275.48</v>
      </c>
    </row>
    <row r="7" spans="2:163">
      <c r="B7" s="325" t="s">
        <v>354</v>
      </c>
      <c r="C7" s="900" t="s">
        <v>355</v>
      </c>
      <c r="D7" s="901">
        <v>211444.45666666701</v>
      </c>
      <c r="E7" s="900"/>
      <c r="F7" s="910" t="b">
        <v>1</v>
      </c>
      <c r="G7" s="589">
        <f>IF(F7=TRUE,D7,"N/A")</f>
        <v>211444.45666666701</v>
      </c>
      <c r="J7" s="268" t="s">
        <v>356</v>
      </c>
      <c r="K7" s="712">
        <f>ROUNDDOWN(K3,0)</f>
        <v>211444</v>
      </c>
      <c r="M7" s="268">
        <v>0</v>
      </c>
      <c r="N7" s="268" t="s">
        <v>357</v>
      </c>
      <c r="S7" s="268"/>
      <c r="T7" s="268"/>
      <c r="U7" s="268"/>
      <c r="V7" s="268"/>
      <c r="CI7" s="268"/>
      <c r="CJ7" s="268"/>
      <c r="CK7" s="268"/>
      <c r="CL7" s="268"/>
    </row>
    <row r="8" spans="2:163">
      <c r="B8" s="325" t="s">
        <v>358</v>
      </c>
      <c r="C8" s="594" t="s">
        <v>359</v>
      </c>
      <c r="D8" s="589">
        <v>211449.22</v>
      </c>
      <c r="E8" s="594"/>
      <c r="F8" s="909" t="b">
        <v>1</v>
      </c>
      <c r="G8" s="589">
        <f>IF(F8=TRUE,D8,"N/A")</f>
        <v>211449.22</v>
      </c>
      <c r="S8" s="268"/>
      <c r="T8" s="268"/>
      <c r="U8" s="268"/>
      <c r="V8" s="292"/>
      <c r="EZ8" t="s">
        <v>360</v>
      </c>
      <c r="FA8" s="873">
        <f>_xlfn.MINIFS(CQ10:EU10, CQ10:EU10, "&lt;&gt;0")</f>
        <v>121275.48</v>
      </c>
    </row>
    <row r="9" spans="2:163">
      <c r="C9" s="268" t="s">
        <v>115</v>
      </c>
      <c r="D9" s="268">
        <v>4.5999999999999996</v>
      </c>
      <c r="J9" s="268" t="s">
        <v>361</v>
      </c>
      <c r="K9" s="712">
        <f>MOD(K3,1)</f>
        <v>0.54000000000814907</v>
      </c>
      <c r="Q9" s="268" t="s">
        <v>356</v>
      </c>
      <c r="R9" s="712">
        <f>ROUNDDOWN(R3,0)</f>
        <v>121275</v>
      </c>
      <c r="S9" s="268"/>
      <c r="T9" s="268"/>
      <c r="U9" s="268" t="s">
        <v>356</v>
      </c>
      <c r="V9" s="712">
        <f>ROUNDDOWN(V3,0)</f>
        <v>121279</v>
      </c>
      <c r="CO9" s="268" t="s">
        <v>318</v>
      </c>
      <c r="CQ9" s="268" t="s">
        <v>319</v>
      </c>
      <c r="CS9" s="268" t="s">
        <v>320</v>
      </c>
      <c r="CU9" s="268" t="s">
        <v>321</v>
      </c>
      <c r="CW9" s="268" t="s">
        <v>322</v>
      </c>
      <c r="CY9" s="268" t="s">
        <v>323</v>
      </c>
      <c r="DA9" s="268" t="s">
        <v>324</v>
      </c>
      <c r="DC9" s="268" t="s">
        <v>325</v>
      </c>
      <c r="DE9" s="268" t="s">
        <v>326</v>
      </c>
      <c r="DG9" s="268" t="s">
        <v>327</v>
      </c>
      <c r="DI9" s="268" t="s">
        <v>328</v>
      </c>
      <c r="DK9" s="268" t="s">
        <v>329</v>
      </c>
      <c r="DM9" s="268" t="s">
        <v>330</v>
      </c>
      <c r="DO9" s="268" t="s">
        <v>331</v>
      </c>
      <c r="DQ9" s="268" t="s">
        <v>332</v>
      </c>
      <c r="DS9" s="268" t="s">
        <v>333</v>
      </c>
      <c r="DU9" s="268" t="s">
        <v>334</v>
      </c>
      <c r="DW9" s="268" t="s">
        <v>335</v>
      </c>
      <c r="DY9" s="268" t="s">
        <v>336</v>
      </c>
      <c r="EA9" s="268" t="s">
        <v>337</v>
      </c>
      <c r="EC9" s="268" t="s">
        <v>338</v>
      </c>
      <c r="EE9" s="268" t="s">
        <v>339</v>
      </c>
      <c r="EG9" s="268" t="s">
        <v>340</v>
      </c>
      <c r="EI9" s="268" t="s">
        <v>341</v>
      </c>
      <c r="EK9" s="268" t="s">
        <v>342</v>
      </c>
      <c r="EM9" s="268" t="s">
        <v>343</v>
      </c>
      <c r="EO9" s="268" t="s">
        <v>344</v>
      </c>
      <c r="EQ9" s="268" t="s">
        <v>345</v>
      </c>
      <c r="ES9" s="268" t="s">
        <v>346</v>
      </c>
      <c r="EU9" s="268" t="s">
        <v>347</v>
      </c>
      <c r="EV9" s="268"/>
      <c r="EW9" s="268"/>
      <c r="EX9" s="268"/>
      <c r="EZ9" s="268"/>
      <c r="FA9" s="268"/>
      <c r="FC9" s="268" t="s">
        <v>315</v>
      </c>
    </row>
    <row r="10" spans="2:163">
      <c r="C10" s="268" t="s">
        <v>115</v>
      </c>
      <c r="D10" s="268">
        <v>1.46</v>
      </c>
      <c r="S10" s="268"/>
      <c r="T10" s="268"/>
      <c r="U10" s="268"/>
      <c r="V10" s="292"/>
      <c r="CN10" t="s">
        <v>349</v>
      </c>
      <c r="CO10">
        <f>CO4</f>
        <v>121275.48</v>
      </c>
      <c r="CQ10">
        <f>CP4</f>
        <v>121275.48</v>
      </c>
      <c r="CS10">
        <f>CQ4</f>
        <v>121278.84</v>
      </c>
      <c r="CU10">
        <f>CR4</f>
        <v>121279.1</v>
      </c>
      <c r="CW10">
        <f>CS4</f>
        <v>0</v>
      </c>
      <c r="CY10">
        <f>CT4</f>
        <v>0</v>
      </c>
      <c r="DA10">
        <f>CU4</f>
        <v>0</v>
      </c>
      <c r="DC10">
        <f>CV4</f>
        <v>0</v>
      </c>
      <c r="DE10">
        <f>CW4</f>
        <v>0</v>
      </c>
      <c r="DG10">
        <f>CX4</f>
        <v>0</v>
      </c>
      <c r="DI10">
        <f>CY4</f>
        <v>0</v>
      </c>
      <c r="DK10">
        <f>CZ4</f>
        <v>0</v>
      </c>
      <c r="DM10">
        <f>DA4</f>
        <v>0</v>
      </c>
      <c r="DO10">
        <f>DB4</f>
        <v>0</v>
      </c>
      <c r="DQ10">
        <f>DC4</f>
        <v>0</v>
      </c>
      <c r="DS10">
        <f>DD4</f>
        <v>0</v>
      </c>
      <c r="DU10">
        <f>DE4</f>
        <v>0</v>
      </c>
      <c r="DW10">
        <f>DF4</f>
        <v>0</v>
      </c>
      <c r="DY10">
        <f>DG4</f>
        <v>0</v>
      </c>
      <c r="EA10">
        <f>DH4</f>
        <v>0</v>
      </c>
      <c r="EC10">
        <f>DI4</f>
        <v>0</v>
      </c>
      <c r="EE10">
        <f>DJ4</f>
        <v>0</v>
      </c>
      <c r="EG10">
        <f>DK4</f>
        <v>0</v>
      </c>
      <c r="EI10">
        <f>DL4</f>
        <v>0</v>
      </c>
      <c r="EK10">
        <f>DM4</f>
        <v>0</v>
      </c>
      <c r="EM10">
        <f>DN4</f>
        <v>0</v>
      </c>
      <c r="EO10">
        <f>DO4</f>
        <v>0</v>
      </c>
      <c r="EQ10">
        <f>DP4</f>
        <v>0</v>
      </c>
      <c r="ES10">
        <f>DQ4</f>
        <v>0</v>
      </c>
      <c r="EU10">
        <f>DR4</f>
        <v>0</v>
      </c>
      <c r="EZ10" s="268" t="s">
        <v>311</v>
      </c>
      <c r="FA10" s="902">
        <f>MIN(FA8,FA6)</f>
        <v>121275.48</v>
      </c>
      <c r="FB10" s="268" t="s">
        <v>317</v>
      </c>
      <c r="FC10" s="921">
        <f>FC46</f>
        <v>121277.29000000001</v>
      </c>
      <c r="FD10" s="268" t="s">
        <v>311</v>
      </c>
      <c r="FE10" s="902">
        <f>MAX(CO10:EU10)</f>
        <v>121279.1</v>
      </c>
    </row>
    <row r="11" spans="2:163">
      <c r="J11" s="268" t="s">
        <v>362</v>
      </c>
      <c r="K11" s="395">
        <f>K9*12</f>
        <v>6.4800000000977889</v>
      </c>
      <c r="M11" s="268" t="s">
        <v>363</v>
      </c>
      <c r="N11" s="268">
        <f>M5*12</f>
        <v>0</v>
      </c>
      <c r="S11" s="268"/>
      <c r="T11" s="268"/>
      <c r="U11" s="268" t="s">
        <v>364</v>
      </c>
      <c r="V11" s="712">
        <f>ABS(V9-R9)</f>
        <v>4</v>
      </c>
      <c r="CN11" t="s">
        <v>115</v>
      </c>
      <c r="CO11">
        <f>CO5</f>
        <v>4.3499999999999996</v>
      </c>
      <c r="CQ11">
        <f>CP5</f>
        <v>4.3499999999999996</v>
      </c>
      <c r="CS11">
        <f>CQ5</f>
        <v>208</v>
      </c>
      <c r="CU11">
        <f>CR5</f>
        <v>3.6</v>
      </c>
      <c r="CW11">
        <f>CS5</f>
        <v>0</v>
      </c>
      <c r="CY11">
        <f>CT5</f>
        <v>0</v>
      </c>
      <c r="DA11">
        <f>CU5</f>
        <v>0</v>
      </c>
      <c r="DC11">
        <f>CV5</f>
        <v>0</v>
      </c>
      <c r="DE11">
        <f>CW5</f>
        <v>0</v>
      </c>
      <c r="DG11">
        <f>CX5</f>
        <v>0</v>
      </c>
      <c r="DI11">
        <f>CY5</f>
        <v>0</v>
      </c>
      <c r="DK11">
        <f>CZ5</f>
        <v>0</v>
      </c>
      <c r="DM11">
        <f>DA5</f>
        <v>0</v>
      </c>
      <c r="DO11">
        <f>DB5</f>
        <v>0</v>
      </c>
      <c r="DQ11">
        <f>DC5</f>
        <v>0</v>
      </c>
      <c r="DS11">
        <f>DD5</f>
        <v>0</v>
      </c>
      <c r="DU11">
        <f>DE5</f>
        <v>0</v>
      </c>
      <c r="DW11">
        <f>DF5</f>
        <v>0</v>
      </c>
      <c r="DY11">
        <f>DG5</f>
        <v>0</v>
      </c>
      <c r="EA11">
        <f>DH5</f>
        <v>0</v>
      </c>
      <c r="EC11">
        <f>DI5</f>
        <v>0</v>
      </c>
      <c r="EE11">
        <f>DJ5</f>
        <v>0</v>
      </c>
      <c r="EG11">
        <f>DK5</f>
        <v>0</v>
      </c>
      <c r="EI11">
        <f>DL5</f>
        <v>0</v>
      </c>
      <c r="EK11">
        <f>DM5</f>
        <v>0</v>
      </c>
      <c r="EM11">
        <f>DN5</f>
        <v>0</v>
      </c>
      <c r="EO11">
        <f>DO5</f>
        <v>0</v>
      </c>
      <c r="EQ11">
        <f>DP5</f>
        <v>0</v>
      </c>
      <c r="ES11">
        <f>DQ5</f>
        <v>0</v>
      </c>
      <c r="EU11">
        <f>DR5</f>
        <v>0</v>
      </c>
      <c r="EZ11" s="268"/>
      <c r="FA11" s="268"/>
      <c r="FB11" s="268" t="s">
        <v>348</v>
      </c>
      <c r="FC11" s="921">
        <f>FC62</f>
        <v>121278.84</v>
      </c>
      <c r="FD11" s="268"/>
      <c r="FE11" s="292"/>
    </row>
    <row r="12" spans="2:163">
      <c r="C12" s="997" t="s">
        <v>365</v>
      </c>
      <c r="D12" s="997"/>
      <c r="S12" s="268"/>
      <c r="T12" s="268"/>
      <c r="U12" s="268"/>
      <c r="V12" s="292"/>
      <c r="EZ12" s="268" t="s">
        <v>115</v>
      </c>
      <c r="FA12" s="395">
        <v>0</v>
      </c>
      <c r="FC12" s="268"/>
      <c r="FD12" s="268" t="s">
        <v>115</v>
      </c>
      <c r="FE12" s="712">
        <v>0</v>
      </c>
      <c r="FG12" s="873">
        <f>CO13</f>
        <v>208</v>
      </c>
    </row>
    <row r="13" spans="2:163">
      <c r="C13" s="919" t="str">
        <f>C120</f>
        <v>WC 12 - Start of repair1</v>
      </c>
      <c r="D13" s="919">
        <f>B120</f>
        <v>121250.01</v>
      </c>
      <c r="J13" s="268" t="s">
        <v>366</v>
      </c>
      <c r="K13" s="395">
        <f>K11</f>
        <v>6.4800000000977889</v>
      </c>
      <c r="M13" s="268" t="s">
        <v>366</v>
      </c>
      <c r="N13" s="395">
        <f>(M6/2)+M7</f>
        <v>3</v>
      </c>
      <c r="S13" s="268"/>
      <c r="T13" s="268"/>
      <c r="U13" s="268" t="s">
        <v>367</v>
      </c>
      <c r="V13" s="712">
        <f>V11*12</f>
        <v>48</v>
      </c>
      <c r="CN13" t="s">
        <v>368</v>
      </c>
      <c r="CO13" s="395">
        <f>CN76+CP86</f>
        <v>208</v>
      </c>
      <c r="EZ13" s="268" t="s">
        <v>353</v>
      </c>
      <c r="FA13" s="395">
        <f>CN76</f>
        <v>63.679999999993015</v>
      </c>
      <c r="FB13" s="268"/>
      <c r="FC13" s="268"/>
      <c r="FD13" s="268" t="s">
        <v>353</v>
      </c>
      <c r="FE13" s="712">
        <f>CP86-FC29</f>
        <v>100.87999999988824</v>
      </c>
      <c r="FG13" s="873">
        <f>FG12/2</f>
        <v>104</v>
      </c>
    </row>
    <row r="14" spans="2:163">
      <c r="C14" s="918"/>
      <c r="D14" s="918"/>
      <c r="N14" s="268">
        <f>N13+N11</f>
        <v>3</v>
      </c>
      <c r="S14" s="268"/>
      <c r="T14" s="268"/>
      <c r="U14" s="268"/>
      <c r="V14" s="292"/>
      <c r="EZ14" s="268"/>
      <c r="FA14" s="268"/>
      <c r="FB14" s="268"/>
      <c r="FC14" s="268"/>
      <c r="FD14" s="268"/>
      <c r="FE14" s="268"/>
    </row>
    <row r="15" spans="2:163">
      <c r="C15" s="918" t="str">
        <f>C122</f>
        <v>WC 10 - Start of L_over1</v>
      </c>
      <c r="D15" s="918">
        <f>B122</f>
        <v>121250.48892941039</v>
      </c>
      <c r="S15" s="268"/>
      <c r="T15" s="268"/>
      <c r="U15" s="268"/>
      <c r="V15" s="292"/>
      <c r="CN15" t="s">
        <v>369</v>
      </c>
      <c r="CO15" s="974">
        <f>FC10</f>
        <v>121277.29000000001</v>
      </c>
      <c r="EZ15" s="268"/>
      <c r="FA15" s="268"/>
      <c r="FB15" s="268"/>
      <c r="FC15" s="268"/>
      <c r="FD15" s="268"/>
      <c r="FE15" s="292"/>
    </row>
    <row r="16" spans="2:163">
      <c r="C16" s="918"/>
      <c r="D16" s="918"/>
      <c r="J16" s="268" t="s">
        <v>370</v>
      </c>
      <c r="K16" s="268">
        <f>N13+N11</f>
        <v>3</v>
      </c>
      <c r="Q16" s="268" t="s">
        <v>361</v>
      </c>
      <c r="R16" s="712">
        <f>MOD(R3,1)</f>
        <v>0.47999999999592546</v>
      </c>
      <c r="S16" s="268"/>
      <c r="T16" s="268"/>
      <c r="U16" s="268" t="s">
        <v>361</v>
      </c>
      <c r="V16" s="712">
        <f>MOD(V3,1)</f>
        <v>0.10000000000582077</v>
      </c>
      <c r="EZ16" s="268" t="s">
        <v>356</v>
      </c>
      <c r="FA16" s="712">
        <f>ROUNDDOWN(FA10,0)</f>
        <v>121275</v>
      </c>
      <c r="FB16" s="268"/>
      <c r="FC16" s="268"/>
      <c r="FD16" s="268" t="s">
        <v>356</v>
      </c>
      <c r="FE16" s="712">
        <f>ROUNDDOWN(FE10,0)</f>
        <v>121279</v>
      </c>
    </row>
    <row r="17" spans="3:161">
      <c r="C17" s="918" t="str">
        <f>C124</f>
        <v>End of L_over1 - WC 8 - Start of Defect</v>
      </c>
      <c r="D17" s="918">
        <f>B124</f>
        <v>121250.81833333333</v>
      </c>
      <c r="S17" s="268"/>
      <c r="T17" s="268"/>
      <c r="U17" s="268"/>
      <c r="V17" s="292"/>
      <c r="CN17" t="s">
        <v>371</v>
      </c>
      <c r="CO17" s="974">
        <f>FC11</f>
        <v>121278.84</v>
      </c>
      <c r="EZ17" s="268"/>
      <c r="FA17" s="268"/>
      <c r="FB17" s="268"/>
      <c r="FC17" s="268"/>
      <c r="FD17" s="268"/>
      <c r="FE17" s="292"/>
    </row>
    <row r="18" spans="3:161">
      <c r="C18" s="918"/>
      <c r="D18" s="918"/>
      <c r="J18" s="594" t="s">
        <v>372</v>
      </c>
      <c r="K18" s="589">
        <f>K16/12</f>
        <v>0.25</v>
      </c>
      <c r="N18" s="292">
        <f>MOD(K30,1)</f>
        <v>0.29000000000814907</v>
      </c>
      <c r="Q18" s="268" t="s">
        <v>362</v>
      </c>
      <c r="R18" s="395">
        <f>R16*12</f>
        <v>5.7599999999511056</v>
      </c>
      <c r="S18" s="268"/>
      <c r="T18" s="268"/>
      <c r="U18" s="268" t="s">
        <v>362</v>
      </c>
      <c r="V18" s="712">
        <f>V16*12</f>
        <v>1.2000000000698492</v>
      </c>
      <c r="EZ18" s="268"/>
      <c r="FA18" s="268"/>
      <c r="FB18" s="268"/>
      <c r="FC18" s="268"/>
      <c r="FD18" s="268" t="s">
        <v>364</v>
      </c>
      <c r="FE18" s="712">
        <f>ABS(FE16-FA16)</f>
        <v>4</v>
      </c>
    </row>
    <row r="19" spans="3:161">
      <c r="C19" s="918" t="str">
        <f>C126</f>
        <v>WC 1</v>
      </c>
      <c r="D19" s="918">
        <f>B126</f>
        <v>121251.01</v>
      </c>
      <c r="S19" s="268"/>
      <c r="T19" s="268"/>
      <c r="U19" s="268"/>
      <c r="V19" s="292"/>
      <c r="CM19" s="1013" t="s">
        <v>373</v>
      </c>
      <c r="CN19" s="1013"/>
      <c r="CO19" s="1013"/>
      <c r="CP19" s="1013"/>
      <c r="CQ19" s="1013"/>
      <c r="CR19" s="1013"/>
      <c r="CS19" s="1013"/>
      <c r="CT19" s="1013"/>
      <c r="CU19" s="1013"/>
      <c r="CV19" s="1013"/>
      <c r="CW19" s="1013"/>
      <c r="CX19" s="1013"/>
      <c r="CY19" s="1013"/>
      <c r="CZ19" s="1013"/>
      <c r="DA19" s="1013"/>
      <c r="DB19" s="1013"/>
      <c r="DC19" s="1013"/>
      <c r="DD19" s="1013"/>
      <c r="DE19" s="1013"/>
      <c r="DF19" s="1013"/>
      <c r="DG19" s="1013"/>
      <c r="DH19" s="1013"/>
      <c r="DI19" s="1013"/>
      <c r="DJ19" s="1013"/>
      <c r="DK19" s="1013"/>
      <c r="DL19" s="1013"/>
      <c r="DM19" s="1013"/>
      <c r="DN19" s="1013"/>
      <c r="DO19" s="1013"/>
      <c r="DP19" s="1013"/>
      <c r="DQ19" s="1013"/>
      <c r="DR19" s="1013"/>
      <c r="DS19" s="1013"/>
      <c r="DT19" s="1013"/>
      <c r="DU19" s="1013"/>
      <c r="DV19" s="1013"/>
      <c r="DW19" s="1013"/>
      <c r="DX19" s="1013"/>
      <c r="DY19" s="1013"/>
      <c r="DZ19" s="1013"/>
      <c r="EA19" s="1013"/>
      <c r="EB19" s="1013"/>
      <c r="EC19" s="1013"/>
      <c r="ED19" s="1013"/>
      <c r="EE19" s="1013"/>
      <c r="EF19" s="1013"/>
      <c r="EG19" s="1013"/>
      <c r="EH19" s="1013"/>
      <c r="EI19" s="1013"/>
      <c r="EJ19" s="1013"/>
      <c r="EK19" s="1013"/>
      <c r="EL19" s="1013"/>
      <c r="EM19" s="1013"/>
      <c r="EN19" s="1013"/>
      <c r="EO19" s="1013"/>
      <c r="EP19" s="1013"/>
      <c r="EQ19" s="1013"/>
      <c r="ER19" s="1013"/>
      <c r="ES19" s="1013"/>
      <c r="ET19" s="1013"/>
      <c r="EU19" s="1013"/>
      <c r="EV19" s="1013"/>
      <c r="EZ19" s="268"/>
      <c r="FA19" s="268"/>
      <c r="FB19" s="268"/>
      <c r="FC19" s="268"/>
      <c r="FD19" s="268"/>
      <c r="FE19" s="292"/>
    </row>
    <row r="20" spans="3:161">
      <c r="C20" s="918"/>
      <c r="D20" s="918"/>
      <c r="J20" s="268" t="s">
        <v>356</v>
      </c>
      <c r="K20" s="712">
        <f>ROUNDDOWN(K18,0)</f>
        <v>0</v>
      </c>
      <c r="N20" s="268">
        <f>N18*12</f>
        <v>3.4800000000977889</v>
      </c>
      <c r="Q20" s="268" t="s">
        <v>366</v>
      </c>
      <c r="R20" s="395">
        <f>R18</f>
        <v>5.7599999999511056</v>
      </c>
      <c r="S20" s="268"/>
      <c r="T20" s="268"/>
      <c r="U20" s="268" t="s">
        <v>366</v>
      </c>
      <c r="V20" s="712">
        <f>V18+V13</f>
        <v>49.200000000069849</v>
      </c>
      <c r="EZ20" s="268"/>
      <c r="FA20" s="268"/>
      <c r="FB20" s="268"/>
      <c r="FC20" s="268"/>
      <c r="FD20" s="268" t="s">
        <v>367</v>
      </c>
      <c r="FE20" s="712">
        <f>FE18*12</f>
        <v>48</v>
      </c>
    </row>
    <row r="21" spans="3:161">
      <c r="C21" s="918" t="str">
        <f>C128</f>
        <v>End of repair1 - WC 13</v>
      </c>
      <c r="D21" s="918">
        <f>B128</f>
        <v>121252.01</v>
      </c>
      <c r="S21" s="268"/>
      <c r="T21" s="268"/>
      <c r="U21" s="268"/>
      <c r="V21" s="292"/>
      <c r="CN21" t="s">
        <v>353</v>
      </c>
      <c r="CO21" s="873">
        <f>CO11/2</f>
        <v>2.1749999999999998</v>
      </c>
      <c r="CQ21" s="873">
        <f>CQ11/2</f>
        <v>2.1749999999999998</v>
      </c>
      <c r="CS21" s="873">
        <f>CS11/2</f>
        <v>104</v>
      </c>
      <c r="CU21" s="873">
        <f>CU11/2</f>
        <v>1.8</v>
      </c>
      <c r="CW21" s="873">
        <f>CW11/2</f>
        <v>0</v>
      </c>
      <c r="CY21" s="873">
        <f>CY11/2</f>
        <v>0</v>
      </c>
      <c r="DA21" s="873">
        <f>DA11/2</f>
        <v>0</v>
      </c>
      <c r="DC21" s="873">
        <f>DC11/2</f>
        <v>0</v>
      </c>
      <c r="DE21" s="873">
        <f>DE11/2</f>
        <v>0</v>
      </c>
      <c r="DG21" s="873">
        <f>DG11/2</f>
        <v>0</v>
      </c>
      <c r="DI21" s="873">
        <f>DI11/2</f>
        <v>0</v>
      </c>
      <c r="DK21" s="873">
        <f>DK11/2</f>
        <v>0</v>
      </c>
      <c r="DM21" s="873">
        <f>DM11/2</f>
        <v>0</v>
      </c>
      <c r="DO21" s="873">
        <f>DO11/2</f>
        <v>0</v>
      </c>
      <c r="DQ21" s="873">
        <f>DQ11/2</f>
        <v>0</v>
      </c>
      <c r="DS21" s="873">
        <f>DS11/2</f>
        <v>0</v>
      </c>
      <c r="DU21" s="873">
        <f>DU11/2</f>
        <v>0</v>
      </c>
      <c r="DW21" s="873">
        <f>DW11/2</f>
        <v>0</v>
      </c>
      <c r="DY21" s="873">
        <f>DY11/2</f>
        <v>0</v>
      </c>
      <c r="EA21" s="873">
        <f>EA11/2</f>
        <v>0</v>
      </c>
      <c r="EC21" s="873">
        <f>EC11/2</f>
        <v>0</v>
      </c>
      <c r="EE21" s="873">
        <f>EE11/2</f>
        <v>0</v>
      </c>
      <c r="EG21" s="873">
        <f>EG11/2</f>
        <v>0</v>
      </c>
      <c r="EI21" s="873">
        <f>EI11/2</f>
        <v>0</v>
      </c>
      <c r="EK21" s="873">
        <f>EK11/2</f>
        <v>0</v>
      </c>
      <c r="EM21" s="873">
        <f>EM11/2</f>
        <v>0</v>
      </c>
      <c r="EO21" s="873">
        <f>EO11/2</f>
        <v>0</v>
      </c>
      <c r="EQ21" s="873">
        <f>EQ11/2</f>
        <v>0</v>
      </c>
      <c r="ES21" s="873">
        <f>ES11/2</f>
        <v>0</v>
      </c>
      <c r="EU21" s="873">
        <f>EU11/2</f>
        <v>0</v>
      </c>
      <c r="EZ21" s="268"/>
      <c r="FA21" s="268"/>
      <c r="FB21" s="268"/>
      <c r="FC21" s="268"/>
      <c r="FD21" s="268"/>
      <c r="FE21" s="292"/>
    </row>
    <row r="22" spans="3:161">
      <c r="C22" s="918"/>
      <c r="D22" s="918"/>
      <c r="J22" s="268" t="s">
        <v>361</v>
      </c>
      <c r="K22" s="712">
        <f>MOD(K18,1)</f>
        <v>0.25</v>
      </c>
      <c r="N22" s="268">
        <f>K13-N20</f>
        <v>3</v>
      </c>
      <c r="S22" s="268" t="s">
        <v>374</v>
      </c>
      <c r="T22" s="712">
        <f>V20-R20</f>
        <v>43.440000000118744</v>
      </c>
      <c r="U22" s="268"/>
      <c r="V22" s="292"/>
      <c r="EZ22" s="268"/>
      <c r="FA22" s="268"/>
      <c r="FB22" s="268"/>
      <c r="FC22" s="268"/>
      <c r="FD22" s="268"/>
      <c r="FE22" s="292"/>
    </row>
    <row r="23" spans="3:161">
      <c r="C23" s="918" t="str">
        <f>C130</f>
        <v>WC 4 - Start Wrap</v>
      </c>
      <c r="D23" s="918">
        <f>B130</f>
        <v>121259.19958333333</v>
      </c>
      <c r="S23" s="268"/>
      <c r="T23" s="268">
        <f>T22/12</f>
        <v>3.6200000000098953</v>
      </c>
      <c r="U23" s="268"/>
      <c r="V23" s="292"/>
      <c r="EZ23" s="268" t="s">
        <v>361</v>
      </c>
      <c r="FA23" s="712">
        <f>MOD(FA10,1)</f>
        <v>0.47999999999592546</v>
      </c>
      <c r="FB23" s="268"/>
      <c r="FC23" s="268"/>
      <c r="FD23" s="268" t="s">
        <v>361</v>
      </c>
      <c r="FE23" s="712">
        <f>MOD(FE10,1)</f>
        <v>0.10000000000582077</v>
      </c>
    </row>
    <row r="24" spans="3:161">
      <c r="C24" s="918"/>
      <c r="D24" s="918"/>
      <c r="J24" s="268" t="s">
        <v>362</v>
      </c>
      <c r="K24" s="395">
        <f>K22*12</f>
        <v>3</v>
      </c>
      <c r="M24" s="268" t="s">
        <v>356</v>
      </c>
      <c r="N24" s="292">
        <f>ROUNDDOWN(K30,0)</f>
        <v>211444</v>
      </c>
      <c r="S24" s="268"/>
      <c r="T24" s="268"/>
      <c r="U24" s="268"/>
      <c r="V24" s="292"/>
      <c r="EZ24" s="268"/>
      <c r="FA24" s="268"/>
      <c r="FB24" s="268"/>
      <c r="FC24" s="268"/>
      <c r="FD24" s="268"/>
      <c r="FE24" s="292"/>
    </row>
    <row r="25" spans="3:161">
      <c r="C25" s="918" t="str">
        <f t="shared" ref="C25:C41" si="0">C132</f>
        <v>WC 3 - Middle of Wrap</v>
      </c>
      <c r="D25" s="918">
        <f>B132</f>
        <v>121262.19958333333</v>
      </c>
      <c r="Q25" s="268" t="s">
        <v>375</v>
      </c>
      <c r="R25" s="395">
        <f>(R5/2)+R6</f>
        <v>5</v>
      </c>
      <c r="S25" s="268"/>
      <c r="T25" s="268"/>
      <c r="U25" s="268" t="s">
        <v>376</v>
      </c>
      <c r="V25" s="395">
        <f>(V5/2)+V6</f>
        <v>1.8</v>
      </c>
      <c r="CN25" s="268" t="s">
        <v>311</v>
      </c>
      <c r="CP25" s="589">
        <f>CO10</f>
        <v>121275.48</v>
      </c>
      <c r="CR25" s="589">
        <f>CQ10</f>
        <v>121275.48</v>
      </c>
      <c r="CT25" s="589">
        <f>CS10</f>
        <v>121278.84</v>
      </c>
      <c r="CV25" s="589">
        <f>CU10</f>
        <v>121279.1</v>
      </c>
      <c r="CX25" s="589">
        <f>CW10</f>
        <v>0</v>
      </c>
      <c r="CZ25" s="589">
        <f>CY10</f>
        <v>0</v>
      </c>
      <c r="DB25" s="589">
        <f>DA10</f>
        <v>0</v>
      </c>
      <c r="DD25" s="589">
        <f>DC10</f>
        <v>0</v>
      </c>
      <c r="DF25" s="589">
        <f>DE10</f>
        <v>0</v>
      </c>
      <c r="DH25" s="589">
        <f>DG10</f>
        <v>0</v>
      </c>
      <c r="DJ25" s="589">
        <f>DI10</f>
        <v>0</v>
      </c>
      <c r="DL25" s="589">
        <f>DK10</f>
        <v>0</v>
      </c>
      <c r="DN25" s="589">
        <f>DM10</f>
        <v>0</v>
      </c>
      <c r="DP25" s="589">
        <f>DO10</f>
        <v>0</v>
      </c>
      <c r="DR25" s="589">
        <f>DQ10</f>
        <v>0</v>
      </c>
      <c r="DT25" s="589">
        <f>DS10</f>
        <v>0</v>
      </c>
      <c r="DV25" s="589">
        <f>DU10</f>
        <v>0</v>
      </c>
      <c r="DX25" s="589">
        <f>DW10</f>
        <v>0</v>
      </c>
      <c r="DZ25" s="589">
        <f>DY10</f>
        <v>0</v>
      </c>
      <c r="EB25" s="589">
        <f>EA10</f>
        <v>0</v>
      </c>
      <c r="ED25" s="589">
        <f>EC10</f>
        <v>0</v>
      </c>
      <c r="EF25" s="589">
        <f>EE10</f>
        <v>0</v>
      </c>
      <c r="EH25" s="589">
        <f>EG10</f>
        <v>0</v>
      </c>
      <c r="EJ25" s="589">
        <f>EI10</f>
        <v>0</v>
      </c>
      <c r="EL25" s="589">
        <f>EK10</f>
        <v>0</v>
      </c>
      <c r="EN25" s="589">
        <f>EM10</f>
        <v>0</v>
      </c>
      <c r="EP25" s="589">
        <f>EO10</f>
        <v>0</v>
      </c>
      <c r="ER25" s="589">
        <f>EQ10</f>
        <v>0</v>
      </c>
      <c r="ET25" s="589">
        <f>ES10</f>
        <v>0</v>
      </c>
      <c r="EZ25" s="268" t="s">
        <v>362</v>
      </c>
      <c r="FA25" s="395">
        <f>FA23*12</f>
        <v>5.7599999999511056</v>
      </c>
      <c r="FB25" s="268"/>
      <c r="FC25" s="268"/>
      <c r="FD25" s="268" t="s">
        <v>362</v>
      </c>
      <c r="FE25" s="712">
        <f>FE23*12</f>
        <v>1.2000000000698492</v>
      </c>
    </row>
    <row r="26" spans="3:161">
      <c r="C26" s="918"/>
      <c r="D26" s="918"/>
      <c r="K26" s="594">
        <f>K24/12</f>
        <v>0.25</v>
      </c>
      <c r="N26" s="292">
        <f>K7-N24</f>
        <v>0</v>
      </c>
      <c r="S26" s="268"/>
      <c r="T26" s="268"/>
      <c r="U26" s="268"/>
      <c r="V26" s="292"/>
      <c r="CN26" s="268"/>
      <c r="CP26" s="268"/>
      <c r="CR26" s="268"/>
      <c r="CT26" s="268"/>
      <c r="CV26" s="268"/>
      <c r="CX26" s="268"/>
      <c r="CZ26" s="268"/>
      <c r="DB26" s="268"/>
      <c r="DD26" s="268"/>
      <c r="DF26" s="268"/>
      <c r="DH26" s="268"/>
      <c r="DJ26" s="268"/>
      <c r="DL26" s="268"/>
      <c r="DN26" s="268"/>
      <c r="DP26" s="268"/>
      <c r="DR26" s="268"/>
      <c r="DT26" s="268"/>
      <c r="DV26" s="268"/>
      <c r="DX26" s="268"/>
      <c r="DZ26" s="268"/>
      <c r="EB26" s="268"/>
      <c r="ED26" s="268"/>
      <c r="EF26" s="268"/>
      <c r="EH26" s="268"/>
      <c r="EJ26" s="268"/>
      <c r="EL26" s="268"/>
      <c r="EN26" s="268"/>
      <c r="EP26" s="268"/>
      <c r="ER26" s="268"/>
      <c r="ET26" s="268"/>
      <c r="EZ26" s="268"/>
      <c r="FA26" s="268"/>
      <c r="FB26" s="268"/>
      <c r="FC26" s="268"/>
      <c r="FD26" s="268"/>
      <c r="FE26" s="292"/>
    </row>
    <row r="27" spans="3:161">
      <c r="C27" s="918" t="str">
        <f t="shared" si="0"/>
        <v>WC 5 - End Wrap</v>
      </c>
      <c r="D27" s="918">
        <f>B134</f>
        <v>121265.19958333333</v>
      </c>
      <c r="H27"/>
      <c r="S27" s="961" t="s">
        <v>377</v>
      </c>
      <c r="T27" s="921">
        <f>R25+T22+V25</f>
        <v>50.240000000118741</v>
      </c>
      <c r="U27" s="268"/>
      <c r="V27" s="292"/>
      <c r="CN27" s="268" t="s">
        <v>115</v>
      </c>
      <c r="CP27" s="395">
        <v>0</v>
      </c>
      <c r="CQ27" s="268"/>
      <c r="CR27" s="395">
        <v>0</v>
      </c>
      <c r="CT27" s="395">
        <v>0</v>
      </c>
      <c r="CV27" s="395">
        <v>0</v>
      </c>
      <c r="CX27" s="395">
        <v>0</v>
      </c>
      <c r="CZ27" s="395">
        <v>0</v>
      </c>
      <c r="DB27" s="395">
        <v>0</v>
      </c>
      <c r="DD27" s="395">
        <v>0</v>
      </c>
      <c r="DF27" s="395">
        <v>0</v>
      </c>
      <c r="DH27" s="395">
        <v>0</v>
      </c>
      <c r="DJ27" s="395">
        <v>0</v>
      </c>
      <c r="DL27" s="395">
        <v>0</v>
      </c>
      <c r="DN27" s="395">
        <v>0</v>
      </c>
      <c r="DP27" s="395">
        <v>0</v>
      </c>
      <c r="DR27" s="395">
        <v>0</v>
      </c>
      <c r="DT27" s="395">
        <v>0</v>
      </c>
      <c r="DV27" s="395">
        <v>0</v>
      </c>
      <c r="DX27" s="395">
        <v>0</v>
      </c>
      <c r="DZ27" s="395">
        <v>0</v>
      </c>
      <c r="EB27" s="395">
        <v>0</v>
      </c>
      <c r="ED27" s="395">
        <v>0</v>
      </c>
      <c r="EF27" s="395">
        <v>0</v>
      </c>
      <c r="EH27" s="395">
        <v>0</v>
      </c>
      <c r="EJ27" s="395">
        <v>0</v>
      </c>
      <c r="EL27" s="395">
        <v>0</v>
      </c>
      <c r="EN27" s="395">
        <v>0</v>
      </c>
      <c r="EP27" s="395">
        <v>0</v>
      </c>
      <c r="ER27" s="395">
        <v>0</v>
      </c>
      <c r="ET27" s="395">
        <v>0</v>
      </c>
      <c r="EZ27" s="268" t="s">
        <v>366</v>
      </c>
      <c r="FA27" s="395">
        <f>FA25</f>
        <v>5.7599999999511056</v>
      </c>
      <c r="FB27" s="268"/>
      <c r="FC27" s="268"/>
      <c r="FD27" s="268" t="s">
        <v>366</v>
      </c>
      <c r="FE27" s="712">
        <f>FE25+FE20</f>
        <v>49.200000000069849</v>
      </c>
    </row>
    <row r="28" spans="3:161">
      <c r="C28" s="918"/>
      <c r="D28" s="918"/>
      <c r="H28"/>
      <c r="K28" s="589">
        <f>K20+K26</f>
        <v>0.25</v>
      </c>
      <c r="N28" s="268">
        <f>N26*12</f>
        <v>0</v>
      </c>
      <c r="T28" s="268">
        <f>T27/12</f>
        <v>4.1866666666765617</v>
      </c>
      <c r="CN28" s="268" t="s">
        <v>353</v>
      </c>
      <c r="CP28" s="395">
        <f>CO21</f>
        <v>2.1749999999999998</v>
      </c>
      <c r="CQ28" s="268"/>
      <c r="CR28" s="395">
        <f>CQ21</f>
        <v>2.1749999999999998</v>
      </c>
      <c r="CT28" s="395">
        <f>CS21</f>
        <v>104</v>
      </c>
      <c r="CV28" s="395">
        <f>CU21</f>
        <v>1.8</v>
      </c>
      <c r="CX28" s="395">
        <f>CW21</f>
        <v>0</v>
      </c>
      <c r="CZ28" s="395">
        <f>CY21</f>
        <v>0</v>
      </c>
      <c r="DB28" s="395">
        <f>DA21</f>
        <v>0</v>
      </c>
      <c r="DD28" s="395">
        <f>DC21</f>
        <v>0</v>
      </c>
      <c r="DF28" s="395">
        <f>DE21</f>
        <v>0</v>
      </c>
      <c r="DH28" s="395">
        <f>DG21</f>
        <v>0</v>
      </c>
      <c r="DJ28" s="395">
        <f>DI21</f>
        <v>0</v>
      </c>
      <c r="DL28" s="395">
        <f>DK21</f>
        <v>0</v>
      </c>
      <c r="DN28" s="395">
        <f>DM21</f>
        <v>0</v>
      </c>
      <c r="DP28" s="395">
        <f>DO21</f>
        <v>0</v>
      </c>
      <c r="DR28" s="395">
        <f>DQ21</f>
        <v>0</v>
      </c>
      <c r="DT28" s="395">
        <f>DS21</f>
        <v>0</v>
      </c>
      <c r="DV28" s="395">
        <f>DU21</f>
        <v>0</v>
      </c>
      <c r="DX28" s="395">
        <f>DW21</f>
        <v>0</v>
      </c>
      <c r="DZ28" s="395">
        <f>DY21</f>
        <v>0</v>
      </c>
      <c r="EB28" s="395">
        <f>EA21</f>
        <v>0</v>
      </c>
      <c r="ED28" s="395">
        <f>EC21</f>
        <v>0</v>
      </c>
      <c r="EF28" s="395">
        <f>EE21</f>
        <v>0</v>
      </c>
      <c r="EH28" s="395">
        <f>EG21</f>
        <v>0</v>
      </c>
      <c r="EJ28" s="395">
        <f>EI21</f>
        <v>0</v>
      </c>
      <c r="EL28" s="395">
        <f>EK21</f>
        <v>0</v>
      </c>
      <c r="EN28" s="395">
        <f>EM21</f>
        <v>0</v>
      </c>
      <c r="EP28" s="395">
        <f>EO21</f>
        <v>0</v>
      </c>
      <c r="ER28" s="395">
        <f>EQ21</f>
        <v>0</v>
      </c>
      <c r="ET28" s="395">
        <f>ES21</f>
        <v>0</v>
      </c>
      <c r="EZ28" s="268"/>
      <c r="FA28" s="268"/>
      <c r="FB28" s="268"/>
      <c r="FC28" s="268"/>
      <c r="FD28" s="268"/>
      <c r="FE28" s="292"/>
    </row>
    <row r="29" spans="3:161">
      <c r="C29" s="918" t="str">
        <f t="shared" si="0"/>
        <v>WC 14 - Start of repair2</v>
      </c>
      <c r="D29" s="918">
        <f>B136</f>
        <v>121272.52</v>
      </c>
      <c r="H29"/>
      <c r="CN29" s="268"/>
      <c r="CP29" s="268"/>
      <c r="CQ29" s="268"/>
      <c r="CR29" s="268"/>
      <c r="CT29" s="268"/>
      <c r="CV29" s="268"/>
      <c r="CX29" s="268"/>
      <c r="CZ29" s="268"/>
      <c r="DB29" s="268"/>
      <c r="DD29" s="268"/>
      <c r="DF29" s="268"/>
      <c r="DH29" s="268"/>
      <c r="DJ29" s="268"/>
      <c r="DL29" s="268"/>
      <c r="DN29" s="268"/>
      <c r="DP29" s="268"/>
      <c r="DR29" s="268"/>
      <c r="DT29" s="268"/>
      <c r="DV29" s="268"/>
      <c r="DX29" s="268"/>
      <c r="DZ29" s="268"/>
      <c r="EB29" s="268"/>
      <c r="ED29" s="268"/>
      <c r="EF29" s="268"/>
      <c r="EH29" s="268"/>
      <c r="EJ29" s="268"/>
      <c r="EL29" s="268"/>
      <c r="EN29" s="268"/>
      <c r="EP29" s="268"/>
      <c r="ER29" s="268"/>
      <c r="ET29" s="268"/>
      <c r="EZ29" s="268"/>
      <c r="FA29" s="268"/>
      <c r="FB29" s="268" t="s">
        <v>374</v>
      </c>
      <c r="FC29" s="712">
        <f>FE27-FA27</f>
        <v>43.440000000118744</v>
      </c>
      <c r="FD29" s="268"/>
      <c r="FE29" s="292"/>
    </row>
    <row r="30" spans="3:161">
      <c r="C30" s="918"/>
      <c r="D30" s="918"/>
      <c r="H30"/>
      <c r="J30" s="594" t="s">
        <v>311</v>
      </c>
      <c r="K30" s="924">
        <f>K3-K28</f>
        <v>211444.29</v>
      </c>
      <c r="N30" s="268">
        <f>N28+N22</f>
        <v>3</v>
      </c>
      <c r="T30" s="973">
        <f>T22/2</f>
        <v>21.720000000059372</v>
      </c>
      <c r="CN30" s="268"/>
      <c r="CP30" s="268"/>
      <c r="CQ30" s="268"/>
      <c r="CR30" s="268"/>
      <c r="CT30" s="268"/>
      <c r="CV30" s="268"/>
      <c r="CX30" s="268"/>
      <c r="CZ30" s="268"/>
      <c r="DB30" s="268"/>
      <c r="DD30" s="268"/>
      <c r="DF30" s="268"/>
      <c r="DH30" s="268"/>
      <c r="DJ30" s="268"/>
      <c r="DL30" s="268"/>
      <c r="DN30" s="268"/>
      <c r="DP30" s="268"/>
      <c r="DR30" s="268"/>
      <c r="DT30" s="268"/>
      <c r="DV30" s="268"/>
      <c r="DX30" s="268"/>
      <c r="DZ30" s="268"/>
      <c r="EB30" s="268"/>
      <c r="ED30" s="268"/>
      <c r="EF30" s="268"/>
      <c r="EH30" s="268"/>
      <c r="EJ30" s="268"/>
      <c r="EL30" s="268"/>
      <c r="EN30" s="268"/>
      <c r="EP30" s="268"/>
      <c r="ER30" s="268"/>
      <c r="ET30" s="268"/>
      <c r="EZ30" s="268"/>
      <c r="FA30" s="268"/>
      <c r="FB30" s="268" t="s">
        <v>378</v>
      </c>
      <c r="FC30" s="395">
        <f>FC29/12</f>
        <v>3.6200000000098953</v>
      </c>
      <c r="FD30" s="268"/>
      <c r="FE30" s="292"/>
    </row>
    <row r="31" spans="3:161">
      <c r="C31" s="918" t="str">
        <f t="shared" si="0"/>
        <v>WC 2</v>
      </c>
      <c r="D31" s="918">
        <f>B138</f>
        <v>121273.52</v>
      </c>
      <c r="H31"/>
      <c r="K31" s="925"/>
      <c r="CN31" s="268" t="s">
        <v>356</v>
      </c>
      <c r="CP31" s="712">
        <f>ROUNDDOWN(CP25,0)</f>
        <v>121275</v>
      </c>
      <c r="CQ31" s="268"/>
      <c r="CR31" s="712">
        <f>ROUNDDOWN(CR25,0)</f>
        <v>121275</v>
      </c>
      <c r="CT31" s="712">
        <f>ROUNDDOWN(CT25,0)</f>
        <v>121278</v>
      </c>
      <c r="CV31" s="712">
        <f>ROUNDDOWN(CV25,0)</f>
        <v>121279</v>
      </c>
      <c r="CX31" s="712">
        <f>ROUNDDOWN(CX25,0)</f>
        <v>0</v>
      </c>
      <c r="CZ31" s="712">
        <f>ROUNDDOWN(CZ25,0)</f>
        <v>0</v>
      </c>
      <c r="DB31" s="712">
        <f>ROUNDDOWN(DB25,0)</f>
        <v>0</v>
      </c>
      <c r="DD31" s="712">
        <f>ROUNDDOWN(DD25,0)</f>
        <v>0</v>
      </c>
      <c r="DF31" s="712">
        <f>ROUNDDOWN(DF25,0)</f>
        <v>0</v>
      </c>
      <c r="DH31" s="712">
        <f>ROUNDDOWN(DH25,0)</f>
        <v>0</v>
      </c>
      <c r="DJ31" s="712">
        <f>ROUNDDOWN(DJ25,0)</f>
        <v>0</v>
      </c>
      <c r="DL31" s="712">
        <f>ROUNDDOWN(DL25,0)</f>
        <v>0</v>
      </c>
      <c r="DN31" s="712">
        <f>ROUNDDOWN(DN25,0)</f>
        <v>0</v>
      </c>
      <c r="DP31" s="712">
        <f>ROUNDDOWN(DP25,0)</f>
        <v>0</v>
      </c>
      <c r="DR31" s="712">
        <f>ROUNDDOWN(DR25,0)</f>
        <v>0</v>
      </c>
      <c r="DT31" s="712">
        <f>ROUNDDOWN(DT25,0)</f>
        <v>0</v>
      </c>
      <c r="DV31" s="712">
        <f>ROUNDDOWN(DV25,0)</f>
        <v>0</v>
      </c>
      <c r="DX31" s="712">
        <f>ROUNDDOWN(DX25,0)</f>
        <v>0</v>
      </c>
      <c r="DZ31" s="712">
        <f>ROUNDDOWN(DZ25,0)</f>
        <v>0</v>
      </c>
      <c r="EB31" s="712">
        <f>ROUNDDOWN(EB25,0)</f>
        <v>0</v>
      </c>
      <c r="ED31" s="712">
        <f>ROUNDDOWN(ED25,0)</f>
        <v>0</v>
      </c>
      <c r="EF31" s="712">
        <f>ROUNDDOWN(EF25,0)</f>
        <v>0</v>
      </c>
      <c r="EH31" s="712">
        <f>ROUNDDOWN(EH25,0)</f>
        <v>0</v>
      </c>
      <c r="EJ31" s="712">
        <f>ROUNDDOWN(EJ25,0)</f>
        <v>0</v>
      </c>
      <c r="EL31" s="712">
        <f>ROUNDDOWN(EL25,0)</f>
        <v>0</v>
      </c>
      <c r="EN31" s="712">
        <f>ROUNDDOWN(EN25,0)</f>
        <v>0</v>
      </c>
      <c r="EP31" s="712">
        <f>ROUNDDOWN(EP25,0)</f>
        <v>0</v>
      </c>
      <c r="ER31" s="712">
        <f>ROUNDDOWN(ER25,0)</f>
        <v>0</v>
      </c>
      <c r="ET31" s="712">
        <f>ROUNDDOWN(ET25,0)</f>
        <v>0</v>
      </c>
      <c r="EZ31" s="268"/>
      <c r="FA31" s="268"/>
      <c r="FB31" s="268"/>
      <c r="FC31" s="268"/>
      <c r="FD31" s="268"/>
      <c r="FE31" s="292"/>
    </row>
    <row r="32" spans="3:161">
      <c r="C32" s="918"/>
      <c r="D32" s="918"/>
      <c r="H32"/>
      <c r="J32" s="594" t="s">
        <v>311</v>
      </c>
      <c r="K32" s="924">
        <f>K3+K28</f>
        <v>211444.79</v>
      </c>
      <c r="S32" t="s">
        <v>75</v>
      </c>
      <c r="T32" s="972">
        <f>ROUNDDOWN(T30/12,0)</f>
        <v>1</v>
      </c>
      <c r="CN32" s="268"/>
      <c r="CP32" s="268"/>
      <c r="CQ32" s="268"/>
      <c r="CR32" s="268"/>
      <c r="CT32" s="268"/>
      <c r="CV32" s="268"/>
      <c r="CX32" s="268"/>
      <c r="CZ32" s="268"/>
      <c r="DB32" s="268"/>
      <c r="DD32" s="268"/>
      <c r="DF32" s="268"/>
      <c r="DH32" s="268"/>
      <c r="DJ32" s="268"/>
      <c r="DL32" s="268"/>
      <c r="DN32" s="268"/>
      <c r="DP32" s="268"/>
      <c r="DR32" s="268"/>
      <c r="DT32" s="268"/>
      <c r="DV32" s="268"/>
      <c r="DX32" s="268"/>
      <c r="DZ32" s="268"/>
      <c r="EB32" s="268"/>
      <c r="ED32" s="268"/>
      <c r="EF32" s="268"/>
      <c r="EH32" s="268"/>
      <c r="EJ32" s="268"/>
      <c r="EL32" s="268"/>
      <c r="EN32" s="268"/>
      <c r="EP32" s="268"/>
      <c r="ER32" s="268"/>
      <c r="ET32" s="268"/>
      <c r="FC32" s="973">
        <f>FC29/2</f>
        <v>21.720000000059372</v>
      </c>
    </row>
    <row r="33" spans="3:161">
      <c r="C33" s="918" t="str">
        <f t="shared" si="0"/>
        <v>End of Defect - WC 9 - Start L_over2</v>
      </c>
      <c r="D33" s="918">
        <f>B140</f>
        <v>121273.58083333334</v>
      </c>
      <c r="H33"/>
      <c r="N33" s="268">
        <f>N30/12</f>
        <v>0.25</v>
      </c>
      <c r="CN33" s="268"/>
      <c r="CP33" s="268"/>
      <c r="CQ33" s="268"/>
      <c r="CR33" s="268"/>
      <c r="CT33" s="268"/>
      <c r="CV33" s="268"/>
      <c r="CX33" s="268"/>
      <c r="CZ33" s="268"/>
      <c r="DB33" s="268"/>
      <c r="DD33" s="268"/>
      <c r="DF33" s="268"/>
      <c r="DH33" s="268"/>
      <c r="DJ33" s="268"/>
      <c r="DL33" s="268"/>
      <c r="DN33" s="268"/>
      <c r="DP33" s="268"/>
      <c r="DR33" s="268"/>
      <c r="DT33" s="268"/>
      <c r="DV33" s="268"/>
      <c r="DX33" s="268"/>
      <c r="DZ33" s="268"/>
      <c r="EB33" s="268"/>
      <c r="ED33" s="268"/>
      <c r="EF33" s="268"/>
      <c r="EH33" s="268"/>
      <c r="EJ33" s="268"/>
      <c r="EL33" s="268"/>
      <c r="EN33" s="268"/>
      <c r="EP33" s="268"/>
      <c r="ER33" s="268"/>
      <c r="ET33" s="268"/>
      <c r="EZ33" s="268"/>
      <c r="FA33" s="268"/>
      <c r="FD33" s="268"/>
      <c r="FE33" s="292"/>
    </row>
    <row r="34" spans="3:161">
      <c r="C34" s="918"/>
      <c r="D34" s="918"/>
      <c r="H34"/>
      <c r="P34"/>
      <c r="T34">
        <f>12*T32</f>
        <v>12</v>
      </c>
      <c r="CN34" s="268"/>
      <c r="CP34" s="268"/>
      <c r="CQ34" s="268"/>
      <c r="CR34" s="268"/>
      <c r="CT34" s="268"/>
      <c r="CV34" s="268"/>
      <c r="CX34" s="268"/>
      <c r="CZ34" s="268"/>
      <c r="DB34" s="268"/>
      <c r="DD34" s="268"/>
      <c r="DF34" s="268"/>
      <c r="DH34" s="268"/>
      <c r="DJ34" s="268"/>
      <c r="DL34" s="268"/>
      <c r="DN34" s="268"/>
      <c r="DP34" s="268"/>
      <c r="DR34" s="268"/>
      <c r="DT34" s="268"/>
      <c r="DV34" s="268"/>
      <c r="DX34" s="268"/>
      <c r="DZ34" s="268"/>
      <c r="EB34" s="268"/>
      <c r="ED34" s="268"/>
      <c r="EF34" s="268"/>
      <c r="EH34" s="268"/>
      <c r="EJ34" s="268"/>
      <c r="EL34" s="268"/>
      <c r="EN34" s="268"/>
      <c r="EP34" s="268"/>
      <c r="ER34" s="268"/>
      <c r="ET34" s="268"/>
      <c r="EZ34" s="268"/>
      <c r="FA34" s="268"/>
      <c r="FB34" t="s">
        <v>75</v>
      </c>
      <c r="FC34" s="451">
        <f>ROUNDDOWN(FC32/12,0)</f>
        <v>1</v>
      </c>
      <c r="FD34" s="268"/>
      <c r="FE34" s="292"/>
    </row>
    <row r="35" spans="3:161">
      <c r="C35" s="918" t="str">
        <f t="shared" si="0"/>
        <v>End of L_over2 - WC 11</v>
      </c>
      <c r="D35" s="918">
        <f>B142</f>
        <v>121273.91023725628</v>
      </c>
      <c r="G35"/>
      <c r="H35"/>
      <c r="M35" s="268" t="s">
        <v>356</v>
      </c>
      <c r="N35" s="712">
        <f>ROUNDDOWN(N33,0)</f>
        <v>0</v>
      </c>
      <c r="O35" s="268" t="s">
        <v>75</v>
      </c>
      <c r="P35"/>
      <c r="CN35" s="268"/>
      <c r="CP35" s="268"/>
      <c r="CQ35" s="268"/>
      <c r="CR35" s="268"/>
      <c r="CT35" s="268"/>
      <c r="CV35" s="268"/>
      <c r="CX35" s="268"/>
      <c r="CZ35" s="268"/>
      <c r="DB35" s="268"/>
      <c r="DD35" s="268"/>
      <c r="DF35" s="268"/>
      <c r="DH35" s="268"/>
      <c r="DJ35" s="268"/>
      <c r="DL35" s="268"/>
      <c r="DN35" s="268"/>
      <c r="DP35" s="268"/>
      <c r="DR35" s="268"/>
      <c r="DT35" s="268"/>
      <c r="DV35" s="268"/>
      <c r="DX35" s="268"/>
      <c r="DZ35" s="268"/>
      <c r="EB35" s="268"/>
      <c r="ED35" s="268"/>
      <c r="EF35" s="268"/>
      <c r="EH35" s="268"/>
      <c r="EJ35" s="268"/>
      <c r="EL35" s="268"/>
      <c r="EN35" s="268"/>
      <c r="EP35" s="268"/>
      <c r="ER35" s="268"/>
      <c r="ET35" s="268"/>
      <c r="EZ35" s="268"/>
      <c r="FA35" s="268"/>
    </row>
    <row r="36" spans="3:161">
      <c r="C36" s="918"/>
      <c r="D36" s="918"/>
      <c r="G36"/>
      <c r="H36"/>
      <c r="O36"/>
      <c r="P36"/>
      <c r="S36" t="s">
        <v>362</v>
      </c>
      <c r="T36" s="972">
        <f>T30-T34</f>
        <v>9.7200000000593718</v>
      </c>
      <c r="CN36" s="268"/>
      <c r="CP36" s="268"/>
      <c r="CQ36" s="268"/>
      <c r="CR36" s="268"/>
      <c r="CT36" s="268"/>
      <c r="CV36" s="268"/>
      <c r="CX36" s="268"/>
      <c r="CZ36" s="268"/>
      <c r="DB36" s="268"/>
      <c r="DD36" s="268"/>
      <c r="DF36" s="268"/>
      <c r="DH36" s="268"/>
      <c r="DJ36" s="268"/>
      <c r="DL36" s="268"/>
      <c r="DN36" s="268"/>
      <c r="DP36" s="268"/>
      <c r="DR36" s="268"/>
      <c r="DT36" s="268"/>
      <c r="DV36" s="268"/>
      <c r="DX36" s="268"/>
      <c r="DZ36" s="268"/>
      <c r="EB36" s="268"/>
      <c r="ED36" s="268"/>
      <c r="EF36" s="268"/>
      <c r="EH36" s="268"/>
      <c r="EJ36" s="268"/>
      <c r="EL36" s="268"/>
      <c r="EN36" s="268"/>
      <c r="EP36" s="268"/>
      <c r="ER36" s="268"/>
      <c r="ET36" s="268"/>
      <c r="EZ36" s="268"/>
      <c r="FA36" s="268"/>
      <c r="FB36" t="s">
        <v>363</v>
      </c>
      <c r="FC36">
        <f>12*FC34</f>
        <v>12</v>
      </c>
    </row>
    <row r="37" spans="3:161">
      <c r="C37" s="918" t="str">
        <f t="shared" si="0"/>
        <v>End of repair2 - WC 15</v>
      </c>
      <c r="D37" s="918">
        <f>B144</f>
        <v>121274.52</v>
      </c>
      <c r="G37"/>
      <c r="H37"/>
      <c r="M37" s="268" t="s">
        <v>361</v>
      </c>
      <c r="N37" s="712">
        <f>MOD(N33,1)</f>
        <v>0.25</v>
      </c>
      <c r="O37"/>
      <c r="P37"/>
      <c r="CN37" s="268"/>
      <c r="CP37" s="268"/>
      <c r="CQ37" s="268"/>
      <c r="CR37" s="268"/>
      <c r="CT37" s="268"/>
      <c r="CV37" s="268"/>
      <c r="CX37" s="268"/>
      <c r="CZ37" s="268"/>
      <c r="DB37" s="268"/>
      <c r="DD37" s="268"/>
      <c r="DF37" s="268"/>
      <c r="DH37" s="268"/>
      <c r="DJ37" s="268"/>
      <c r="DL37" s="268"/>
      <c r="DN37" s="268"/>
      <c r="DP37" s="268"/>
      <c r="DR37" s="268"/>
      <c r="DT37" s="268"/>
      <c r="DV37" s="268"/>
      <c r="DX37" s="268"/>
      <c r="DZ37" s="268"/>
      <c r="EB37" s="268"/>
      <c r="ED37" s="268"/>
      <c r="EF37" s="268"/>
      <c r="EH37" s="268"/>
      <c r="EJ37" s="268"/>
      <c r="EL37" s="268"/>
      <c r="EN37" s="268"/>
      <c r="EP37" s="268"/>
      <c r="ER37" s="268"/>
      <c r="ET37" s="268"/>
      <c r="EZ37" s="268"/>
      <c r="FA37" s="268"/>
    </row>
    <row r="38" spans="3:161">
      <c r="C38" s="918"/>
      <c r="D38" s="918"/>
      <c r="G38"/>
      <c r="H38"/>
      <c r="O38"/>
      <c r="P38"/>
      <c r="T38" s="972">
        <f>T36+R20</f>
        <v>15.480000000010477</v>
      </c>
      <c r="CN38" s="268" t="s">
        <v>361</v>
      </c>
      <c r="CP38" s="712">
        <f>MOD(CP25,1)</f>
        <v>0.47999999999592546</v>
      </c>
      <c r="CQ38" s="268"/>
      <c r="CR38" s="712">
        <f>MOD(CR25,1)</f>
        <v>0.47999999999592546</v>
      </c>
      <c r="CT38" s="712">
        <f>MOD(CT25,1)</f>
        <v>0.83999999999650754</v>
      </c>
      <c r="CV38" s="712">
        <f>MOD(CV25,1)</f>
        <v>0.10000000000582077</v>
      </c>
      <c r="CW38" s="268"/>
      <c r="CX38" s="712">
        <f>MOD(CX25,1)</f>
        <v>0</v>
      </c>
      <c r="CZ38" s="712">
        <f>MOD(CZ25,1)</f>
        <v>0</v>
      </c>
      <c r="DB38" s="712">
        <f>MOD(DB25,1)</f>
        <v>0</v>
      </c>
      <c r="DD38" s="712">
        <f>MOD(DD25,1)</f>
        <v>0</v>
      </c>
      <c r="DF38" s="712">
        <f>MOD(DF25,1)</f>
        <v>0</v>
      </c>
      <c r="DH38" s="712">
        <f>MOD(DH25,1)</f>
        <v>0</v>
      </c>
      <c r="DJ38" s="712">
        <f>MOD(DJ25,1)</f>
        <v>0</v>
      </c>
      <c r="DL38" s="712">
        <f>MOD(DL25,1)</f>
        <v>0</v>
      </c>
      <c r="DN38" s="712">
        <f>MOD(DN25,1)</f>
        <v>0</v>
      </c>
      <c r="DP38" s="712">
        <f>MOD(DP25,1)</f>
        <v>0</v>
      </c>
      <c r="DR38" s="712">
        <f>MOD(DR25,1)</f>
        <v>0</v>
      </c>
      <c r="DT38" s="712">
        <f>MOD(DT25,1)</f>
        <v>0</v>
      </c>
      <c r="DV38" s="712">
        <f>MOD(DV25,1)</f>
        <v>0</v>
      </c>
      <c r="DX38" s="712">
        <f>MOD(DX25,1)</f>
        <v>0</v>
      </c>
      <c r="DZ38" s="712">
        <f>MOD(DZ25,1)</f>
        <v>0</v>
      </c>
      <c r="EB38" s="712">
        <f>MOD(EB25,1)</f>
        <v>0</v>
      </c>
      <c r="ED38" s="712">
        <f>MOD(ED25,1)</f>
        <v>0</v>
      </c>
      <c r="EF38" s="712">
        <f>MOD(EF25,1)</f>
        <v>0</v>
      </c>
      <c r="EH38" s="712">
        <f>MOD(EH25,1)</f>
        <v>0</v>
      </c>
      <c r="EJ38" s="712">
        <f>MOD(EJ25,1)</f>
        <v>0</v>
      </c>
      <c r="EL38" s="712">
        <f>MOD(EL25,1)</f>
        <v>0</v>
      </c>
      <c r="EN38" s="712">
        <f>MOD(EN25,1)</f>
        <v>0</v>
      </c>
      <c r="EP38" s="712">
        <f>MOD(EP25,1)</f>
        <v>0</v>
      </c>
      <c r="ER38" s="712">
        <f>MOD(ER25,1)</f>
        <v>0</v>
      </c>
      <c r="ET38" s="712">
        <f>MOD(ET25,1)</f>
        <v>0</v>
      </c>
      <c r="EZ38" s="268"/>
      <c r="FA38" s="268"/>
      <c r="FB38" t="s">
        <v>362</v>
      </c>
      <c r="FC38" s="972">
        <f>FC32-FC36</f>
        <v>9.7200000000593718</v>
      </c>
    </row>
    <row r="39" spans="3:161">
      <c r="C39" s="918" t="str">
        <f t="shared" si="0"/>
        <v>WC 6 - Left Limit</v>
      </c>
      <c r="D39" s="918">
        <f>B146</f>
        <v>211444.45666666701</v>
      </c>
      <c r="G39"/>
      <c r="H39"/>
      <c r="M39" s="268" t="s">
        <v>362</v>
      </c>
      <c r="N39" s="395">
        <f>N37*12</f>
        <v>3</v>
      </c>
      <c r="O39"/>
      <c r="P39"/>
      <c r="CN39" s="268"/>
      <c r="CP39" s="268"/>
      <c r="CQ39" s="268"/>
      <c r="CR39" s="268"/>
      <c r="CT39" s="268"/>
      <c r="CV39" s="268"/>
      <c r="CW39" s="268"/>
      <c r="CX39" s="268"/>
      <c r="CZ39" s="268"/>
      <c r="DB39" s="268"/>
      <c r="DD39" s="268"/>
      <c r="DF39" s="268"/>
      <c r="DH39" s="268"/>
      <c r="DJ39" s="268"/>
      <c r="DL39" s="268"/>
      <c r="DN39" s="268"/>
      <c r="DP39" s="268"/>
      <c r="DR39" s="268"/>
      <c r="DT39" s="268"/>
      <c r="DV39" s="268"/>
      <c r="DX39" s="268"/>
      <c r="DZ39" s="268"/>
      <c r="EB39" s="268"/>
      <c r="ED39" s="268"/>
      <c r="EF39" s="268"/>
      <c r="EH39" s="268"/>
      <c r="EJ39" s="268"/>
      <c r="EL39" s="268"/>
      <c r="EN39" s="268"/>
      <c r="EP39" s="268"/>
      <c r="ER39" s="268"/>
      <c r="ET39" s="268"/>
      <c r="EZ39" s="268"/>
      <c r="FA39" s="268"/>
    </row>
    <row r="40" spans="3:161">
      <c r="C40" s="918"/>
      <c r="D40" s="918"/>
      <c r="G40"/>
      <c r="H40"/>
      <c r="O40"/>
      <c r="P40"/>
      <c r="T40" s="972">
        <f>T38/12</f>
        <v>1.2900000000008731</v>
      </c>
      <c r="CN40" s="268" t="s">
        <v>362</v>
      </c>
      <c r="CP40" s="395">
        <f>CP38*12</f>
        <v>5.7599999999511056</v>
      </c>
      <c r="CQ40" s="268"/>
      <c r="CR40" s="395">
        <f>CR38*12</f>
        <v>5.7599999999511056</v>
      </c>
      <c r="CT40" s="395">
        <f>CT38*12</f>
        <v>10.07999999995809</v>
      </c>
      <c r="CV40" s="395">
        <f>CV38*12</f>
        <v>1.2000000000698492</v>
      </c>
      <c r="CW40" s="268"/>
      <c r="CX40" s="395">
        <f>CX38*12</f>
        <v>0</v>
      </c>
      <c r="CZ40" s="395">
        <f>CZ38*12</f>
        <v>0</v>
      </c>
      <c r="DB40" s="395">
        <f>DB38*12</f>
        <v>0</v>
      </c>
      <c r="DD40" s="395">
        <f>DD38*12</f>
        <v>0</v>
      </c>
      <c r="DF40" s="395">
        <f>DF38*12</f>
        <v>0</v>
      </c>
      <c r="DH40" s="395">
        <f>DH38*12</f>
        <v>0</v>
      </c>
      <c r="DJ40" s="395">
        <f>DJ38*12</f>
        <v>0</v>
      </c>
      <c r="DL40" s="395">
        <f>DL38*12</f>
        <v>0</v>
      </c>
      <c r="DN40" s="395">
        <f>DN38*12</f>
        <v>0</v>
      </c>
      <c r="DP40" s="395">
        <f>DP38*12</f>
        <v>0</v>
      </c>
      <c r="DR40" s="395">
        <f>DR38*12</f>
        <v>0</v>
      </c>
      <c r="DT40" s="395">
        <f>DT38*12</f>
        <v>0</v>
      </c>
      <c r="DV40" s="395">
        <f>DV38*12</f>
        <v>0</v>
      </c>
      <c r="DX40" s="395">
        <f>DX38*12</f>
        <v>0</v>
      </c>
      <c r="DZ40" s="395">
        <f>DZ38*12</f>
        <v>0</v>
      </c>
      <c r="EB40" s="395">
        <f>EB38*12</f>
        <v>0</v>
      </c>
      <c r="ED40" s="395">
        <f>ED38*12</f>
        <v>0</v>
      </c>
      <c r="EF40" s="395">
        <f>EF38*12</f>
        <v>0</v>
      </c>
      <c r="EH40" s="395">
        <f>EH38*12</f>
        <v>0</v>
      </c>
      <c r="EJ40" s="395">
        <f>EJ38*12</f>
        <v>0</v>
      </c>
      <c r="EL40" s="395">
        <f>EL38*12</f>
        <v>0</v>
      </c>
      <c r="EN40" s="395">
        <f>EN38*12</f>
        <v>0</v>
      </c>
      <c r="EP40" s="395">
        <f>EP38*12</f>
        <v>0</v>
      </c>
      <c r="ER40" s="395">
        <f>ER38*12</f>
        <v>0</v>
      </c>
      <c r="ET40" s="395">
        <f>ET38*12</f>
        <v>0</v>
      </c>
      <c r="EZ40" s="268"/>
      <c r="FA40" s="268"/>
      <c r="FC40" s="972">
        <f>FC38+FA27</f>
        <v>15.480000000010477</v>
      </c>
    </row>
    <row r="41" spans="3:161">
      <c r="C41" s="918" t="str">
        <f t="shared" si="0"/>
        <v>WC 7 - Right Limit</v>
      </c>
      <c r="D41" s="918">
        <f>B148</f>
        <v>211449.22</v>
      </c>
      <c r="G41"/>
      <c r="H41"/>
      <c r="I41"/>
      <c r="J41"/>
      <c r="K41"/>
      <c r="L41"/>
      <c r="M41"/>
      <c r="N41"/>
      <c r="O41"/>
      <c r="P41"/>
      <c r="CN41" s="268"/>
      <c r="CP41" s="268"/>
      <c r="CQ41" s="268"/>
      <c r="CR41" s="268"/>
      <c r="CT41" s="268"/>
      <c r="CV41" s="268"/>
      <c r="CW41" s="268"/>
      <c r="CX41" s="268"/>
      <c r="CZ41" s="268"/>
      <c r="DB41" s="268"/>
      <c r="DD41" s="268"/>
      <c r="DF41" s="268"/>
      <c r="DH41" s="268"/>
      <c r="DJ41" s="268"/>
      <c r="DL41" s="268"/>
      <c r="DN41" s="268"/>
      <c r="DP41" s="268"/>
      <c r="DR41" s="268"/>
      <c r="DT41" s="268"/>
      <c r="DV41" s="268"/>
      <c r="DX41" s="268"/>
      <c r="DZ41" s="268"/>
      <c r="EB41" s="268"/>
      <c r="ED41" s="268"/>
      <c r="EF41" s="268"/>
      <c r="EH41" s="268"/>
      <c r="EJ41" s="268"/>
      <c r="EL41" s="268"/>
      <c r="EN41" s="268"/>
      <c r="EP41" s="268"/>
      <c r="ER41" s="268"/>
      <c r="ET41" s="268"/>
      <c r="EZ41" s="268"/>
      <c r="FA41" s="268"/>
    </row>
    <row r="42" spans="3:161">
      <c r="F42"/>
      <c r="G42"/>
      <c r="H42"/>
      <c r="I42"/>
      <c r="J42"/>
      <c r="K42"/>
      <c r="L42"/>
      <c r="M42"/>
      <c r="N42"/>
      <c r="O42"/>
      <c r="P42"/>
      <c r="T42" s="972">
        <f>T32+R9</f>
        <v>121276</v>
      </c>
      <c r="CN42" s="268" t="s">
        <v>366</v>
      </c>
      <c r="CP42" s="395">
        <f>CP40</f>
        <v>5.7599999999511056</v>
      </c>
      <c r="CQ42" s="268"/>
      <c r="CR42" s="395">
        <f>CR40</f>
        <v>5.7599999999511056</v>
      </c>
      <c r="CT42" s="395">
        <f>CT40</f>
        <v>10.07999999995809</v>
      </c>
      <c r="CV42" s="395">
        <f>CV40</f>
        <v>1.2000000000698492</v>
      </c>
      <c r="CW42" s="268"/>
      <c r="CX42" s="395">
        <f>CX40</f>
        <v>0</v>
      </c>
      <c r="CZ42" s="395">
        <f>CZ40</f>
        <v>0</v>
      </c>
      <c r="DB42" s="395">
        <f>DB40</f>
        <v>0</v>
      </c>
      <c r="DD42" s="395">
        <f>DD40</f>
        <v>0</v>
      </c>
      <c r="DF42" s="395">
        <f>DF40</f>
        <v>0</v>
      </c>
      <c r="DH42" s="395">
        <f>DH40</f>
        <v>0</v>
      </c>
      <c r="DJ42" s="395">
        <f>DJ40</f>
        <v>0</v>
      </c>
      <c r="DL42" s="395">
        <f>DL40</f>
        <v>0</v>
      </c>
      <c r="DN42" s="395">
        <f>DN40</f>
        <v>0</v>
      </c>
      <c r="DP42" s="395">
        <f>DP40</f>
        <v>0</v>
      </c>
      <c r="DR42" s="395">
        <f>DR40</f>
        <v>0</v>
      </c>
      <c r="DT42" s="395">
        <f>DT40</f>
        <v>0</v>
      </c>
      <c r="DV42" s="395">
        <f>DV40</f>
        <v>0</v>
      </c>
      <c r="DX42" s="395">
        <f>DX40</f>
        <v>0</v>
      </c>
      <c r="DZ42" s="395">
        <f>DZ40</f>
        <v>0</v>
      </c>
      <c r="EB42" s="395">
        <f>EB40</f>
        <v>0</v>
      </c>
      <c r="ED42" s="395">
        <f>ED40</f>
        <v>0</v>
      </c>
      <c r="EF42" s="395">
        <f>EF40</f>
        <v>0</v>
      </c>
      <c r="EH42" s="395">
        <f>EH40</f>
        <v>0</v>
      </c>
      <c r="EJ42" s="395">
        <f>EJ40</f>
        <v>0</v>
      </c>
      <c r="EL42" s="395">
        <f>EL40</f>
        <v>0</v>
      </c>
      <c r="EN42" s="395">
        <f>EN40</f>
        <v>0</v>
      </c>
      <c r="EP42" s="395">
        <f>EP40</f>
        <v>0</v>
      </c>
      <c r="ER42" s="395">
        <f>ER40</f>
        <v>0</v>
      </c>
      <c r="ET42" s="395">
        <f>ET40</f>
        <v>0</v>
      </c>
      <c r="EZ42" s="268"/>
      <c r="FA42" s="268"/>
      <c r="FC42" s="972">
        <f>FC40/12</f>
        <v>1.2900000000008731</v>
      </c>
    </row>
    <row r="43" spans="3:161">
      <c r="CN43" s="268"/>
      <c r="CP43" s="268"/>
      <c r="CQ43" s="268"/>
      <c r="CR43" s="268"/>
      <c r="CS43" s="292"/>
      <c r="CT43" s="268"/>
      <c r="CV43" s="268"/>
      <c r="CW43" s="268"/>
      <c r="CX43" s="268"/>
      <c r="CZ43" s="268"/>
      <c r="DB43" s="268"/>
      <c r="DD43" s="268"/>
      <c r="DF43" s="268"/>
      <c r="DH43" s="268"/>
      <c r="DJ43" s="268"/>
      <c r="DL43" s="268"/>
      <c r="DN43" s="268"/>
      <c r="DP43" s="268"/>
      <c r="DR43" s="268"/>
      <c r="DT43" s="268"/>
      <c r="DV43" s="268"/>
      <c r="DX43" s="268"/>
      <c r="DZ43" s="268"/>
      <c r="EB43" s="268"/>
      <c r="ED43" s="268"/>
      <c r="EF43" s="268"/>
      <c r="EH43" s="268"/>
      <c r="EJ43" s="268"/>
      <c r="EL43" s="268"/>
      <c r="EN43" s="268"/>
      <c r="EP43" s="268"/>
      <c r="ER43" s="268"/>
      <c r="ET43" s="268"/>
      <c r="EZ43" s="268"/>
      <c r="FA43" s="268"/>
    </row>
    <row r="44" spans="3:161">
      <c r="T44" s="974">
        <f>T42+T40</f>
        <v>121277.29000000001</v>
      </c>
      <c r="CN44" s="268"/>
      <c r="CP44" s="268"/>
      <c r="CR44" s="268"/>
      <c r="CS44" s="292"/>
      <c r="CT44" s="268"/>
      <c r="CV44" s="268"/>
      <c r="CW44" s="268"/>
      <c r="CX44" s="268"/>
      <c r="CZ44" s="268"/>
      <c r="DB44" s="268"/>
      <c r="DD44" s="268"/>
      <c r="DF44" s="268"/>
      <c r="DH44" s="268"/>
      <c r="DJ44" s="268"/>
      <c r="DL44" s="268"/>
      <c r="DN44" s="268"/>
      <c r="DP44" s="268"/>
      <c r="DR44" s="268"/>
      <c r="DT44" s="268"/>
      <c r="DV44" s="268"/>
      <c r="DX44" s="268"/>
      <c r="DZ44" s="268"/>
      <c r="EB44" s="268"/>
      <c r="ED44" s="268"/>
      <c r="EF44" s="268"/>
      <c r="EH44" s="268"/>
      <c r="EJ44" s="268"/>
      <c r="EL44" s="268"/>
      <c r="EN44" s="268"/>
      <c r="EP44" s="268"/>
      <c r="ER44" s="268"/>
      <c r="ET44" s="268"/>
      <c r="EZ44" s="268"/>
      <c r="FA44" s="268"/>
      <c r="FC44" s="972">
        <f>FC34+FA16</f>
        <v>121276</v>
      </c>
    </row>
    <row r="45" spans="3:161">
      <c r="CW45" s="268"/>
      <c r="EZ45" s="268"/>
      <c r="FA45" s="268"/>
    </row>
    <row r="46" spans="3:161">
      <c r="CN46" s="268" t="s">
        <v>311</v>
      </c>
      <c r="CP46" s="589">
        <f>CQ10</f>
        <v>121275.48</v>
      </c>
      <c r="CR46" s="589">
        <f>CS10</f>
        <v>121278.84</v>
      </c>
      <c r="CT46" s="589">
        <f>CU10</f>
        <v>121279.1</v>
      </c>
      <c r="CV46" s="589">
        <f>CW10</f>
        <v>0</v>
      </c>
      <c r="CW46" s="268"/>
      <c r="CX46" s="589">
        <f>CY10</f>
        <v>0</v>
      </c>
      <c r="CZ46" s="589">
        <f>DA10</f>
        <v>0</v>
      </c>
      <c r="DB46" s="589">
        <f>DC10</f>
        <v>0</v>
      </c>
      <c r="DD46" s="589">
        <f>DE10</f>
        <v>0</v>
      </c>
      <c r="DF46" s="589">
        <f>DG10</f>
        <v>0</v>
      </c>
      <c r="DH46" s="589">
        <f>DI10</f>
        <v>0</v>
      </c>
      <c r="DJ46" s="589">
        <f>DK10</f>
        <v>0</v>
      </c>
      <c r="DL46" s="589">
        <f>DM10</f>
        <v>0</v>
      </c>
      <c r="DN46" s="589">
        <f>DO10</f>
        <v>0</v>
      </c>
      <c r="DP46" s="589">
        <f>DQ10</f>
        <v>0</v>
      </c>
      <c r="DR46" s="589">
        <f>DS10</f>
        <v>0</v>
      </c>
      <c r="DT46" s="589">
        <f>DU10</f>
        <v>0</v>
      </c>
      <c r="DV46" s="589">
        <f>DW10</f>
        <v>0</v>
      </c>
      <c r="DX46" s="589">
        <f>DY10</f>
        <v>0</v>
      </c>
      <c r="DZ46" s="589">
        <f>EA10</f>
        <v>0</v>
      </c>
      <c r="EB46" s="589">
        <f>EC10</f>
        <v>0</v>
      </c>
      <c r="ED46" s="589">
        <f>EE10</f>
        <v>0</v>
      </c>
      <c r="EF46" s="589">
        <f>EG10</f>
        <v>0</v>
      </c>
      <c r="EH46" s="589">
        <f>EI10</f>
        <v>0</v>
      </c>
      <c r="EJ46" s="589">
        <f>EK10</f>
        <v>0</v>
      </c>
      <c r="EL46" s="589">
        <f>EM10</f>
        <v>0</v>
      </c>
      <c r="EN46" s="589">
        <f>EO10</f>
        <v>0</v>
      </c>
      <c r="EP46" s="589">
        <f>EQ10</f>
        <v>0</v>
      </c>
      <c r="ER46" s="589">
        <f>ES10</f>
        <v>0</v>
      </c>
      <c r="ET46" s="589">
        <f>EU10</f>
        <v>0</v>
      </c>
      <c r="EZ46" s="268"/>
      <c r="FA46" s="268"/>
      <c r="FC46" s="974">
        <f>FC44+FC42</f>
        <v>121277.29000000001</v>
      </c>
    </row>
    <row r="47" spans="3:161">
      <c r="CN47" s="268"/>
      <c r="CP47" s="292"/>
      <c r="CR47" s="292"/>
      <c r="CT47" s="292"/>
      <c r="CV47" s="292"/>
      <c r="CW47" s="268"/>
      <c r="CX47" s="292"/>
      <c r="CZ47" s="292"/>
      <c r="DB47" s="292"/>
      <c r="DD47" s="292"/>
      <c r="DF47" s="292"/>
      <c r="DH47" s="292"/>
      <c r="DJ47" s="292"/>
      <c r="DL47" s="292"/>
      <c r="DN47" s="292"/>
      <c r="DP47" s="292"/>
      <c r="DR47" s="292"/>
      <c r="DT47" s="292"/>
      <c r="DV47" s="292"/>
      <c r="DX47" s="292"/>
      <c r="DZ47" s="292"/>
      <c r="EB47" s="292"/>
      <c r="ED47" s="292"/>
      <c r="EF47" s="292"/>
      <c r="EH47" s="292"/>
      <c r="EJ47" s="292"/>
      <c r="EL47" s="292"/>
      <c r="EN47" s="292"/>
      <c r="EP47" s="292"/>
      <c r="ER47" s="292"/>
      <c r="ET47" s="292"/>
      <c r="EZ47" s="268"/>
      <c r="FA47" s="268"/>
    </row>
    <row r="48" spans="3:161">
      <c r="CN48" s="268" t="s">
        <v>115</v>
      </c>
      <c r="CP48" s="712">
        <v>0</v>
      </c>
      <c r="CR48" s="712">
        <v>0</v>
      </c>
      <c r="CT48" s="712">
        <v>0</v>
      </c>
      <c r="CV48" s="712">
        <v>0</v>
      </c>
      <c r="CW48" s="268"/>
      <c r="CX48" s="712">
        <v>0</v>
      </c>
      <c r="CZ48" s="712">
        <v>0</v>
      </c>
      <c r="DB48" s="712">
        <v>0</v>
      </c>
      <c r="DD48" s="712">
        <v>0</v>
      </c>
      <c r="DF48" s="712">
        <v>0</v>
      </c>
      <c r="DH48" s="712">
        <v>0</v>
      </c>
      <c r="DJ48" s="712">
        <v>0</v>
      </c>
      <c r="DL48" s="712">
        <v>0</v>
      </c>
      <c r="DN48" s="712">
        <v>0</v>
      </c>
      <c r="DP48" s="712">
        <v>0</v>
      </c>
      <c r="DR48" s="712">
        <v>0</v>
      </c>
      <c r="DT48" s="712">
        <v>0</v>
      </c>
      <c r="DV48" s="712">
        <v>0</v>
      </c>
      <c r="DX48" s="712">
        <v>0</v>
      </c>
      <c r="DZ48" s="712">
        <v>0</v>
      </c>
      <c r="EB48" s="712">
        <v>0</v>
      </c>
      <c r="ED48" s="712">
        <v>0</v>
      </c>
      <c r="EF48" s="712">
        <v>0</v>
      </c>
      <c r="EH48" s="712">
        <v>0</v>
      </c>
      <c r="EJ48" s="712">
        <v>0</v>
      </c>
      <c r="EL48" s="712">
        <v>0</v>
      </c>
      <c r="EN48" s="712">
        <v>0</v>
      </c>
      <c r="EP48" s="712">
        <v>0</v>
      </c>
      <c r="ER48" s="712">
        <v>0</v>
      </c>
      <c r="ET48" s="712">
        <v>0</v>
      </c>
      <c r="EZ48" s="268"/>
      <c r="FA48" s="268"/>
      <c r="FC48" s="973">
        <f>FG13-FA13</f>
        <v>40.320000000006985</v>
      </c>
    </row>
    <row r="49" spans="92:159">
      <c r="CN49" s="268" t="s">
        <v>353</v>
      </c>
      <c r="CP49" s="712">
        <f>CQ21</f>
        <v>2.1749999999999998</v>
      </c>
      <c r="CR49" s="712">
        <f>CS21</f>
        <v>104</v>
      </c>
      <c r="CT49" s="712">
        <f>CU21</f>
        <v>1.8</v>
      </c>
      <c r="CV49" s="712">
        <f>CW21</f>
        <v>0</v>
      </c>
      <c r="CW49" s="268"/>
      <c r="CX49" s="712">
        <f>CY21</f>
        <v>0</v>
      </c>
      <c r="CZ49" s="712">
        <f>DA21</f>
        <v>0</v>
      </c>
      <c r="DB49" s="712">
        <f>DC21</f>
        <v>0</v>
      </c>
      <c r="DD49" s="712">
        <f>DE21</f>
        <v>0</v>
      </c>
      <c r="DF49" s="712">
        <f>DG21</f>
        <v>0</v>
      </c>
      <c r="DH49" s="712">
        <f>DI21</f>
        <v>0</v>
      </c>
      <c r="DJ49" s="712">
        <f>DK21</f>
        <v>0</v>
      </c>
      <c r="DL49" s="712">
        <f>DM21</f>
        <v>0</v>
      </c>
      <c r="DN49" s="712">
        <f>DO21</f>
        <v>0</v>
      </c>
      <c r="DP49" s="712">
        <f>DQ21</f>
        <v>0</v>
      </c>
      <c r="DR49" s="712">
        <f>DS21</f>
        <v>0</v>
      </c>
      <c r="DT49" s="712">
        <f>DU21</f>
        <v>0</v>
      </c>
      <c r="DV49" s="712">
        <f>DW21</f>
        <v>0</v>
      </c>
      <c r="DX49" s="712">
        <f>DY21</f>
        <v>0</v>
      </c>
      <c r="DZ49" s="712">
        <f>EA21</f>
        <v>0</v>
      </c>
      <c r="EB49" s="712">
        <f>EC21</f>
        <v>0</v>
      </c>
      <c r="ED49" s="712">
        <f>EE21</f>
        <v>0</v>
      </c>
      <c r="EF49" s="712">
        <f>EG21</f>
        <v>0</v>
      </c>
      <c r="EH49" s="712">
        <f>EI21</f>
        <v>0</v>
      </c>
      <c r="EJ49" s="712">
        <f>EK21</f>
        <v>0</v>
      </c>
      <c r="EL49" s="712">
        <f>EM21</f>
        <v>0</v>
      </c>
      <c r="EN49" s="712">
        <f>EO21</f>
        <v>0</v>
      </c>
      <c r="EP49" s="712">
        <f>EQ21</f>
        <v>0</v>
      </c>
      <c r="ER49" s="712">
        <f>ES21</f>
        <v>0</v>
      </c>
      <c r="ET49" s="712">
        <f>EU21</f>
        <v>0</v>
      </c>
      <c r="EZ49" s="268"/>
      <c r="FA49" s="268"/>
    </row>
    <row r="50" spans="92:159">
      <c r="CN50" s="268"/>
      <c r="CP50" s="268"/>
      <c r="CR50" s="268"/>
      <c r="CT50" s="268"/>
      <c r="CV50" s="268"/>
      <c r="CW50" s="268"/>
      <c r="CX50" s="268"/>
      <c r="CZ50" s="268"/>
      <c r="DB50" s="268"/>
      <c r="DD50" s="268"/>
      <c r="DF50" s="268"/>
      <c r="DH50" s="268"/>
      <c r="DJ50" s="268"/>
      <c r="DL50" s="268"/>
      <c r="DN50" s="268"/>
      <c r="DP50" s="268"/>
      <c r="DR50" s="268"/>
      <c r="DT50" s="268"/>
      <c r="DV50" s="268"/>
      <c r="DX50" s="268"/>
      <c r="DZ50" s="268"/>
      <c r="EB50" s="268"/>
      <c r="ED50" s="268"/>
      <c r="EF50" s="268"/>
      <c r="EH50" s="268"/>
      <c r="EJ50" s="268"/>
      <c r="EL50" s="268"/>
      <c r="EN50" s="268"/>
      <c r="EP50" s="268"/>
      <c r="ER50" s="268"/>
      <c r="ET50" s="268"/>
      <c r="EZ50" s="268"/>
      <c r="FA50" s="268"/>
      <c r="FB50" t="s">
        <v>75</v>
      </c>
      <c r="FC50" s="451">
        <f>ROUNDDOWN(FC48/12,0)</f>
        <v>3</v>
      </c>
    </row>
    <row r="51" spans="92:159">
      <c r="CN51" s="268"/>
      <c r="CP51" s="292"/>
      <c r="CR51" s="292"/>
      <c r="CT51" s="292"/>
      <c r="CV51" s="292"/>
      <c r="CW51" s="268"/>
      <c r="CX51" s="292"/>
      <c r="CZ51" s="292"/>
      <c r="DB51" s="292"/>
      <c r="DD51" s="292"/>
      <c r="DF51" s="292"/>
      <c r="DH51" s="292"/>
      <c r="DJ51" s="292"/>
      <c r="DL51" s="292"/>
      <c r="DN51" s="292"/>
      <c r="DP51" s="292"/>
      <c r="DR51" s="292"/>
      <c r="DT51" s="292"/>
      <c r="DV51" s="292"/>
      <c r="DX51" s="292"/>
      <c r="DZ51" s="292"/>
      <c r="EB51" s="292"/>
      <c r="ED51" s="292"/>
      <c r="EF51" s="292"/>
      <c r="EH51" s="292"/>
      <c r="EJ51" s="292"/>
      <c r="EL51" s="292"/>
      <c r="EN51" s="292"/>
      <c r="EP51" s="292"/>
      <c r="ER51" s="292"/>
      <c r="ET51" s="292"/>
      <c r="EZ51" s="268"/>
      <c r="FA51" s="268"/>
    </row>
    <row r="52" spans="92:159">
      <c r="CN52" s="268" t="s">
        <v>356</v>
      </c>
      <c r="CP52" s="712">
        <f>ROUNDDOWN(CP46,0)</f>
        <v>121275</v>
      </c>
      <c r="CR52" s="712">
        <f>ROUNDDOWN(CR46,0)</f>
        <v>121278</v>
      </c>
      <c r="CT52" s="712">
        <f>ROUNDDOWN(CT46,0)</f>
        <v>121279</v>
      </c>
      <c r="CV52" s="712">
        <f>ROUNDDOWN(CV46,0)</f>
        <v>0</v>
      </c>
      <c r="CW52" s="268"/>
      <c r="CX52" s="712">
        <f>ROUNDDOWN(CX46,0)</f>
        <v>0</v>
      </c>
      <c r="CZ52" s="712">
        <f>ROUNDDOWN(CZ46,0)</f>
        <v>0</v>
      </c>
      <c r="DB52" s="712">
        <f>ROUNDDOWN(DB46,0)</f>
        <v>0</v>
      </c>
      <c r="DD52" s="712">
        <f>ROUNDDOWN(DD46,0)</f>
        <v>0</v>
      </c>
      <c r="DF52" s="712">
        <f>ROUNDDOWN(DF46,0)</f>
        <v>0</v>
      </c>
      <c r="DH52" s="712">
        <f>ROUNDDOWN(DH46,0)</f>
        <v>0</v>
      </c>
      <c r="DJ52" s="712">
        <f>ROUNDDOWN(DJ46,0)</f>
        <v>0</v>
      </c>
      <c r="DL52" s="712">
        <f>ROUNDDOWN(DL46,0)</f>
        <v>0</v>
      </c>
      <c r="DN52" s="712">
        <f>ROUNDDOWN(DN46,0)</f>
        <v>0</v>
      </c>
      <c r="DP52" s="712">
        <f>ROUNDDOWN(DP46,0)</f>
        <v>0</v>
      </c>
      <c r="DR52" s="712">
        <f>ROUNDDOWN(DR46,0)</f>
        <v>0</v>
      </c>
      <c r="DT52" s="712">
        <f>ROUNDDOWN(DT46,0)</f>
        <v>0</v>
      </c>
      <c r="DV52" s="712">
        <f>ROUNDDOWN(DV46,0)</f>
        <v>0</v>
      </c>
      <c r="DX52" s="712">
        <f>ROUNDDOWN(DX46,0)</f>
        <v>0</v>
      </c>
      <c r="DZ52" s="712">
        <f>ROUNDDOWN(DZ46,0)</f>
        <v>0</v>
      </c>
      <c r="EB52" s="712">
        <f>ROUNDDOWN(EB46,0)</f>
        <v>0</v>
      </c>
      <c r="ED52" s="712">
        <f>ROUNDDOWN(ED46,0)</f>
        <v>0</v>
      </c>
      <c r="EF52" s="712">
        <f>ROUNDDOWN(EF46,0)</f>
        <v>0</v>
      </c>
      <c r="EH52" s="712">
        <f>ROUNDDOWN(EH46,0)</f>
        <v>0</v>
      </c>
      <c r="EJ52" s="712">
        <f>ROUNDDOWN(EJ46,0)</f>
        <v>0</v>
      </c>
      <c r="EL52" s="712">
        <f>ROUNDDOWN(EL46,0)</f>
        <v>0</v>
      </c>
      <c r="EN52" s="712">
        <f>ROUNDDOWN(EN46,0)</f>
        <v>0</v>
      </c>
      <c r="EP52" s="712">
        <f>ROUNDDOWN(EP46,0)</f>
        <v>0</v>
      </c>
      <c r="ER52" s="712">
        <f>ROUNDDOWN(ER46,0)</f>
        <v>0</v>
      </c>
      <c r="ET52" s="712">
        <f>ROUNDDOWN(ET46,0)</f>
        <v>0</v>
      </c>
      <c r="EZ52" s="268"/>
      <c r="FA52" s="268"/>
      <c r="FB52" t="s">
        <v>363</v>
      </c>
      <c r="FC52">
        <f>12*FC50</f>
        <v>36</v>
      </c>
    </row>
    <row r="53" spans="92:159">
      <c r="CN53" s="268"/>
      <c r="CP53" s="292"/>
      <c r="CR53" s="292"/>
      <c r="CT53" s="292"/>
      <c r="CV53" s="292"/>
      <c r="CW53" s="268"/>
      <c r="CX53" s="292"/>
      <c r="CZ53" s="292"/>
      <c r="DB53" s="292"/>
      <c r="DD53" s="292"/>
      <c r="DF53" s="292"/>
      <c r="DH53" s="292"/>
      <c r="DJ53" s="292"/>
      <c r="DL53" s="292"/>
      <c r="DN53" s="292"/>
      <c r="DP53" s="292"/>
      <c r="DR53" s="292"/>
      <c r="DT53" s="292"/>
      <c r="DV53" s="292"/>
      <c r="DX53" s="292"/>
      <c r="DZ53" s="292"/>
      <c r="EB53" s="292"/>
      <c r="ED53" s="292"/>
      <c r="EF53" s="292"/>
      <c r="EH53" s="292"/>
      <c r="EJ53" s="292"/>
      <c r="EL53" s="292"/>
      <c r="EN53" s="292"/>
      <c r="EP53" s="292"/>
      <c r="ER53" s="292"/>
      <c r="ET53" s="292"/>
      <c r="EZ53" s="268"/>
      <c r="FA53" s="268"/>
    </row>
    <row r="54" spans="92:159">
      <c r="CN54" s="268" t="s">
        <v>364</v>
      </c>
      <c r="CP54" s="712">
        <f>ABS(CP52-CP31)</f>
        <v>0</v>
      </c>
      <c r="CR54" s="712">
        <f>ABS(CR52-CR31)</f>
        <v>3</v>
      </c>
      <c r="CT54" s="712">
        <f>ABS(CT52-CT31)</f>
        <v>1</v>
      </c>
      <c r="CV54" s="712">
        <f>ABS(CV52-CV31)</f>
        <v>121279</v>
      </c>
      <c r="CW54" s="268"/>
      <c r="CX54" s="712">
        <f>ABS(CX52-CX31)</f>
        <v>0</v>
      </c>
      <c r="CZ54" s="712">
        <f>ABS(CZ52-CZ31)</f>
        <v>0</v>
      </c>
      <c r="DB54" s="712">
        <f>ABS(DB52-DB31)</f>
        <v>0</v>
      </c>
      <c r="DD54" s="712">
        <f>ABS(DD52-DD31)</f>
        <v>0</v>
      </c>
      <c r="DF54" s="712">
        <f>ABS(DF52-DF31)</f>
        <v>0</v>
      </c>
      <c r="DH54" s="712">
        <f>ABS(DH52-DH31)</f>
        <v>0</v>
      </c>
      <c r="DJ54" s="712">
        <f>ABS(DJ52-DJ31)</f>
        <v>0</v>
      </c>
      <c r="DL54" s="712">
        <f>ABS(DL52-DL31)</f>
        <v>0</v>
      </c>
      <c r="DN54" s="712">
        <f>ABS(DN52-DN31)</f>
        <v>0</v>
      </c>
      <c r="DP54" s="712">
        <f>ABS(DP52-DP31)</f>
        <v>0</v>
      </c>
      <c r="DR54" s="712">
        <f>ABS(DR52-DR31)</f>
        <v>0</v>
      </c>
      <c r="DT54" s="712">
        <f>ABS(DT52-DT31)</f>
        <v>0</v>
      </c>
      <c r="DV54" s="712">
        <f>ABS(DV52-DV31)</f>
        <v>0</v>
      </c>
      <c r="DX54" s="712">
        <f>ABS(DX52-DX31)</f>
        <v>0</v>
      </c>
      <c r="DZ54" s="712">
        <f>ABS(DZ52-DZ31)</f>
        <v>0</v>
      </c>
      <c r="EB54" s="712">
        <f>ABS(EB52-EB31)</f>
        <v>0</v>
      </c>
      <c r="ED54" s="712">
        <f>ABS(ED52-ED31)</f>
        <v>0</v>
      </c>
      <c r="EF54" s="712">
        <f>ABS(EF52-EF31)</f>
        <v>0</v>
      </c>
      <c r="EH54" s="712">
        <f>ABS(EH52-EH31)</f>
        <v>0</v>
      </c>
      <c r="EJ54" s="712">
        <f>ABS(EJ52-EJ31)</f>
        <v>0</v>
      </c>
      <c r="EL54" s="712">
        <f>ABS(EL52-EL31)</f>
        <v>0</v>
      </c>
      <c r="EN54" s="712">
        <f>ABS(EN52-EN31)</f>
        <v>0</v>
      </c>
      <c r="EP54" s="712">
        <f>ABS(EP52-EP31)</f>
        <v>0</v>
      </c>
      <c r="ER54" s="712">
        <f>ABS(ER52-ER31)</f>
        <v>0</v>
      </c>
      <c r="ET54" s="712">
        <f>ABS(ET52-ET31)</f>
        <v>0</v>
      </c>
      <c r="EZ54" s="268"/>
      <c r="FA54" s="268"/>
      <c r="FB54" t="s">
        <v>362</v>
      </c>
      <c r="FC54" s="972">
        <f>FC48-FC52</f>
        <v>4.3200000000069849</v>
      </c>
    </row>
    <row r="55" spans="92:159">
      <c r="CN55" s="268"/>
      <c r="CP55" s="292"/>
      <c r="CR55" s="292"/>
      <c r="CT55" s="292"/>
      <c r="CV55" s="292"/>
      <c r="CW55" s="268"/>
      <c r="CX55" s="292"/>
      <c r="CZ55" s="292"/>
      <c r="DB55" s="292"/>
      <c r="DD55" s="292"/>
      <c r="DF55" s="292"/>
      <c r="DH55" s="292"/>
      <c r="DJ55" s="292"/>
      <c r="DL55" s="292"/>
      <c r="DN55" s="292"/>
      <c r="DP55" s="292"/>
      <c r="DR55" s="292"/>
      <c r="DT55" s="292"/>
      <c r="DV55" s="292"/>
      <c r="DX55" s="292"/>
      <c r="DZ55" s="292"/>
      <c r="EB55" s="292"/>
      <c r="ED55" s="292"/>
      <c r="EF55" s="292"/>
      <c r="EH55" s="292"/>
      <c r="EJ55" s="292"/>
      <c r="EL55" s="292"/>
      <c r="EN55" s="292"/>
      <c r="EP55" s="292"/>
      <c r="ER55" s="292"/>
      <c r="ET55" s="292"/>
      <c r="EZ55" s="268"/>
      <c r="FA55" s="268"/>
    </row>
    <row r="56" spans="92:159">
      <c r="CN56" s="268" t="s">
        <v>367</v>
      </c>
      <c r="CP56" s="712">
        <f>CP54*12</f>
        <v>0</v>
      </c>
      <c r="CR56" s="712">
        <f>CR54*12</f>
        <v>36</v>
      </c>
      <c r="CT56" s="712">
        <f>CT54*12</f>
        <v>12</v>
      </c>
      <c r="CV56" s="712">
        <f>CV54*12</f>
        <v>1455348</v>
      </c>
      <c r="CW56" s="268"/>
      <c r="CX56" s="712">
        <f>CX54*12</f>
        <v>0</v>
      </c>
      <c r="CZ56" s="712">
        <f>CZ54*12</f>
        <v>0</v>
      </c>
      <c r="DB56" s="712">
        <f>DB54*12</f>
        <v>0</v>
      </c>
      <c r="DD56" s="712">
        <f>DD54*12</f>
        <v>0</v>
      </c>
      <c r="DF56" s="712">
        <f>DF54*12</f>
        <v>0</v>
      </c>
      <c r="DH56" s="712">
        <f>DH54*12</f>
        <v>0</v>
      </c>
      <c r="DJ56" s="712">
        <f>DJ54*12</f>
        <v>0</v>
      </c>
      <c r="DL56" s="712">
        <f>DL54*12</f>
        <v>0</v>
      </c>
      <c r="DN56" s="712">
        <f>DN54*12</f>
        <v>0</v>
      </c>
      <c r="DP56" s="712">
        <f>DP54*12</f>
        <v>0</v>
      </c>
      <c r="DR56" s="712">
        <f>DR54*12</f>
        <v>0</v>
      </c>
      <c r="DT56" s="712">
        <f>DT54*12</f>
        <v>0</v>
      </c>
      <c r="DV56" s="712">
        <f>DV54*12</f>
        <v>0</v>
      </c>
      <c r="DX56" s="712">
        <f>DX54*12</f>
        <v>0</v>
      </c>
      <c r="DZ56" s="712">
        <f>DZ54*12</f>
        <v>0</v>
      </c>
      <c r="EB56" s="712">
        <f>EB54*12</f>
        <v>0</v>
      </c>
      <c r="ED56" s="712">
        <f>ED54*12</f>
        <v>0</v>
      </c>
      <c r="EF56" s="712">
        <f>EF54*12</f>
        <v>0</v>
      </c>
      <c r="EH56" s="712">
        <f>EH54*12</f>
        <v>0</v>
      </c>
      <c r="EJ56" s="712">
        <f>EJ54*12</f>
        <v>0</v>
      </c>
      <c r="EL56" s="712">
        <f>EL54*12</f>
        <v>0</v>
      </c>
      <c r="EN56" s="712">
        <f>EN54*12</f>
        <v>0</v>
      </c>
      <c r="EP56" s="712">
        <f>EP54*12</f>
        <v>0</v>
      </c>
      <c r="ER56" s="712">
        <f>ER54*12</f>
        <v>0</v>
      </c>
      <c r="ET56" s="712">
        <f>ET54*12</f>
        <v>0</v>
      </c>
      <c r="EZ56" s="268"/>
      <c r="FA56" s="268"/>
      <c r="FC56" s="972">
        <f>FC54+FA27</f>
        <v>10.07999999995809</v>
      </c>
    </row>
    <row r="57" spans="92:159">
      <c r="CN57" s="268"/>
      <c r="CP57" s="292"/>
      <c r="CR57" s="292"/>
      <c r="CT57" s="292"/>
      <c r="CV57" s="292"/>
      <c r="CW57" s="268"/>
      <c r="CX57" s="292"/>
      <c r="CZ57" s="292"/>
      <c r="DB57" s="292"/>
      <c r="DD57" s="292"/>
      <c r="DF57" s="292"/>
      <c r="DH57" s="292"/>
      <c r="DJ57" s="292"/>
      <c r="DL57" s="292"/>
      <c r="DN57" s="292"/>
      <c r="DP57" s="292"/>
      <c r="DR57" s="292"/>
      <c r="DT57" s="292"/>
      <c r="DV57" s="292"/>
      <c r="DX57" s="292"/>
      <c r="DZ57" s="292"/>
      <c r="EB57" s="292"/>
      <c r="ED57" s="292"/>
      <c r="EF57" s="292"/>
      <c r="EH57" s="292"/>
      <c r="EJ57" s="292"/>
      <c r="EL57" s="292"/>
      <c r="EN57" s="292"/>
      <c r="EP57" s="292"/>
      <c r="ER57" s="292"/>
      <c r="ET57" s="292"/>
      <c r="EZ57" s="268"/>
      <c r="FA57" s="268"/>
    </row>
    <row r="58" spans="92:159">
      <c r="CN58" s="268"/>
      <c r="CP58" s="292"/>
      <c r="CR58" s="292"/>
      <c r="CT58" s="292"/>
      <c r="CV58" s="292"/>
      <c r="CW58" s="268"/>
      <c r="CX58" s="292"/>
      <c r="CZ58" s="292"/>
      <c r="DB58" s="292"/>
      <c r="DD58" s="292"/>
      <c r="DF58" s="292"/>
      <c r="DH58" s="292"/>
      <c r="DJ58" s="292"/>
      <c r="DL58" s="292"/>
      <c r="DN58" s="292"/>
      <c r="DP58" s="292"/>
      <c r="DR58" s="292"/>
      <c r="DT58" s="292"/>
      <c r="DV58" s="292"/>
      <c r="DX58" s="292"/>
      <c r="DZ58" s="292"/>
      <c r="EB58" s="292"/>
      <c r="ED58" s="292"/>
      <c r="EF58" s="292"/>
      <c r="EH58" s="292"/>
      <c r="EJ58" s="292"/>
      <c r="EL58" s="292"/>
      <c r="EN58" s="292"/>
      <c r="EP58" s="292"/>
      <c r="ER58" s="292"/>
      <c r="ET58" s="292"/>
      <c r="EZ58" s="268"/>
      <c r="FA58" s="268"/>
      <c r="FC58" s="972">
        <f>FC56/12</f>
        <v>0.83999999999650754</v>
      </c>
    </row>
    <row r="59" spans="92:159">
      <c r="CN59" s="268" t="s">
        <v>361</v>
      </c>
      <c r="CP59" s="712">
        <f>MOD(CP46,1)</f>
        <v>0.47999999999592546</v>
      </c>
      <c r="CR59" s="712">
        <f>MOD(CR46,1)</f>
        <v>0.83999999999650754</v>
      </c>
      <c r="CT59" s="712">
        <f>MOD(CT46,1)</f>
        <v>0.10000000000582077</v>
      </c>
      <c r="CV59" s="712">
        <f>MOD(CV46,1)</f>
        <v>0</v>
      </c>
      <c r="CW59" s="268"/>
      <c r="CX59" s="712">
        <f>MOD(CX46,1)</f>
        <v>0</v>
      </c>
      <c r="CZ59" s="712">
        <f>MOD(CZ46,1)</f>
        <v>0</v>
      </c>
      <c r="DB59" s="712">
        <f>MOD(DB46,1)</f>
        <v>0</v>
      </c>
      <c r="DD59" s="712">
        <f>MOD(DD46,1)</f>
        <v>0</v>
      </c>
      <c r="DF59" s="712">
        <f>MOD(DF46,1)</f>
        <v>0</v>
      </c>
      <c r="DH59" s="712">
        <f>MOD(DH46,1)</f>
        <v>0</v>
      </c>
      <c r="DJ59" s="712">
        <f>MOD(DJ46,1)</f>
        <v>0</v>
      </c>
      <c r="DL59" s="712">
        <f>MOD(DL46,1)</f>
        <v>0</v>
      </c>
      <c r="DN59" s="712">
        <f>MOD(DN46,1)</f>
        <v>0</v>
      </c>
      <c r="DP59" s="712">
        <f>MOD(DP46,1)</f>
        <v>0</v>
      </c>
      <c r="DR59" s="712">
        <f>MOD(DR46,1)</f>
        <v>0</v>
      </c>
      <c r="DT59" s="712">
        <f>MOD(DT46,1)</f>
        <v>0</v>
      </c>
      <c r="DV59" s="712">
        <f>MOD(DV46,1)</f>
        <v>0</v>
      </c>
      <c r="DX59" s="712">
        <f>MOD(DX46,1)</f>
        <v>0</v>
      </c>
      <c r="DZ59" s="712">
        <f>MOD(DZ46,1)</f>
        <v>0</v>
      </c>
      <c r="EB59" s="712">
        <f>MOD(EB46,1)</f>
        <v>0</v>
      </c>
      <c r="ED59" s="712">
        <f>MOD(ED46,1)</f>
        <v>0</v>
      </c>
      <c r="EF59" s="712">
        <f>MOD(EF46,1)</f>
        <v>0</v>
      </c>
      <c r="EH59" s="712">
        <f>MOD(EH46,1)</f>
        <v>0</v>
      </c>
      <c r="EJ59" s="712">
        <f>MOD(EJ46,1)</f>
        <v>0</v>
      </c>
      <c r="EL59" s="712">
        <f>MOD(EL46,1)</f>
        <v>0</v>
      </c>
      <c r="EN59" s="712">
        <f>MOD(EN46,1)</f>
        <v>0</v>
      </c>
      <c r="EP59" s="712">
        <f>MOD(EP46,1)</f>
        <v>0</v>
      </c>
      <c r="ER59" s="712">
        <f>MOD(ER46,1)</f>
        <v>0</v>
      </c>
      <c r="ET59" s="712">
        <f>MOD(ET46,1)</f>
        <v>0</v>
      </c>
      <c r="EZ59" s="268"/>
      <c r="FA59" s="268"/>
    </row>
    <row r="60" spans="92:159">
      <c r="CN60" s="268"/>
      <c r="CP60" s="292"/>
      <c r="CR60" s="292"/>
      <c r="CT60" s="292"/>
      <c r="CV60" s="292"/>
      <c r="CW60" s="268"/>
      <c r="CX60" s="292"/>
      <c r="CZ60" s="292"/>
      <c r="DB60" s="292"/>
      <c r="DD60" s="292"/>
      <c r="DF60" s="292"/>
      <c r="DH60" s="292"/>
      <c r="DJ60" s="292"/>
      <c r="DL60" s="292"/>
      <c r="DN60" s="292"/>
      <c r="DP60" s="292"/>
      <c r="DR60" s="292"/>
      <c r="DT60" s="292"/>
      <c r="DV60" s="292"/>
      <c r="DX60" s="292"/>
      <c r="DZ60" s="292"/>
      <c r="EB60" s="292"/>
      <c r="ED60" s="292"/>
      <c r="EF60" s="292"/>
      <c r="EH60" s="292"/>
      <c r="EJ60" s="292"/>
      <c r="EL60" s="292"/>
      <c r="EN60" s="292"/>
      <c r="EP60" s="292"/>
      <c r="ER60" s="292"/>
      <c r="ET60" s="292"/>
      <c r="EZ60" s="268"/>
      <c r="FA60" s="268"/>
      <c r="FC60" s="972">
        <f>FC50+FA16</f>
        <v>121278</v>
      </c>
    </row>
    <row r="61" spans="92:159">
      <c r="CN61" s="268" t="s">
        <v>362</v>
      </c>
      <c r="CP61" s="712">
        <f>CP59*12</f>
        <v>5.7599999999511056</v>
      </c>
      <c r="CR61" s="712">
        <f>CR59*12</f>
        <v>10.07999999995809</v>
      </c>
      <c r="CT61" s="712">
        <f>CT59*12</f>
        <v>1.2000000000698492</v>
      </c>
      <c r="CV61" s="712">
        <f>CV59*12</f>
        <v>0</v>
      </c>
      <c r="CW61" s="268"/>
      <c r="CX61" s="712">
        <f>CX59*12</f>
        <v>0</v>
      </c>
      <c r="CZ61" s="712">
        <f>CZ59*12</f>
        <v>0</v>
      </c>
      <c r="DB61" s="712">
        <f>DB59*12</f>
        <v>0</v>
      </c>
      <c r="DD61" s="712">
        <f>DD59*12</f>
        <v>0</v>
      </c>
      <c r="DF61" s="712">
        <f>DF59*12</f>
        <v>0</v>
      </c>
      <c r="DH61" s="712">
        <f>DH59*12</f>
        <v>0</v>
      </c>
      <c r="DJ61" s="712">
        <f>DJ59*12</f>
        <v>0</v>
      </c>
      <c r="DL61" s="712">
        <f>DL59*12</f>
        <v>0</v>
      </c>
      <c r="DN61" s="712">
        <f>DN59*12</f>
        <v>0</v>
      </c>
      <c r="DP61" s="712">
        <f>DP59*12</f>
        <v>0</v>
      </c>
      <c r="DR61" s="712">
        <f>DR59*12</f>
        <v>0</v>
      </c>
      <c r="DT61" s="712">
        <f>DT59*12</f>
        <v>0</v>
      </c>
      <c r="DV61" s="712">
        <f>DV59*12</f>
        <v>0</v>
      </c>
      <c r="DX61" s="712">
        <f>DX59*12</f>
        <v>0</v>
      </c>
      <c r="DZ61" s="712">
        <f>DZ59*12</f>
        <v>0</v>
      </c>
      <c r="EB61" s="712">
        <f>EB59*12</f>
        <v>0</v>
      </c>
      <c r="ED61" s="712">
        <f>ED59*12</f>
        <v>0</v>
      </c>
      <c r="EF61" s="712">
        <f>EF59*12</f>
        <v>0</v>
      </c>
      <c r="EH61" s="712">
        <f>EH59*12</f>
        <v>0</v>
      </c>
      <c r="EJ61" s="712">
        <f>EJ59*12</f>
        <v>0</v>
      </c>
      <c r="EL61" s="712">
        <f>EL59*12</f>
        <v>0</v>
      </c>
      <c r="EN61" s="712">
        <f>EN59*12</f>
        <v>0</v>
      </c>
      <c r="EP61" s="712">
        <f>EP59*12</f>
        <v>0</v>
      </c>
      <c r="ER61" s="712">
        <f>ER59*12</f>
        <v>0</v>
      </c>
      <c r="ET61" s="712">
        <f>ET59*12</f>
        <v>0</v>
      </c>
      <c r="EZ61" s="268"/>
      <c r="FA61" s="268"/>
    </row>
    <row r="62" spans="92:159">
      <c r="CN62" s="268"/>
      <c r="CP62" s="292"/>
      <c r="CR62" s="292"/>
      <c r="CT62" s="292"/>
      <c r="CV62" s="292"/>
      <c r="CW62" s="268"/>
      <c r="CX62" s="292"/>
      <c r="CZ62" s="292"/>
      <c r="DB62" s="292"/>
      <c r="DD62" s="292"/>
      <c r="DF62" s="292"/>
      <c r="DH62" s="292"/>
      <c r="DJ62" s="292"/>
      <c r="DL62" s="292"/>
      <c r="DN62" s="292"/>
      <c r="DP62" s="292"/>
      <c r="DR62" s="292"/>
      <c r="DT62" s="292"/>
      <c r="DV62" s="292"/>
      <c r="DX62" s="292"/>
      <c r="DZ62" s="292"/>
      <c r="EB62" s="292"/>
      <c r="ED62" s="292"/>
      <c r="EF62" s="292"/>
      <c r="EH62" s="292"/>
      <c r="EJ62" s="292"/>
      <c r="EL62" s="292"/>
      <c r="EN62" s="292"/>
      <c r="EP62" s="292"/>
      <c r="ER62" s="292"/>
      <c r="ET62" s="292"/>
      <c r="EZ62" s="268"/>
      <c r="FA62" s="268"/>
      <c r="FC62" s="974">
        <f>FC60+FC58</f>
        <v>121278.84</v>
      </c>
    </row>
    <row r="63" spans="92:159">
      <c r="CN63" s="268" t="s">
        <v>366</v>
      </c>
      <c r="CP63" s="712">
        <f>IF(CP46=0,0,CP61+CP56)</f>
        <v>5.7599999999511056</v>
      </c>
      <c r="CR63" s="712">
        <f>IF(CR46=0,0,CR61+CR56)</f>
        <v>46.07999999995809</v>
      </c>
      <c r="CT63" s="712">
        <f>IF(CT46=0,0,CT61+CT56)</f>
        <v>13.200000000069849</v>
      </c>
      <c r="CV63" s="712">
        <f>IF(CV46=0,0,CV61+CV56)</f>
        <v>0</v>
      </c>
      <c r="CW63" s="268"/>
      <c r="CX63" s="712">
        <f>IF(CX46=0,0,CX61+CX56)</f>
        <v>0</v>
      </c>
      <c r="CZ63" s="712">
        <f>IF(CZ46=0,0,CZ61+CZ56)</f>
        <v>0</v>
      </c>
      <c r="DB63" s="712">
        <f>IF(DB46=0,0,DB61+DB56)</f>
        <v>0</v>
      </c>
      <c r="DD63" s="712">
        <f>IF(DD46=0,0,DD61+DD56)</f>
        <v>0</v>
      </c>
      <c r="DF63" s="712">
        <f>IF(DF46=0,0,DF61+DF56)</f>
        <v>0</v>
      </c>
      <c r="DH63" s="712">
        <f>IF(DH46=0,0,DH61+DH56)</f>
        <v>0</v>
      </c>
      <c r="DJ63" s="712">
        <f>IF(DJ46=0,0,DJ61+DJ56)</f>
        <v>0</v>
      </c>
      <c r="DL63" s="712">
        <f>IF(DL46=0,0,DL61+DL56)</f>
        <v>0</v>
      </c>
      <c r="DN63" s="712">
        <f>IF(DN46=0,0,DN61+DN56)</f>
        <v>0</v>
      </c>
      <c r="DP63" s="712">
        <f>IF(DP46=0,0,DP61+DP56)</f>
        <v>0</v>
      </c>
      <c r="DR63" s="712">
        <f>IF(DR46=0,0,DR61+DR56)</f>
        <v>0</v>
      </c>
      <c r="DT63" s="712">
        <f>IF(DT46=0,0,DT61+DT56)</f>
        <v>0</v>
      </c>
      <c r="DV63" s="712">
        <f>IF(DV46=0,0,DV61+DV56)</f>
        <v>0</v>
      </c>
      <c r="DX63" s="712">
        <f>IF(DX46=0,0,DX61+DX56)</f>
        <v>0</v>
      </c>
      <c r="DZ63" s="712">
        <f>IF(DZ46=0,0,DZ61+DZ56)</f>
        <v>0</v>
      </c>
      <c r="EB63" s="712">
        <f>IF(EB46=0,0,EB61+EB56)</f>
        <v>0</v>
      </c>
      <c r="ED63" s="712">
        <f>IF(ED46=0,0,ED61+ED56)</f>
        <v>0</v>
      </c>
      <c r="EF63" s="712">
        <f>IF(EF46=0,0,EF61+EF56)</f>
        <v>0</v>
      </c>
      <c r="EH63" s="712">
        <f>IF(EH46=0,0,EH61+EH56)</f>
        <v>0</v>
      </c>
      <c r="EJ63" s="712">
        <f>IF(EJ46=0,0,EJ61+EJ56)</f>
        <v>0</v>
      </c>
      <c r="EL63" s="712">
        <f>IF(EL46=0,0,EL61+EL56)</f>
        <v>0</v>
      </c>
      <c r="EN63" s="712">
        <f>IF(EN46=0,0,EN61+EN56)</f>
        <v>0</v>
      </c>
      <c r="EP63" s="712">
        <f>IF(EP46=0,0,EP61+EP56)</f>
        <v>0</v>
      </c>
      <c r="ER63" s="712">
        <f>IF(ER46=0,0,ER61+ER56)</f>
        <v>0</v>
      </c>
      <c r="ET63" s="712">
        <f>IF(ET46=0,0,ET61+ET56)</f>
        <v>0</v>
      </c>
      <c r="EZ63" s="268"/>
      <c r="FA63" s="268"/>
    </row>
    <row r="64" spans="92:159" ht="15" customHeight="1">
      <c r="CW64" s="268"/>
      <c r="EZ64" s="268"/>
      <c r="FA64" s="268"/>
    </row>
    <row r="65" spans="3:157">
      <c r="CW65" s="268"/>
      <c r="EZ65" s="268"/>
      <c r="FA65" s="268"/>
    </row>
    <row r="66" spans="3:157">
      <c r="CW66" s="268"/>
      <c r="EZ66" s="268"/>
      <c r="FA66" s="268"/>
    </row>
    <row r="67" spans="3:157">
      <c r="CN67" s="268" t="s">
        <v>374</v>
      </c>
      <c r="CO67" s="268" t="str">
        <f>CO9</f>
        <v>WC1</v>
      </c>
      <c r="CP67" s="712">
        <f>IF(CP46=0,0,CP63-CP42)</f>
        <v>0</v>
      </c>
      <c r="CQ67" s="268" t="str">
        <f>CQ9</f>
        <v>WC2</v>
      </c>
      <c r="CR67" s="712">
        <f t="shared" ref="CR67" si="1">IF(CR46=0,0,CR63-CR42)</f>
        <v>40.320000000006985</v>
      </c>
      <c r="CS67" s="268" t="str">
        <f>CS9</f>
        <v>WC3</v>
      </c>
      <c r="CT67" s="712">
        <f t="shared" ref="CT67" si="2">IF(CT46=0,0,CT63-CT42)</f>
        <v>3.1200000001117587</v>
      </c>
      <c r="CU67" s="268" t="str">
        <f>CU9</f>
        <v>WC4</v>
      </c>
      <c r="CV67" s="712">
        <f t="shared" ref="CV67" si="3">IF(CV46=0,0,CV63-CV42)</f>
        <v>0</v>
      </c>
      <c r="CW67" s="268" t="str">
        <f>CW9</f>
        <v>WC5</v>
      </c>
      <c r="CX67" s="712">
        <f t="shared" ref="CX67" si="4">IF(CX46=0,0,CX63-CX42)</f>
        <v>0</v>
      </c>
      <c r="CY67" s="268" t="str">
        <f>CY9</f>
        <v>WC6</v>
      </c>
      <c r="CZ67" s="712">
        <f t="shared" ref="CZ67" si="5">IF(CZ46=0,0,CZ63-CZ42)</f>
        <v>0</v>
      </c>
      <c r="DA67" s="268" t="str">
        <f>DA9</f>
        <v>WC7</v>
      </c>
      <c r="DB67" s="712">
        <f t="shared" ref="DB67" si="6">IF(DB46=0,0,DB63-DB42)</f>
        <v>0</v>
      </c>
      <c r="DC67" s="268" t="str">
        <f>DC9</f>
        <v>WC8</v>
      </c>
      <c r="DD67" s="712">
        <f t="shared" ref="DD67" si="7">IF(DD46=0,0,DD63-DD42)</f>
        <v>0</v>
      </c>
      <c r="DE67" s="268" t="str">
        <f>DE9</f>
        <v>WC9</v>
      </c>
      <c r="DF67" s="712">
        <f t="shared" ref="DF67" si="8">IF(DF46=0,0,DF63-DF42)</f>
        <v>0</v>
      </c>
      <c r="DG67" s="268" t="str">
        <f>DG9</f>
        <v>WC10</v>
      </c>
      <c r="DH67" s="712">
        <f t="shared" ref="DH67" si="9">IF(DH46=0,0,DH63-DH42)</f>
        <v>0</v>
      </c>
      <c r="DI67" s="268" t="str">
        <f>DI9</f>
        <v>WC11</v>
      </c>
      <c r="DJ67" s="712">
        <f t="shared" ref="DJ67" si="10">IF(DJ46=0,0,DJ63-DJ42)</f>
        <v>0</v>
      </c>
      <c r="DK67" s="268" t="str">
        <f>DK9</f>
        <v>WC12</v>
      </c>
      <c r="DL67" s="712">
        <f t="shared" ref="DL67" si="11">IF(DL46=0,0,DL63-DL42)</f>
        <v>0</v>
      </c>
      <c r="DM67" s="268" t="str">
        <f>DM9</f>
        <v>WC13</v>
      </c>
      <c r="DN67" s="712">
        <f t="shared" ref="DN67" si="12">IF(DN46=0,0,DN63-DN42)</f>
        <v>0</v>
      </c>
      <c r="DO67" s="268" t="str">
        <f>DO9</f>
        <v>WC14</v>
      </c>
      <c r="DP67" s="712">
        <f t="shared" ref="DP67" si="13">IF(DP46=0,0,DP63-DP42)</f>
        <v>0</v>
      </c>
      <c r="DQ67" s="268" t="str">
        <f>DQ9</f>
        <v>WC15</v>
      </c>
      <c r="DR67" s="712">
        <f t="shared" ref="DR67" si="14">IF(DR46=0,0,DR63-DR42)</f>
        <v>0</v>
      </c>
      <c r="DS67" s="268" t="str">
        <f>DS9</f>
        <v>WC16</v>
      </c>
      <c r="DT67" s="712">
        <f t="shared" ref="DT67" si="15">IF(DT46=0,0,DT63-DT42)</f>
        <v>0</v>
      </c>
      <c r="DU67" s="268" t="str">
        <f>DU9</f>
        <v>WC17</v>
      </c>
      <c r="DV67" s="712">
        <f t="shared" ref="DV67" si="16">IF(DV46=0,0,DV63-DV42)</f>
        <v>0</v>
      </c>
      <c r="DW67" s="268" t="str">
        <f>DW9</f>
        <v>WC18</v>
      </c>
      <c r="DX67" s="712">
        <f t="shared" ref="DX67" si="17">IF(DX46=0,0,DX63-DX42)</f>
        <v>0</v>
      </c>
      <c r="DY67" s="268" t="str">
        <f>DY9</f>
        <v>WC19</v>
      </c>
      <c r="DZ67" s="712">
        <f t="shared" ref="DZ67" si="18">IF(DZ46=0,0,DZ63-DZ42)</f>
        <v>0</v>
      </c>
      <c r="EA67" s="268" t="str">
        <f>EA9</f>
        <v>WC20</v>
      </c>
      <c r="EB67" s="712">
        <f t="shared" ref="EB67" si="19">IF(EB46=0,0,EB63-EB42)</f>
        <v>0</v>
      </c>
      <c r="EC67" s="268" t="str">
        <f>EC9</f>
        <v>WC21</v>
      </c>
      <c r="ED67" s="712">
        <f t="shared" ref="ED67" si="20">IF(ED46=0,0,ED63-ED42)</f>
        <v>0</v>
      </c>
      <c r="EE67" s="268" t="str">
        <f>EE9</f>
        <v>WC22</v>
      </c>
      <c r="EF67" s="712">
        <f t="shared" ref="EF67" si="21">IF(EF46=0,0,EF63-EF42)</f>
        <v>0</v>
      </c>
      <c r="EG67" s="268" t="str">
        <f>EG9</f>
        <v>WC23</v>
      </c>
      <c r="EH67" s="712">
        <f t="shared" ref="EH67" si="22">IF(EH46=0,0,EH63-EH42)</f>
        <v>0</v>
      </c>
      <c r="EI67" s="268" t="str">
        <f>EI9</f>
        <v>WC24</v>
      </c>
      <c r="EJ67" s="712">
        <f t="shared" ref="EJ67" si="23">IF(EJ46=0,0,EJ63-EJ42)</f>
        <v>0</v>
      </c>
      <c r="EK67" s="268" t="str">
        <f>EK9</f>
        <v>WC25</v>
      </c>
      <c r="EL67" s="712">
        <f t="shared" ref="EL67" si="24">IF(EL46=0,0,EL63-EL42)</f>
        <v>0</v>
      </c>
      <c r="EM67" s="268" t="str">
        <f>EM9</f>
        <v>WC26</v>
      </c>
      <c r="EN67" s="712">
        <f t="shared" ref="EN67" si="25">IF(EN46=0,0,EN63-EN42)</f>
        <v>0</v>
      </c>
      <c r="EO67" s="268" t="str">
        <f>EO9</f>
        <v>WC27</v>
      </c>
      <c r="EP67" s="712">
        <f t="shared" ref="EP67" si="26">IF(EP46=0,0,EP63-EP42)</f>
        <v>0</v>
      </c>
      <c r="EQ67" s="268" t="str">
        <f>EQ9</f>
        <v>WC28</v>
      </c>
      <c r="ER67" s="712">
        <f t="shared" ref="ER67" si="27">IF(ER46=0,0,ER63-ER42)</f>
        <v>0</v>
      </c>
      <c r="ES67" s="268" t="str">
        <f>ES9</f>
        <v>WC29</v>
      </c>
      <c r="ET67" s="712">
        <f t="shared" ref="ET67" si="28">IF(ET46=0,0,ET63-ET42)</f>
        <v>0</v>
      </c>
      <c r="EU67" s="268" t="str">
        <f>EU9</f>
        <v>WC30</v>
      </c>
      <c r="EZ67" s="268"/>
      <c r="FA67" s="268"/>
    </row>
    <row r="68" spans="3:157">
      <c r="CN68" s="268" t="s">
        <v>379</v>
      </c>
      <c r="CO68" s="268">
        <v>0</v>
      </c>
      <c r="CP68" s="268"/>
      <c r="CQ68" s="292">
        <f>CO68+CP67</f>
        <v>0</v>
      </c>
      <c r="CR68" s="268"/>
      <c r="CS68" s="292">
        <f t="shared" ref="CS68" si="29">CQ68+CR67</f>
        <v>40.320000000006985</v>
      </c>
      <c r="CT68" s="268"/>
      <c r="CU68" s="292">
        <f t="shared" ref="CU68" si="30">CS68+CT67</f>
        <v>43.440000000118744</v>
      </c>
      <c r="CV68" s="268"/>
      <c r="CW68" s="292">
        <f t="shared" ref="CW68" si="31">CU68+CV67</f>
        <v>43.440000000118744</v>
      </c>
      <c r="CX68" s="268"/>
      <c r="CY68" s="292">
        <f t="shared" ref="CY68" si="32">CW68+CX67</f>
        <v>43.440000000118744</v>
      </c>
      <c r="CZ68" s="268"/>
      <c r="DA68" s="292">
        <f t="shared" ref="DA68" si="33">CY68+CZ67</f>
        <v>43.440000000118744</v>
      </c>
      <c r="DB68" s="268"/>
      <c r="DC68" s="292">
        <f t="shared" ref="DC68" si="34">DA68+DB67</f>
        <v>43.440000000118744</v>
      </c>
      <c r="DD68" s="268"/>
      <c r="DE68" s="292">
        <f t="shared" ref="DE68" si="35">DC68+DD67</f>
        <v>43.440000000118744</v>
      </c>
      <c r="DF68" s="268"/>
      <c r="DG68" s="292">
        <f t="shared" ref="DG68" si="36">DE68+DF67</f>
        <v>43.440000000118744</v>
      </c>
      <c r="DH68" s="268"/>
      <c r="DI68" s="292">
        <f t="shared" ref="DI68" si="37">DG68+DH67</f>
        <v>43.440000000118744</v>
      </c>
      <c r="DJ68" s="268"/>
      <c r="DK68" s="292">
        <f t="shared" ref="DK68" si="38">DI68+DJ67</f>
        <v>43.440000000118744</v>
      </c>
      <c r="DL68" s="268"/>
      <c r="DM68" s="292">
        <f t="shared" ref="DM68" si="39">DK68+DL67</f>
        <v>43.440000000118744</v>
      </c>
      <c r="DN68" s="268"/>
      <c r="DO68" s="292">
        <f t="shared" ref="DO68" si="40">DM68+DN67</f>
        <v>43.440000000118744</v>
      </c>
      <c r="DP68" s="268"/>
      <c r="DQ68" s="292">
        <f t="shared" ref="DQ68" si="41">DO68+DP67</f>
        <v>43.440000000118744</v>
      </c>
      <c r="DR68" s="268"/>
      <c r="DS68" s="292">
        <f t="shared" ref="DS68" si="42">DQ68+DR67</f>
        <v>43.440000000118744</v>
      </c>
      <c r="DT68" s="268"/>
      <c r="DU68" s="292">
        <f t="shared" ref="DU68" si="43">DS68+DT67</f>
        <v>43.440000000118744</v>
      </c>
      <c r="DV68" s="268"/>
      <c r="DW68" s="292">
        <f t="shared" ref="DW68" si="44">DU68+DV67</f>
        <v>43.440000000118744</v>
      </c>
      <c r="DX68" s="268"/>
      <c r="DY68" s="292">
        <f t="shared" ref="DY68" si="45">DW68+DX67</f>
        <v>43.440000000118744</v>
      </c>
      <c r="DZ68" s="268"/>
      <c r="EA68" s="292">
        <f t="shared" ref="EA68" si="46">DY68+DZ67</f>
        <v>43.440000000118744</v>
      </c>
      <c r="EB68" s="268"/>
      <c r="EC68" s="292">
        <f t="shared" ref="EC68" si="47">EA68+EB67</f>
        <v>43.440000000118744</v>
      </c>
      <c r="ED68" s="268"/>
      <c r="EE68" s="292">
        <f t="shared" ref="EE68" si="48">EC68+ED67</f>
        <v>43.440000000118744</v>
      </c>
      <c r="EF68" s="268"/>
      <c r="EG68" s="292">
        <f t="shared" ref="EG68" si="49">EE68+EF67</f>
        <v>43.440000000118744</v>
      </c>
      <c r="EH68" s="268"/>
      <c r="EI68" s="292">
        <f t="shared" ref="EI68" si="50">EG68+EH67</f>
        <v>43.440000000118744</v>
      </c>
      <c r="EJ68" s="268"/>
      <c r="EK68" s="292">
        <f t="shared" ref="EK68" si="51">EI68+EJ67</f>
        <v>43.440000000118744</v>
      </c>
      <c r="EL68" s="268"/>
      <c r="EM68" s="292">
        <f t="shared" ref="EM68" si="52">EK68+EL67</f>
        <v>43.440000000118744</v>
      </c>
      <c r="EN68" s="268"/>
      <c r="EO68" s="292">
        <f t="shared" ref="EO68" si="53">EM68+EN67</f>
        <v>43.440000000118744</v>
      </c>
      <c r="EP68" s="268"/>
      <c r="EQ68" s="292">
        <f t="shared" ref="EQ68" si="54">EO68+EP67</f>
        <v>43.440000000118744</v>
      </c>
      <c r="ER68" s="268"/>
      <c r="ES68" s="292">
        <f t="shared" ref="ES68" si="55">EQ68+ER67</f>
        <v>43.440000000118744</v>
      </c>
      <c r="ET68" s="268"/>
      <c r="EU68" s="292">
        <f>ES68+ET67</f>
        <v>43.440000000118744</v>
      </c>
      <c r="EZ68" s="268"/>
      <c r="FA68" s="268"/>
    </row>
    <row r="69" spans="3:157">
      <c r="CO69" s="268"/>
      <c r="CP69" s="268"/>
      <c r="CQ69" s="268"/>
      <c r="CR69" s="268"/>
      <c r="CS69" s="268"/>
      <c r="CT69" s="268"/>
      <c r="CU69" s="268"/>
      <c r="CV69" s="268"/>
      <c r="CW69" s="268"/>
      <c r="CX69" s="268"/>
      <c r="CY69" s="268"/>
      <c r="CZ69" s="268"/>
      <c r="DA69" s="268"/>
      <c r="DB69" s="268"/>
      <c r="DC69" s="268"/>
      <c r="DD69" s="268"/>
      <c r="DE69" s="268"/>
      <c r="DF69" s="268"/>
      <c r="DG69" s="268"/>
      <c r="DH69" s="268"/>
      <c r="DI69" s="268"/>
      <c r="DJ69" s="268"/>
      <c r="DK69" s="268"/>
      <c r="DL69" s="268"/>
      <c r="DM69" s="268"/>
      <c r="DN69" s="268"/>
      <c r="DO69" s="268"/>
      <c r="DP69" s="268"/>
      <c r="DQ69" s="268"/>
      <c r="DR69" s="268"/>
      <c r="DS69" s="268"/>
      <c r="DT69" s="268"/>
      <c r="DU69" s="268"/>
      <c r="DV69" s="268"/>
      <c r="DW69" s="268"/>
      <c r="DX69" s="268"/>
      <c r="DY69" s="268"/>
      <c r="DZ69" s="268"/>
      <c r="EA69" s="268"/>
      <c r="EB69" s="268"/>
      <c r="EC69" s="268"/>
      <c r="ED69" s="268"/>
      <c r="EE69" s="268"/>
      <c r="EF69" s="268"/>
      <c r="EG69" s="268"/>
      <c r="EH69" s="268"/>
      <c r="EI69" s="268"/>
      <c r="EJ69" s="268"/>
      <c r="EK69" s="268"/>
      <c r="EL69" s="268"/>
      <c r="EM69" s="268"/>
      <c r="EN69" s="268"/>
      <c r="EO69" s="268"/>
      <c r="EP69" s="268"/>
      <c r="EQ69" s="268"/>
      <c r="ER69" s="268"/>
      <c r="ES69" s="268"/>
      <c r="ET69" s="268"/>
      <c r="EZ69" s="268"/>
      <c r="FA69" s="268"/>
    </row>
    <row r="70" spans="3:157">
      <c r="CN70" t="s">
        <v>380</v>
      </c>
      <c r="CO70" s="395">
        <f>CO11</f>
        <v>4.3499999999999996</v>
      </c>
      <c r="CQ70" s="395">
        <f>CQ11</f>
        <v>4.3499999999999996</v>
      </c>
      <c r="CS70" s="395">
        <f>CS11</f>
        <v>208</v>
      </c>
      <c r="CU70" s="395">
        <f>CU11</f>
        <v>3.6</v>
      </c>
      <c r="CW70" s="395">
        <f>CW11</f>
        <v>0</v>
      </c>
      <c r="CY70" s="395">
        <f>CY11</f>
        <v>0</v>
      </c>
      <c r="DA70" s="395">
        <f>DA11</f>
        <v>0</v>
      </c>
      <c r="DC70" s="395">
        <f>DC11</f>
        <v>0</v>
      </c>
      <c r="DE70" s="395">
        <f>DE11</f>
        <v>0</v>
      </c>
      <c r="DG70" s="395">
        <f>DG11</f>
        <v>0</v>
      </c>
      <c r="DI70" s="395">
        <f>DI11</f>
        <v>0</v>
      </c>
      <c r="DK70" s="395">
        <f>DK11</f>
        <v>0</v>
      </c>
      <c r="DM70" s="395">
        <f>DM11</f>
        <v>0</v>
      </c>
      <c r="DO70" s="395">
        <f>DO11</f>
        <v>0</v>
      </c>
      <c r="DQ70" s="395">
        <f>DQ11</f>
        <v>0</v>
      </c>
      <c r="DS70" s="395">
        <f>DS11</f>
        <v>0</v>
      </c>
      <c r="DU70" s="395">
        <f>DU11</f>
        <v>0</v>
      </c>
      <c r="DW70" s="395">
        <f>DW11</f>
        <v>0</v>
      </c>
      <c r="DY70" s="395">
        <f>DY11</f>
        <v>0</v>
      </c>
      <c r="EA70" s="395">
        <f>EA11</f>
        <v>0</v>
      </c>
      <c r="EC70" s="395">
        <f>EC11</f>
        <v>0</v>
      </c>
      <c r="EE70" s="395">
        <f>EE11</f>
        <v>0</v>
      </c>
      <c r="EG70" s="395">
        <f>EG11</f>
        <v>0</v>
      </c>
      <c r="EI70" s="395">
        <f>EI11</f>
        <v>0</v>
      </c>
      <c r="EK70" s="395">
        <f>EK11</f>
        <v>0</v>
      </c>
      <c r="EM70" s="395">
        <f>EM11</f>
        <v>0</v>
      </c>
      <c r="EO70" s="395">
        <f>EO11</f>
        <v>0</v>
      </c>
      <c r="EQ70" s="395">
        <f>EQ11</f>
        <v>0</v>
      </c>
      <c r="ES70" s="395">
        <f>ES11</f>
        <v>0</v>
      </c>
      <c r="EU70" s="395">
        <f>EU11</f>
        <v>0</v>
      </c>
      <c r="EZ70" s="268"/>
      <c r="FA70" s="268"/>
    </row>
    <row r="71" spans="3:157">
      <c r="EZ71" s="268"/>
      <c r="FA71" s="268"/>
    </row>
    <row r="72" spans="3:157">
      <c r="CM72" s="268" t="s">
        <v>381</v>
      </c>
      <c r="CN72" s="873">
        <f>CO68-(CO70/2)</f>
        <v>-2.1749999999999998</v>
      </c>
      <c r="CP72" s="873">
        <f>CQ68-(CQ70/2)</f>
        <v>-2.1749999999999998</v>
      </c>
      <c r="CR72" s="873">
        <f>CS68-(CS70/2)</f>
        <v>-63.679999999993015</v>
      </c>
      <c r="CT72" s="873">
        <f t="shared" ref="CT72" si="56">CU68-(CU70/2)</f>
        <v>41.640000000118746</v>
      </c>
      <c r="CV72" s="873">
        <f t="shared" ref="CV72" si="57">CW68-(CW70/2)</f>
        <v>43.440000000118744</v>
      </c>
      <c r="CX72" s="873">
        <f t="shared" ref="CX72" si="58">CY68-(CY70/2)</f>
        <v>43.440000000118744</v>
      </c>
      <c r="CZ72" s="873">
        <f t="shared" ref="CZ72" si="59">DA68-(DA70/2)</f>
        <v>43.440000000118744</v>
      </c>
      <c r="DB72" s="873">
        <f t="shared" ref="DB72" si="60">DC68-(DC70/2)</f>
        <v>43.440000000118744</v>
      </c>
      <c r="DD72" s="873">
        <f t="shared" ref="DD72" si="61">DE68-(DE70/2)</f>
        <v>43.440000000118744</v>
      </c>
      <c r="DF72" s="873">
        <f t="shared" ref="DF72" si="62">DG68-(DG70/2)</f>
        <v>43.440000000118744</v>
      </c>
      <c r="DH72" s="873">
        <f t="shared" ref="DH72" si="63">DI68-(DI70/2)</f>
        <v>43.440000000118744</v>
      </c>
      <c r="DJ72" s="873">
        <f t="shared" ref="DJ72" si="64">DK68-(DK70/2)</f>
        <v>43.440000000118744</v>
      </c>
      <c r="DL72" s="873">
        <f t="shared" ref="DL72" si="65">DM68-(DM70/2)</f>
        <v>43.440000000118744</v>
      </c>
      <c r="DN72" s="873">
        <f t="shared" ref="DN72" si="66">DO68-(DO70/2)</f>
        <v>43.440000000118744</v>
      </c>
      <c r="DP72" s="873">
        <f t="shared" ref="DP72" si="67">DQ68-(DQ70/2)</f>
        <v>43.440000000118744</v>
      </c>
      <c r="DR72" s="873">
        <f t="shared" ref="DR72" si="68">DS68-(DS70/2)</f>
        <v>43.440000000118744</v>
      </c>
      <c r="DT72" s="873">
        <f t="shared" ref="DT72" si="69">DU68-(DU70/2)</f>
        <v>43.440000000118744</v>
      </c>
      <c r="DV72" s="873">
        <f t="shared" ref="DV72" si="70">DW68-(DW70/2)</f>
        <v>43.440000000118744</v>
      </c>
      <c r="DX72" s="873">
        <f t="shared" ref="DX72" si="71">DY68-(DY70/2)</f>
        <v>43.440000000118744</v>
      </c>
      <c r="DZ72" s="873">
        <f t="shared" ref="DZ72" si="72">EA68-(EA70/2)</f>
        <v>43.440000000118744</v>
      </c>
      <c r="EB72" s="873">
        <f t="shared" ref="EB72" si="73">EC68-(EC70/2)</f>
        <v>43.440000000118744</v>
      </c>
      <c r="ED72" s="873">
        <f t="shared" ref="ED72" si="74">EE68-(EE70/2)</f>
        <v>43.440000000118744</v>
      </c>
      <c r="EF72" s="873">
        <f t="shared" ref="EF72" si="75">EG68-(EG70/2)</f>
        <v>43.440000000118744</v>
      </c>
      <c r="EH72" s="873">
        <f t="shared" ref="EH72" si="76">EI68-(EI70/2)</f>
        <v>43.440000000118744</v>
      </c>
      <c r="EJ72" s="873">
        <f t="shared" ref="EJ72" si="77">EK68-(EK70/2)</f>
        <v>43.440000000118744</v>
      </c>
      <c r="EL72" s="873">
        <f t="shared" ref="EL72" si="78">EM68-(EM70/2)</f>
        <v>43.440000000118744</v>
      </c>
      <c r="EN72" s="873">
        <f t="shared" ref="EN72" si="79">EO68-(EO70/2)</f>
        <v>43.440000000118744</v>
      </c>
      <c r="EP72" s="873">
        <f t="shared" ref="EP72" si="80">EQ68-(EQ70/2)</f>
        <v>43.440000000118744</v>
      </c>
      <c r="ER72" s="873">
        <f>ES68-(ES70/2)</f>
        <v>43.440000000118744</v>
      </c>
      <c r="ET72" s="873">
        <f>EU68-(EU70/2)</f>
        <v>43.440000000118744</v>
      </c>
      <c r="EZ72" s="268"/>
      <c r="FA72" s="268"/>
    </row>
    <row r="73" spans="3:157"/>
    <row r="74" spans="3:157">
      <c r="CM74" s="268" t="s">
        <v>382</v>
      </c>
      <c r="CN74" s="873">
        <f>MIN(CN72:EU72)</f>
        <v>-63.679999999993015</v>
      </c>
    </row>
    <row r="75" spans="3:157"/>
    <row r="76" spans="3:157">
      <c r="CM76" s="268" t="s">
        <v>382</v>
      </c>
      <c r="CN76">
        <f>ABS(CN74)</f>
        <v>63.679999999993015</v>
      </c>
    </row>
    <row r="77" spans="3:157">
      <c r="K77" s="997" t="s">
        <v>383</v>
      </c>
      <c r="L77" s="1005"/>
      <c r="M77" s="997" t="s">
        <v>384</v>
      </c>
      <c r="N77" s="1005"/>
      <c r="O77" s="997" t="s">
        <v>385</v>
      </c>
      <c r="P77" s="997"/>
      <c r="Q77" s="997" t="s">
        <v>386</v>
      </c>
      <c r="R77" s="997"/>
    </row>
    <row r="78" spans="3:157">
      <c r="D78" s="594" t="s">
        <v>387</v>
      </c>
      <c r="E78" s="594" t="s">
        <v>388</v>
      </c>
      <c r="F78" s="594" t="s">
        <v>389</v>
      </c>
      <c r="G78" s="594" t="s">
        <v>390</v>
      </c>
      <c r="H78" s="594" t="s">
        <v>391</v>
      </c>
      <c r="I78" s="594" t="s">
        <v>355</v>
      </c>
      <c r="J78" s="594" t="s">
        <v>359</v>
      </c>
      <c r="K78" s="929" t="s">
        <v>392</v>
      </c>
      <c r="L78" s="929" t="s">
        <v>393</v>
      </c>
      <c r="M78" s="929" t="s">
        <v>394</v>
      </c>
      <c r="N78" s="929" t="s">
        <v>395</v>
      </c>
      <c r="O78" s="929" t="s">
        <v>396</v>
      </c>
      <c r="P78" s="929" t="s">
        <v>397</v>
      </c>
      <c r="Q78" s="929" t="s">
        <v>398</v>
      </c>
      <c r="R78" s="929" t="s">
        <v>399</v>
      </c>
    </row>
    <row r="79" spans="3:157">
      <c r="C79" s="268" t="s">
        <v>362</v>
      </c>
      <c r="D79" s="906">
        <f>D306</f>
        <v>0.11999999993713573</v>
      </c>
      <c r="E79" s="907">
        <f>H306</f>
        <v>270.24000000004889</v>
      </c>
      <c r="F79" s="907">
        <f>M353</f>
        <v>134.39500000001863</v>
      </c>
      <c r="G79" s="906">
        <f>J415</f>
        <v>2.3950000000186265</v>
      </c>
      <c r="H79" s="907">
        <f>Q415</f>
        <v>38.395000000018626</v>
      </c>
      <c r="I79" s="906">
        <f>IF(G7="N/A","N/A",D565)</f>
        <v>5.4800000041723251</v>
      </c>
      <c r="J79" s="395">
        <f>IF(G8="N/A","N/A",Q565)</f>
        <v>1082114.6400000001</v>
      </c>
      <c r="K79" s="907">
        <f>F79-L470</f>
        <v>-2.1800000000512227</v>
      </c>
      <c r="L79" s="907">
        <f>F79+O470</f>
        <v>270.97000000008848</v>
      </c>
      <c r="M79" s="907">
        <f>F79-L531</f>
        <v>-6.1328470752923749</v>
      </c>
      <c r="N79" s="907">
        <f>F79+O531</f>
        <v>274.92284707532963</v>
      </c>
      <c r="O79" s="907">
        <f>D79-M623</f>
        <v>-11.880000000062864</v>
      </c>
      <c r="P79" s="907">
        <f>D79+Q623</f>
        <v>12.119999999937136</v>
      </c>
      <c r="Q79" s="907">
        <f>E79-M668</f>
        <v>258.24000000004889</v>
      </c>
      <c r="R79" s="907">
        <f>E79+Q668</f>
        <v>282.24000000004889</v>
      </c>
    </row>
    <row r="80" spans="3:157">
      <c r="D80" s="594" t="s">
        <v>400</v>
      </c>
      <c r="E80" s="594" t="s">
        <v>400</v>
      </c>
      <c r="F80" s="594" t="s">
        <v>400</v>
      </c>
      <c r="G80" s="594" t="s">
        <v>400</v>
      </c>
      <c r="H80" s="594" t="s">
        <v>400</v>
      </c>
      <c r="I80" s="594" t="s">
        <v>400</v>
      </c>
      <c r="J80" s="824" t="s">
        <v>400</v>
      </c>
      <c r="K80" s="594" t="s">
        <v>400</v>
      </c>
      <c r="L80" s="594" t="s">
        <v>400</v>
      </c>
      <c r="M80" s="594" t="s">
        <v>400</v>
      </c>
      <c r="N80" s="594" t="s">
        <v>400</v>
      </c>
      <c r="O80" s="594" t="s">
        <v>400</v>
      </c>
      <c r="P80" s="594" t="s">
        <v>400</v>
      </c>
      <c r="Q80" s="594" t="s">
        <v>400</v>
      </c>
      <c r="R80" s="594" t="s">
        <v>400</v>
      </c>
    </row>
    <row r="81" spans="3:152">
      <c r="D81" s="902">
        <f>D295</f>
        <v>121251</v>
      </c>
      <c r="E81" s="902">
        <f>D295</f>
        <v>121251</v>
      </c>
      <c r="F81" s="902">
        <f>D295</f>
        <v>121251</v>
      </c>
      <c r="G81" s="902">
        <f>J404</f>
        <v>121259</v>
      </c>
      <c r="H81" s="902">
        <f>M404</f>
        <v>121262</v>
      </c>
      <c r="I81" s="902">
        <f>IF(G7="N/A","N/A",D554)</f>
        <v>211444</v>
      </c>
      <c r="J81" s="902">
        <f>IF(G8="N/A","N/A",M554)</f>
        <v>121273</v>
      </c>
      <c r="K81" s="905">
        <f>F81</f>
        <v>121251</v>
      </c>
      <c r="L81" s="905">
        <f>K81</f>
        <v>121251</v>
      </c>
      <c r="M81" s="905">
        <f>F81</f>
        <v>121251</v>
      </c>
      <c r="N81" s="905">
        <f>D295</f>
        <v>121251</v>
      </c>
      <c r="O81" s="905">
        <f>D81</f>
        <v>121251</v>
      </c>
      <c r="P81" s="905">
        <f>D81</f>
        <v>121251</v>
      </c>
      <c r="Q81" s="905">
        <f>F81</f>
        <v>121251</v>
      </c>
      <c r="R81" s="905">
        <f>F81</f>
        <v>121251</v>
      </c>
      <c r="CT81" s="268"/>
      <c r="CU81" s="268"/>
      <c r="CV81" s="268"/>
      <c r="CW81" s="268"/>
      <c r="CX81" s="268"/>
    </row>
    <row r="82" spans="3:152">
      <c r="D82" s="268"/>
      <c r="E82"/>
      <c r="F82"/>
      <c r="G82"/>
      <c r="H82"/>
      <c r="I82"/>
      <c r="J82"/>
      <c r="K82"/>
      <c r="L82"/>
      <c r="M82"/>
      <c r="N82"/>
      <c r="O82"/>
      <c r="P82"/>
      <c r="Q82"/>
      <c r="R82"/>
      <c r="AD82" s="268"/>
      <c r="AE82" s="268"/>
      <c r="AF82" s="268"/>
      <c r="AG82" s="268"/>
      <c r="AH82" s="268"/>
      <c r="AI82" s="292"/>
      <c r="CN82" t="s">
        <v>380</v>
      </c>
      <c r="CO82" s="395">
        <f>CO70</f>
        <v>4.3499999999999996</v>
      </c>
      <c r="CQ82" s="395">
        <f>CQ70</f>
        <v>4.3499999999999996</v>
      </c>
      <c r="CS82" s="395">
        <f t="shared" ref="CS82" si="81">CS70</f>
        <v>208</v>
      </c>
      <c r="CU82" s="395">
        <f t="shared" ref="CU82" si="82">CU70</f>
        <v>3.6</v>
      </c>
      <c r="CW82" s="395">
        <f t="shared" ref="CW82" si="83">CW70</f>
        <v>0</v>
      </c>
      <c r="CY82" s="395">
        <f t="shared" ref="CY82" si="84">CY70</f>
        <v>0</v>
      </c>
      <c r="DA82" s="395">
        <f t="shared" ref="DA82" si="85">DA70</f>
        <v>0</v>
      </c>
      <c r="DC82" s="395">
        <f t="shared" ref="DC82" si="86">DC70</f>
        <v>0</v>
      </c>
      <c r="DE82" s="395">
        <f t="shared" ref="DE82" si="87">DE70</f>
        <v>0</v>
      </c>
      <c r="DG82" s="395">
        <f t="shared" ref="DG82" si="88">DG70</f>
        <v>0</v>
      </c>
      <c r="DI82" s="395">
        <f t="shared" ref="DI82" si="89">DI70</f>
        <v>0</v>
      </c>
      <c r="DK82" s="395">
        <f t="shared" ref="DK82" si="90">DK70</f>
        <v>0</v>
      </c>
      <c r="DM82" s="395">
        <f t="shared" ref="DM82" si="91">DM70</f>
        <v>0</v>
      </c>
      <c r="DO82" s="395">
        <f t="shared" ref="DO82" si="92">DO70</f>
        <v>0</v>
      </c>
      <c r="DQ82" s="395">
        <f t="shared" ref="DQ82" si="93">DQ70</f>
        <v>0</v>
      </c>
      <c r="DS82" s="395">
        <f t="shared" ref="DS82" si="94">DS70</f>
        <v>0</v>
      </c>
      <c r="DU82" s="395">
        <f t="shared" ref="DU82" si="95">DU70</f>
        <v>0</v>
      </c>
      <c r="DW82" s="395">
        <f t="shared" ref="DW82" si="96">DW70</f>
        <v>0</v>
      </c>
      <c r="DY82" s="395">
        <f t="shared" ref="DY82" si="97">DY70</f>
        <v>0</v>
      </c>
      <c r="EA82" s="395">
        <f t="shared" ref="EA82" si="98">EA70</f>
        <v>0</v>
      </c>
      <c r="EC82" s="395">
        <f t="shared" ref="EC82" si="99">EC70</f>
        <v>0</v>
      </c>
      <c r="EE82" s="395">
        <f t="shared" ref="EE82" si="100">EE70</f>
        <v>0</v>
      </c>
      <c r="EG82" s="395">
        <f t="shared" ref="EG82" si="101">EG70</f>
        <v>0</v>
      </c>
      <c r="EI82" s="395">
        <f t="shared" ref="EI82" si="102">EI70</f>
        <v>0</v>
      </c>
      <c r="EK82" s="395">
        <f t="shared" ref="EK82" si="103">EK70</f>
        <v>0</v>
      </c>
      <c r="EM82" s="395">
        <f t="shared" ref="EM82" si="104">EM70</f>
        <v>0</v>
      </c>
      <c r="EO82" s="395">
        <f t="shared" ref="EO82" si="105">EO70</f>
        <v>0</v>
      </c>
      <c r="EQ82" s="395">
        <f t="shared" ref="EQ82" si="106">EQ70</f>
        <v>0</v>
      </c>
      <c r="ES82" s="395">
        <f>ES70</f>
        <v>0</v>
      </c>
      <c r="EU82" s="395">
        <f t="shared" ref="EU82" si="107">EU70</f>
        <v>0</v>
      </c>
    </row>
    <row r="83" spans="3:152">
      <c r="D83" s="594" t="s">
        <v>401</v>
      </c>
      <c r="E83" s="904">
        <f>MIN(D81:R81)</f>
        <v>121251</v>
      </c>
      <c r="F83"/>
      <c r="G83"/>
      <c r="H83"/>
      <c r="I83"/>
      <c r="J83"/>
      <c r="K83"/>
      <c r="L83"/>
      <c r="M83"/>
      <c r="N83"/>
      <c r="O83"/>
      <c r="P83"/>
      <c r="Q83"/>
      <c r="R83"/>
      <c r="AD83" s="268"/>
      <c r="AE83" s="268"/>
      <c r="AF83" s="268"/>
      <c r="AG83" s="268"/>
      <c r="AH83" s="268"/>
      <c r="AI83" s="292"/>
      <c r="CT83" s="268"/>
      <c r="CU83" s="268"/>
      <c r="CV83" s="268"/>
      <c r="CW83" s="268"/>
      <c r="CX83" s="268"/>
    </row>
    <row r="84" spans="3:152">
      <c r="D84" s="268"/>
      <c r="E84"/>
      <c r="F84"/>
      <c r="G84"/>
      <c r="H84"/>
      <c r="I84"/>
      <c r="J84"/>
      <c r="K84"/>
      <c r="L84"/>
      <c r="M84"/>
      <c r="N84"/>
      <c r="O84"/>
      <c r="P84"/>
      <c r="Q84"/>
      <c r="R84"/>
      <c r="AD84" s="268"/>
      <c r="AE84" s="268"/>
      <c r="AF84" s="268"/>
      <c r="AG84" s="268"/>
      <c r="AH84" s="268"/>
      <c r="AI84" s="292"/>
      <c r="CO84" t="s">
        <v>402</v>
      </c>
      <c r="CP84" s="395">
        <f>CO68+(CO82/2)</f>
        <v>2.1749999999999998</v>
      </c>
      <c r="CR84" s="395">
        <f>CQ68+(CQ82/2)</f>
        <v>2.1749999999999998</v>
      </c>
      <c r="CT84" s="395">
        <f t="shared" ref="CT84" si="108">CS68+(CS82/2)</f>
        <v>144.32000000000698</v>
      </c>
      <c r="CV84" s="395">
        <f t="shared" ref="CV84" si="109">CU68+(CU82/2)</f>
        <v>45.240000000118741</v>
      </c>
      <c r="CX84" s="395">
        <f t="shared" ref="CX84" si="110">CW68+(CW82/2)</f>
        <v>43.440000000118744</v>
      </c>
      <c r="CZ84" s="395">
        <f t="shared" ref="CZ84" si="111">CY68+(CY82/2)</f>
        <v>43.440000000118744</v>
      </c>
      <c r="DB84" s="395">
        <f t="shared" ref="DB84" si="112">DA68+(DA82/2)</f>
        <v>43.440000000118744</v>
      </c>
      <c r="DD84" s="395">
        <f t="shared" ref="DD84" si="113">DC68+(DC82/2)</f>
        <v>43.440000000118744</v>
      </c>
      <c r="DF84" s="395">
        <f t="shared" ref="DF84" si="114">DE68+(DE82/2)</f>
        <v>43.440000000118744</v>
      </c>
      <c r="DH84" s="395">
        <f t="shared" ref="DH84" si="115">DG68+(DG82/2)</f>
        <v>43.440000000118744</v>
      </c>
      <c r="DJ84" s="395">
        <f t="shared" ref="DJ84" si="116">DI68+(DI82/2)</f>
        <v>43.440000000118744</v>
      </c>
      <c r="DL84" s="395">
        <f t="shared" ref="DL84" si="117">DK68+(DK82/2)</f>
        <v>43.440000000118744</v>
      </c>
      <c r="DN84" s="395">
        <f t="shared" ref="DN84" si="118">DM68+(DM82/2)</f>
        <v>43.440000000118744</v>
      </c>
      <c r="DP84" s="395">
        <f t="shared" ref="DP84" si="119">DO68+(DO82/2)</f>
        <v>43.440000000118744</v>
      </c>
      <c r="DR84" s="395">
        <f t="shared" ref="DR84" si="120">DQ68+(DQ82/2)</f>
        <v>43.440000000118744</v>
      </c>
      <c r="DT84" s="395">
        <f t="shared" ref="DT84" si="121">DS68+(DS82/2)</f>
        <v>43.440000000118744</v>
      </c>
      <c r="DV84" s="395">
        <f t="shared" ref="DV84" si="122">DU68+(DU82/2)</f>
        <v>43.440000000118744</v>
      </c>
      <c r="DX84" s="395">
        <f t="shared" ref="DX84" si="123">DW68+(DW82/2)</f>
        <v>43.440000000118744</v>
      </c>
      <c r="DZ84" s="395">
        <f t="shared" ref="DZ84" si="124">DY68+(DY82/2)</f>
        <v>43.440000000118744</v>
      </c>
      <c r="EB84" s="395">
        <f t="shared" ref="EB84" si="125">EA68+(EA82/2)</f>
        <v>43.440000000118744</v>
      </c>
      <c r="ED84" s="395">
        <f t="shared" ref="ED84" si="126">EC68+(EC82/2)</f>
        <v>43.440000000118744</v>
      </c>
      <c r="EF84" s="395">
        <f t="shared" ref="EF84" si="127">EE68+(EE82/2)</f>
        <v>43.440000000118744</v>
      </c>
      <c r="EH84" s="395">
        <f t="shared" ref="EH84" si="128">EG68+(EG82/2)</f>
        <v>43.440000000118744</v>
      </c>
      <c r="EJ84" s="395">
        <f t="shared" ref="EJ84" si="129">EI68+(EI82/2)</f>
        <v>43.440000000118744</v>
      </c>
      <c r="EL84" s="395">
        <f t="shared" ref="EL84" si="130">EK68+(EK82/2)</f>
        <v>43.440000000118744</v>
      </c>
      <c r="EN84" s="395">
        <f t="shared" ref="EN84" si="131">EM68+(EM82/2)</f>
        <v>43.440000000118744</v>
      </c>
      <c r="EP84" s="395">
        <f t="shared" ref="EP84" si="132">EO68+(EO82/2)</f>
        <v>43.440000000118744</v>
      </c>
      <c r="ER84" s="395">
        <f t="shared" ref="ER84" si="133">EQ68+(EQ82/2)</f>
        <v>43.440000000118744</v>
      </c>
      <c r="ET84" s="395">
        <f t="shared" ref="ET84" si="134">ES68+(ES82/2)</f>
        <v>43.440000000118744</v>
      </c>
      <c r="EV84" s="395">
        <f t="shared" ref="EV84" si="135">EU68+(EU82/2)</f>
        <v>43.440000000118744</v>
      </c>
    </row>
    <row r="85" spans="3:152">
      <c r="C85" s="268" t="s">
        <v>75</v>
      </c>
      <c r="D85" s="902">
        <f>D81-$E$83</f>
        <v>0</v>
      </c>
      <c r="E85" s="908">
        <f>E81-$E$83</f>
        <v>0</v>
      </c>
      <c r="F85" s="902">
        <f>F81-$E$83</f>
        <v>0</v>
      </c>
      <c r="G85" s="926">
        <f>G81-$E$83</f>
        <v>8</v>
      </c>
      <c r="H85" s="902">
        <f>H81-$E$83</f>
        <v>11</v>
      </c>
      <c r="I85" s="902">
        <f>IF(I81="N/A","N/A",I81-$E$83)</f>
        <v>90193</v>
      </c>
      <c r="J85" s="902">
        <f>IF(J81="N/A","N/A",J81-$E$83)</f>
        <v>22</v>
      </c>
      <c r="K85" s="902">
        <f t="shared" ref="K85:R85" si="136">K81-$E$83</f>
        <v>0</v>
      </c>
      <c r="L85" s="902">
        <f t="shared" si="136"/>
        <v>0</v>
      </c>
      <c r="M85" s="902">
        <f t="shared" si="136"/>
        <v>0</v>
      </c>
      <c r="N85" s="902">
        <f t="shared" si="136"/>
        <v>0</v>
      </c>
      <c r="O85" s="902">
        <f t="shared" si="136"/>
        <v>0</v>
      </c>
      <c r="P85" s="902">
        <f t="shared" si="136"/>
        <v>0</v>
      </c>
      <c r="Q85" s="902">
        <f t="shared" si="136"/>
        <v>0</v>
      </c>
      <c r="R85" s="902">
        <f t="shared" si="136"/>
        <v>0</v>
      </c>
      <c r="AD85" s="268"/>
      <c r="AE85" s="268"/>
      <c r="AF85" s="268"/>
      <c r="AG85" s="268"/>
      <c r="AH85" s="268"/>
      <c r="AI85" s="292"/>
      <c r="CT85" s="268"/>
      <c r="CU85" s="268"/>
      <c r="CV85" s="268"/>
      <c r="CW85" s="268"/>
      <c r="CX85" s="268"/>
      <c r="CY85" s="292"/>
    </row>
    <row r="86" spans="3:152">
      <c r="D86" s="268"/>
      <c r="E86"/>
      <c r="F86"/>
      <c r="G86"/>
      <c r="H86"/>
      <c r="I86"/>
      <c r="J86"/>
      <c r="K86"/>
      <c r="L86"/>
      <c r="M86"/>
      <c r="N86"/>
      <c r="O86"/>
      <c r="P86"/>
      <c r="Q86"/>
      <c r="R86"/>
      <c r="AD86" s="268"/>
      <c r="AE86" s="268"/>
      <c r="AF86" s="268"/>
      <c r="AG86" s="268"/>
      <c r="AH86" s="268"/>
      <c r="AI86" s="292"/>
      <c r="CO86" t="s">
        <v>403</v>
      </c>
      <c r="CP86">
        <f>MAX(CP84:EV84)</f>
        <v>144.32000000000698</v>
      </c>
      <c r="CT86" s="268"/>
      <c r="CU86" s="268"/>
      <c r="CV86" s="268"/>
      <c r="CW86" s="268"/>
      <c r="CX86" s="268"/>
      <c r="CY86" s="292"/>
    </row>
    <row r="87" spans="3:152">
      <c r="C87" s="268" t="s">
        <v>404</v>
      </c>
      <c r="D87" s="903">
        <f>D85*12</f>
        <v>0</v>
      </c>
      <c r="E87" s="903">
        <f>E85*12</f>
        <v>0</v>
      </c>
      <c r="F87" s="903">
        <f t="shared" ref="F87:H87" si="137">F85*12</f>
        <v>0</v>
      </c>
      <c r="G87" s="903">
        <f t="shared" si="137"/>
        <v>96</v>
      </c>
      <c r="H87" s="903">
        <f t="shared" si="137"/>
        <v>132</v>
      </c>
      <c r="I87" s="903">
        <f>IF(I81="N/A","N/A",I85*12)</f>
        <v>1082316</v>
      </c>
      <c r="J87" s="903">
        <f>IF(J81="N/A","N/A",J85*12)</f>
        <v>264</v>
      </c>
      <c r="K87" s="903">
        <f t="shared" ref="K87:L87" si="138">K85*12</f>
        <v>0</v>
      </c>
      <c r="L87" s="903">
        <f t="shared" si="138"/>
        <v>0</v>
      </c>
      <c r="M87" s="903">
        <f t="shared" ref="M87:N87" si="139">M85*12</f>
        <v>0</v>
      </c>
      <c r="N87" s="903">
        <f t="shared" si="139"/>
        <v>0</v>
      </c>
      <c r="O87" s="903">
        <f t="shared" ref="O87:P87" si="140">O85*12</f>
        <v>0</v>
      </c>
      <c r="P87" s="903">
        <f t="shared" si="140"/>
        <v>0</v>
      </c>
      <c r="Q87" s="903">
        <f t="shared" ref="Q87:R87" si="141">Q85*12</f>
        <v>0</v>
      </c>
      <c r="R87" s="903">
        <f t="shared" si="141"/>
        <v>0</v>
      </c>
      <c r="AD87" s="268"/>
      <c r="AE87" s="268"/>
      <c r="AF87" s="268"/>
      <c r="AG87" s="268"/>
      <c r="AH87" s="268"/>
      <c r="AI87" s="292"/>
      <c r="CT87" s="268"/>
      <c r="CU87" s="268"/>
      <c r="CV87" s="268"/>
      <c r="CW87" s="268"/>
      <c r="CX87" s="268"/>
      <c r="CY87" s="292"/>
    </row>
    <row r="88" spans="3:152">
      <c r="D88" s="268"/>
      <c r="E88"/>
      <c r="F88"/>
      <c r="G88"/>
      <c r="H88"/>
      <c r="I88"/>
      <c r="J88"/>
      <c r="K88"/>
      <c r="L88"/>
      <c r="M88"/>
      <c r="N88"/>
      <c r="O88"/>
      <c r="P88"/>
      <c r="Q88"/>
      <c r="R88"/>
      <c r="S88" s="268"/>
      <c r="T88" s="268"/>
      <c r="U88" s="268"/>
      <c r="V88" s="268"/>
      <c r="W88" s="268"/>
      <c r="X88" s="268"/>
      <c r="Y88" s="268"/>
      <c r="AD88" s="268"/>
      <c r="AE88" s="268"/>
      <c r="AF88" s="268"/>
      <c r="AG88" s="268"/>
      <c r="AH88" s="268"/>
      <c r="AI88" s="292"/>
    </row>
    <row r="89" spans="3:152">
      <c r="C89" s="268" t="s">
        <v>405</v>
      </c>
      <c r="D89" s="903">
        <f>D87+D79</f>
        <v>0.11999999993713573</v>
      </c>
      <c r="E89" s="903">
        <f t="shared" ref="E89:H89" si="142">E87+E79</f>
        <v>270.24000000004889</v>
      </c>
      <c r="F89" s="903">
        <f t="shared" si="142"/>
        <v>134.39500000001863</v>
      </c>
      <c r="G89" s="903">
        <f>G87+G79</f>
        <v>98.395000000018626</v>
      </c>
      <c r="H89" s="903">
        <f t="shared" si="142"/>
        <v>170.39500000001863</v>
      </c>
      <c r="I89" s="923">
        <f>IF(I81="N/A","N/A",I87+I79)</f>
        <v>1082321.4800000042</v>
      </c>
      <c r="J89" s="922">
        <f>IF(J81="N/A","N/A",J87+J79)</f>
        <v>1082378.6400000001</v>
      </c>
      <c r="K89" s="903">
        <f t="shared" ref="K89:L89" si="143">K87+K79</f>
        <v>-2.1800000000512227</v>
      </c>
      <c r="L89" s="903">
        <f t="shared" si="143"/>
        <v>270.97000000008848</v>
      </c>
      <c r="M89" s="903">
        <f t="shared" ref="M89:N89" si="144">M87+M79</f>
        <v>-6.1328470752923749</v>
      </c>
      <c r="N89" s="903">
        <f t="shared" si="144"/>
        <v>274.92284707532963</v>
      </c>
      <c r="O89" s="903">
        <f t="shared" ref="O89:P89" si="145">O87+O79</f>
        <v>-11.880000000062864</v>
      </c>
      <c r="P89" s="903">
        <f t="shared" si="145"/>
        <v>12.119999999937136</v>
      </c>
      <c r="Q89" s="903">
        <f t="shared" ref="Q89:R89" si="146">Q87+Q79</f>
        <v>258.24000000004889</v>
      </c>
      <c r="R89" s="903">
        <f t="shared" si="146"/>
        <v>282.24000000004889</v>
      </c>
      <c r="AD89" s="268"/>
      <c r="AE89" s="268"/>
      <c r="AF89" s="268"/>
      <c r="AG89" s="268"/>
      <c r="AH89" s="268"/>
      <c r="AI89" s="292"/>
    </row>
    <row r="90" spans="3:152">
      <c r="D90"/>
      <c r="E90"/>
      <c r="F90"/>
      <c r="G90"/>
      <c r="H90"/>
      <c r="I90"/>
      <c r="J90"/>
      <c r="K90"/>
      <c r="L90"/>
      <c r="M90"/>
      <c r="N90"/>
      <c r="O90"/>
      <c r="P90"/>
      <c r="Q90"/>
      <c r="R90"/>
      <c r="AE90" s="268"/>
      <c r="AF90" s="268"/>
      <c r="AG90" s="268"/>
      <c r="AH90" s="268"/>
      <c r="AI90" s="292"/>
    </row>
    <row r="91" spans="3:152">
      <c r="D91" s="594" t="s">
        <v>387</v>
      </c>
      <c r="E91" s="594" t="s">
        <v>388</v>
      </c>
      <c r="F91" s="594" t="s">
        <v>406</v>
      </c>
      <c r="G91" s="594" t="s">
        <v>407</v>
      </c>
      <c r="H91" s="594" t="s">
        <v>408</v>
      </c>
      <c r="I91" s="594" t="s">
        <v>409</v>
      </c>
      <c r="J91" s="594" t="s">
        <v>410</v>
      </c>
      <c r="K91" s="594" t="s">
        <v>411</v>
      </c>
      <c r="L91" s="594" t="s">
        <v>412</v>
      </c>
      <c r="M91" s="594" t="s">
        <v>413</v>
      </c>
      <c r="N91" s="594" t="s">
        <v>414</v>
      </c>
      <c r="O91" s="594" t="s">
        <v>415</v>
      </c>
      <c r="P91" s="594" t="s">
        <v>416</v>
      </c>
      <c r="Q91" s="594" t="s">
        <v>417</v>
      </c>
      <c r="R91" s="594" t="s">
        <v>418</v>
      </c>
      <c r="AE91" s="268"/>
      <c r="AF91" s="268"/>
      <c r="AG91" s="268"/>
      <c r="AH91" s="268"/>
      <c r="AI91" s="292"/>
    </row>
    <row r="92" spans="3:152">
      <c r="C92" s="268" t="s">
        <v>362</v>
      </c>
      <c r="D92" s="906">
        <f>D89</f>
        <v>0.11999999993713573</v>
      </c>
      <c r="E92" s="906">
        <f t="shared" ref="E92:J92" si="147">E89</f>
        <v>270.24000000004889</v>
      </c>
      <c r="F92" s="906">
        <f>F89</f>
        <v>134.39500000001863</v>
      </c>
      <c r="G92" s="906">
        <f t="shared" si="147"/>
        <v>98.395000000018626</v>
      </c>
      <c r="H92" s="906">
        <f t="shared" si="147"/>
        <v>170.39500000001863</v>
      </c>
      <c r="I92" s="906">
        <f t="shared" si="147"/>
        <v>1082321.4800000042</v>
      </c>
      <c r="J92" s="906">
        <f t="shared" si="147"/>
        <v>1082378.6400000001</v>
      </c>
      <c r="K92" s="906">
        <f t="shared" ref="K92:L92" si="148">K89</f>
        <v>-2.1800000000512227</v>
      </c>
      <c r="L92" s="906">
        <f t="shared" si="148"/>
        <v>270.97000000008848</v>
      </c>
      <c r="M92" s="906">
        <f t="shared" ref="M92:N92" si="149">M89</f>
        <v>-6.1328470752923749</v>
      </c>
      <c r="N92" s="906">
        <f t="shared" si="149"/>
        <v>274.92284707532963</v>
      </c>
      <c r="O92" s="906">
        <f>O89</f>
        <v>-11.880000000062864</v>
      </c>
      <c r="P92" s="906">
        <f t="shared" ref="P92:R92" si="150">P89</f>
        <v>12.119999999937136</v>
      </c>
      <c r="Q92" s="906">
        <f>Q89</f>
        <v>258.24000000004889</v>
      </c>
      <c r="R92" s="906">
        <f t="shared" si="150"/>
        <v>282.24000000004889</v>
      </c>
      <c r="AE92" s="268"/>
      <c r="AF92" s="268"/>
      <c r="AG92" s="268"/>
      <c r="AH92" s="268"/>
      <c r="AI92" s="292"/>
    </row>
    <row r="93" spans="3:152">
      <c r="D93" s="594" t="s">
        <v>400</v>
      </c>
      <c r="E93" s="594" t="s">
        <v>400</v>
      </c>
      <c r="F93" s="594" t="s">
        <v>400</v>
      </c>
      <c r="G93" s="594" t="s">
        <v>400</v>
      </c>
      <c r="H93" s="594" t="s">
        <v>400</v>
      </c>
      <c r="I93" s="594" t="s">
        <v>400</v>
      </c>
      <c r="J93" s="594" t="s">
        <v>400</v>
      </c>
      <c r="K93" s="594" t="s">
        <v>400</v>
      </c>
      <c r="L93" s="594" t="s">
        <v>400</v>
      </c>
      <c r="M93" s="594" t="s">
        <v>400</v>
      </c>
      <c r="N93" s="594" t="s">
        <v>400</v>
      </c>
      <c r="O93" s="594" t="s">
        <v>400</v>
      </c>
      <c r="P93" s="594" t="s">
        <v>400</v>
      </c>
      <c r="Q93" s="594" t="s">
        <v>400</v>
      </c>
      <c r="R93" s="594" t="s">
        <v>400</v>
      </c>
      <c r="AE93" s="268"/>
      <c r="AF93" s="268"/>
      <c r="AG93" s="268"/>
      <c r="AH93" s="268"/>
      <c r="AI93" s="292"/>
    </row>
    <row r="94" spans="3:152">
      <c r="D94" s="902">
        <f t="shared" ref="D94:R94" si="151">$E$83</f>
        <v>121251</v>
      </c>
      <c r="E94" s="902">
        <f t="shared" si="151"/>
        <v>121251</v>
      </c>
      <c r="F94" s="902">
        <f t="shared" si="151"/>
        <v>121251</v>
      </c>
      <c r="G94" s="902">
        <f t="shared" si="151"/>
        <v>121251</v>
      </c>
      <c r="H94" s="902">
        <f t="shared" si="151"/>
        <v>121251</v>
      </c>
      <c r="I94" s="902">
        <f t="shared" si="151"/>
        <v>121251</v>
      </c>
      <c r="J94" s="902">
        <f t="shared" si="151"/>
        <v>121251</v>
      </c>
      <c r="K94" s="902">
        <f t="shared" si="151"/>
        <v>121251</v>
      </c>
      <c r="L94" s="902">
        <f t="shared" si="151"/>
        <v>121251</v>
      </c>
      <c r="M94" s="902">
        <f t="shared" si="151"/>
        <v>121251</v>
      </c>
      <c r="N94" s="902">
        <f t="shared" si="151"/>
        <v>121251</v>
      </c>
      <c r="O94" s="902">
        <f t="shared" si="151"/>
        <v>121251</v>
      </c>
      <c r="P94" s="902">
        <f t="shared" si="151"/>
        <v>121251</v>
      </c>
      <c r="Q94" s="902">
        <f t="shared" si="151"/>
        <v>121251</v>
      </c>
      <c r="R94" s="902">
        <f t="shared" si="151"/>
        <v>121251</v>
      </c>
      <c r="AE94" s="268"/>
      <c r="AF94" s="268"/>
      <c r="AG94" s="268"/>
      <c r="AH94" s="268"/>
      <c r="AI94" s="292"/>
    </row>
    <row r="95" spans="3:152">
      <c r="C95"/>
      <c r="D95" s="292">
        <f>G116</f>
        <v>121251.01</v>
      </c>
      <c r="E95" s="320">
        <f>H116</f>
        <v>121273.52</v>
      </c>
      <c r="F95" s="320">
        <f>J116</f>
        <v>121262.19958333333</v>
      </c>
      <c r="G95" s="320">
        <f>L116</f>
        <v>121259.19958333333</v>
      </c>
      <c r="H95" s="320">
        <f>M116</f>
        <v>121265.19958333333</v>
      </c>
      <c r="I95" s="320">
        <f>O116</f>
        <v>211444.45666666701</v>
      </c>
      <c r="J95" s="320">
        <f>P116</f>
        <v>211449.22</v>
      </c>
      <c r="K95" s="320">
        <f>R116</f>
        <v>121250.81833333333</v>
      </c>
      <c r="L95" s="320">
        <f>S116</f>
        <v>121273.58083333334</v>
      </c>
      <c r="M95" s="320">
        <f>U116</f>
        <v>121250.48892941039</v>
      </c>
      <c r="N95" s="320">
        <f>V116</f>
        <v>121273.91023725628</v>
      </c>
      <c r="O95" s="320">
        <f>X116</f>
        <v>121250.01</v>
      </c>
      <c r="P95" s="320">
        <f>Y116</f>
        <v>121252.01</v>
      </c>
      <c r="Q95" s="320">
        <f>AA116</f>
        <v>121272.52</v>
      </c>
      <c r="R95" s="320">
        <f>AB116</f>
        <v>121274.52</v>
      </c>
      <c r="AE95" s="268"/>
      <c r="AF95" s="268"/>
      <c r="AG95" s="268"/>
      <c r="AH95" s="268"/>
      <c r="AI95" s="292"/>
    </row>
    <row r="97" spans="3:51">
      <c r="D97" s="268" t="str" cm="1">
        <f t="array" ref="D97">_xlfn.LET(
_xlpm.v,$D$92:$R$92,
_xlpm.p,_xlfn.SEQUENCE(,COLUMNS(_xlpm.v)),
_xlpm.o,_xlfn.SORTBY(_xlpm.p,_xlpm.v,1,_xlpm.p,1),
INDEX($D$91:$R$91,1,INDEX(_xlpm.o,1,COLUMNS($T:T)))
)</f>
        <v>WC 12 - Start of repair1</v>
      </c>
      <c r="E97" s="268" t="str" cm="1">
        <f t="array" ref="E97">_xlfn.LET(
_xlpm.v,$D$92:$R$92,
_xlpm.p,_xlfn.SEQUENCE(,COLUMNS(_xlpm.v)),
_xlpm.o,_xlfn.SORTBY(_xlpm.p,_xlpm.v,1,_xlpm.p,1),
INDEX($D$91:$R$91,1,INDEX(_xlpm.o,1,COLUMNS($T:U)))
)</f>
        <v>WC 10 - Start of L_over1</v>
      </c>
      <c r="F97" s="268" t="str" cm="1">
        <f t="array" ref="F97">_xlfn.LET(
_xlpm.v,$D$92:$R$92,
_xlpm.p,_xlfn.SEQUENCE(,COLUMNS(_xlpm.v)),
_xlpm.o,_xlfn.SORTBY(_xlpm.p,_xlpm.v,1,_xlpm.p,1),
INDEX($D$91:$R$91,1,INDEX(_xlpm.o,1,COLUMNS($T:V)))
)</f>
        <v>End of L_over1 - WC 8 - Start of Defect</v>
      </c>
      <c r="G97" s="268" t="str" cm="1">
        <f t="array" ref="G97">_xlfn.LET(
_xlpm.v,$D$92:$R$92,
_xlpm.p,_xlfn.SEQUENCE(,COLUMNS(_xlpm.v)),
_xlpm.o,_xlfn.SORTBY(_xlpm.p,_xlpm.v,1,_xlpm.p,1),
INDEX($D$91:$R$91,1,INDEX(_xlpm.o,1,COLUMNS($T:W)))
)</f>
        <v>WC 1</v>
      </c>
      <c r="H97" s="268" t="str" cm="1">
        <f t="array" ref="H97">_xlfn.LET(
_xlpm.v,$D$92:$R$92,
_xlpm.p,_xlfn.SEQUENCE(,COLUMNS(_xlpm.v)),
_xlpm.o,_xlfn.SORTBY(_xlpm.p,_xlpm.v,1,_xlpm.p,1),
INDEX($D$91:$R$91,1,INDEX(_xlpm.o,1,COLUMNS($T:X)))
)</f>
        <v>End of repair1 - WC 13</v>
      </c>
      <c r="I97" s="268" t="str" cm="1">
        <f t="array" ref="I97">_xlfn.LET(
_xlpm.v,$D$92:$R$92,
_xlpm.p,_xlfn.SEQUENCE(,COLUMNS(_xlpm.v)),
_xlpm.o,_xlfn.SORTBY(_xlpm.p,_xlpm.v,1,_xlpm.p,1),
INDEX($D$91:$R$91,1,INDEX(_xlpm.o,1,COLUMNS($T:Y)))
)</f>
        <v>WC 4 - Start Wrap</v>
      </c>
      <c r="J97" s="268" t="str" cm="1">
        <f t="array" ref="J97">_xlfn.LET(
_xlpm.v,$D$92:$R$92,
_xlpm.p,_xlfn.SEQUENCE(,COLUMNS(_xlpm.v)),
_xlpm.o,_xlfn.SORTBY(_xlpm.p,_xlpm.v,1,_xlpm.p,1),
INDEX($D$91:$R$91,1,INDEX(_xlpm.o,1,COLUMNS($T:Z)))
)</f>
        <v>WC 3 - Middle of Wrap</v>
      </c>
      <c r="K97" s="268" t="str" cm="1">
        <f t="array" ref="K97">_xlfn.LET(
_xlpm.v,$D$92:$R$92,
_xlpm.p,_xlfn.SEQUENCE(,COLUMNS(_xlpm.v)),
_xlpm.o,_xlfn.SORTBY(_xlpm.p,_xlpm.v,1,_xlpm.p,1),
INDEX($D$91:$R$91,1,INDEX(_xlpm.o,1,COLUMNS($T:AA)))
)</f>
        <v>WC 5 - End Wrap</v>
      </c>
      <c r="L97" s="268" t="str" cm="1">
        <f t="array" ref="L97">_xlfn.LET(
_xlpm.v,$D$92:$R$92,
_xlpm.p,_xlfn.SEQUENCE(,COLUMNS(_xlpm.v)),
_xlpm.o,_xlfn.SORTBY(_xlpm.p,_xlpm.v,1,_xlpm.p,1),
INDEX($D$91:$R$91,1,INDEX(_xlpm.o,1,COLUMNS($T:AB)))
)</f>
        <v>WC 14 - Start of repair2</v>
      </c>
      <c r="M97" s="268" t="str" cm="1">
        <f t="array" ref="M97">_xlfn.LET(
_xlpm.v,$D$92:$R$92,
_xlpm.p,_xlfn.SEQUENCE(,COLUMNS(_xlpm.v)),
_xlpm.o,_xlfn.SORTBY(_xlpm.p,_xlpm.v,1,_xlpm.p,1),
INDEX($D$91:$R$91,1,INDEX(_xlpm.o,1,COLUMNS($T:AC)))
)</f>
        <v>WC 2</v>
      </c>
      <c r="N97" s="268" t="str" cm="1">
        <f t="array" ref="N97">_xlfn.LET(
_xlpm.v,$D$92:$R$92,
_xlpm.p,_xlfn.SEQUENCE(,COLUMNS(_xlpm.v)),
_xlpm.o,_xlfn.SORTBY(_xlpm.p,_xlpm.v,1,_xlpm.p,1),
INDEX($D$91:$R$91,1,INDEX(_xlpm.o,1,COLUMNS($T:AD)))
)</f>
        <v>End of Defect - WC 9 - Start L_over2</v>
      </c>
      <c r="O97" s="268" t="str" cm="1">
        <f t="array" ref="O97">_xlfn.LET(
_xlpm.v,$D$92:$R$92,
_xlpm.p,_xlfn.SEQUENCE(,COLUMNS(_xlpm.v)),
_xlpm.o,_xlfn.SORTBY(_xlpm.p,_xlpm.v,1,_xlpm.p,1),
INDEX($D$91:$R$91,1,INDEX(_xlpm.o,1,COLUMNS($T:AE)))
)</f>
        <v>End of L_over2 - WC 11</v>
      </c>
      <c r="P97" s="268" t="str" cm="1">
        <f t="array" ref="P97">_xlfn.LET(
_xlpm.v,$D$92:$R$92,
_xlpm.p,_xlfn.SEQUENCE(,COLUMNS(_xlpm.v)),
_xlpm.o,_xlfn.SORTBY(_xlpm.p,_xlpm.v,1,_xlpm.p,1),
INDEX($D$91:$R$91,1,INDEX(_xlpm.o,1,COLUMNS($T:AF)))
)</f>
        <v>End of repair2 - WC 15</v>
      </c>
      <c r="Q97" s="268" t="str" cm="1">
        <f t="array" ref="Q97">_xlfn.LET(
_xlpm.v,$D$92:$R$92,
_xlpm.p,_xlfn.SEQUENCE(,COLUMNS(_xlpm.v)),
_xlpm.o,_xlfn.SORTBY(_xlpm.p,_xlpm.v,1,_xlpm.p,1),
INDEX($D$91:$R$91,1,INDEX(_xlpm.o,1,COLUMNS($T:AG)))
)</f>
        <v>WC 6 - Left Limit</v>
      </c>
      <c r="R97" s="268" t="str" cm="1">
        <f t="array" ref="R97">_xlfn.LET(
_xlpm.v,$D$92:$R$92,
_xlpm.p,_xlfn.SEQUENCE(,COLUMNS(_xlpm.v)),
_xlpm.o,_xlfn.SORTBY(_xlpm.p,_xlpm.v,1,_xlpm.p,1),
INDEX($D$91:$R$91,1,INDEX(_xlpm.o,1,COLUMNS($T:AH)))
)</f>
        <v>WC 7 - Right Limit</v>
      </c>
      <c r="AE97" s="268"/>
      <c r="AF97" s="268"/>
      <c r="AG97" s="268"/>
      <c r="AH97" s="268"/>
      <c r="AI97" s="292"/>
    </row>
    <row r="98" spans="3:51">
      <c r="D98" s="268" cm="1">
        <f t="array" ref="D98">_xlfn.LET(
_xlpm.v,$D$92:$R$92,
_xlpm.p,_xlfn.SEQUENCE(,COLUMNS(_xlpm.v)),
_xlpm.o,_xlfn.SORTBY(_xlpm.p,_xlpm.v,1,_xlpm.p,1),
INDEX($D$92:$R$92,1,INDEX(_xlpm.o,1,COLUMNS($T:T)))
)</f>
        <v>-11.880000000062864</v>
      </c>
      <c r="E98" s="268" cm="1">
        <f t="array" ref="E98">_xlfn.LET(
_xlpm.v,$D$92:$R$92,
_xlpm.p,_xlfn.SEQUENCE(,COLUMNS(_xlpm.v)),
_xlpm.o,_xlfn.SORTBY(_xlpm.p,_xlpm.v,1,_xlpm.p,1),
INDEX($D$92:$R$92,1,INDEX(_xlpm.o,1,COLUMNS($T:U)))
)</f>
        <v>-6.1328470752923749</v>
      </c>
      <c r="F98" s="268" cm="1">
        <f t="array" ref="F98">_xlfn.LET(
_xlpm.v,$D$92:$R$92,
_xlpm.p,_xlfn.SEQUENCE(,COLUMNS(_xlpm.v)),
_xlpm.o,_xlfn.SORTBY(_xlpm.p,_xlpm.v,1,_xlpm.p,1),
INDEX($D$92:$R$92,1,INDEX(_xlpm.o,1,COLUMNS($T:V)))
)</f>
        <v>-2.1800000000512227</v>
      </c>
      <c r="G98" s="268" cm="1">
        <f t="array" ref="G98">_xlfn.LET(
_xlpm.v,$D$92:$R$92,
_xlpm.p,_xlfn.SEQUENCE(,COLUMNS(_xlpm.v)),
_xlpm.o,_xlfn.SORTBY(_xlpm.p,_xlpm.v,1,_xlpm.p,1),
INDEX($D$92:$R$92,1,INDEX(_xlpm.o,1,COLUMNS($T:W)))
)</f>
        <v>0.11999999993713573</v>
      </c>
      <c r="H98" s="268" cm="1">
        <f t="array" ref="H98">_xlfn.LET(
_xlpm.v,$D$92:$R$92,
_xlpm.p,_xlfn.SEQUENCE(,COLUMNS(_xlpm.v)),
_xlpm.o,_xlfn.SORTBY(_xlpm.p,_xlpm.v,1,_xlpm.p,1),
INDEX($D$92:$R$92,1,INDEX(_xlpm.o,1,COLUMNS($T:X)))
)</f>
        <v>12.119999999937136</v>
      </c>
      <c r="I98" s="268" cm="1">
        <f t="array" ref="I98">_xlfn.LET(
_xlpm.v,$D$92:$R$92,
_xlpm.p,_xlfn.SEQUENCE(,COLUMNS(_xlpm.v)),
_xlpm.o,_xlfn.SORTBY(_xlpm.p,_xlpm.v,1,_xlpm.p,1),
INDEX($D$92:$R$92,1,INDEX(_xlpm.o,1,COLUMNS($T:Y)))
)</f>
        <v>98.395000000018626</v>
      </c>
      <c r="J98" s="268" cm="1">
        <f t="array" ref="J98">_xlfn.LET(
_xlpm.v,$D$92:$R$92,
_xlpm.p,_xlfn.SEQUENCE(,COLUMNS(_xlpm.v)),
_xlpm.o,_xlfn.SORTBY(_xlpm.p,_xlpm.v,1,_xlpm.p,1),
INDEX($D$92:$R$92,1,INDEX(_xlpm.o,1,COLUMNS($T:Z)))
)</f>
        <v>134.39500000001863</v>
      </c>
      <c r="K98" s="268" cm="1">
        <f t="array" ref="K98">_xlfn.LET(
_xlpm.v,$D$92:$R$92,
_xlpm.p,_xlfn.SEQUENCE(,COLUMNS(_xlpm.v)),
_xlpm.o,_xlfn.SORTBY(_xlpm.p,_xlpm.v,1,_xlpm.p,1),
INDEX($D$92:$R$92,1,INDEX(_xlpm.o,1,COLUMNS($T:AA)))
)</f>
        <v>170.39500000001863</v>
      </c>
      <c r="L98" s="268" cm="1">
        <f t="array" ref="L98">_xlfn.LET(
_xlpm.v,$D$92:$R$92,
_xlpm.p,_xlfn.SEQUENCE(,COLUMNS(_xlpm.v)),
_xlpm.o,_xlfn.SORTBY(_xlpm.p,_xlpm.v,1,_xlpm.p,1),
INDEX($D$92:$R$92,1,INDEX(_xlpm.o,1,COLUMNS($T:AB)))
)</f>
        <v>258.24000000004889</v>
      </c>
      <c r="M98" s="268" cm="1">
        <f t="array" ref="M98">_xlfn.LET(
_xlpm.v,$D$92:$R$92,
_xlpm.p,_xlfn.SEQUENCE(,COLUMNS(_xlpm.v)),
_xlpm.o,_xlfn.SORTBY(_xlpm.p,_xlpm.v,1,_xlpm.p,1),
INDEX($D$92:$R$92,1,INDEX(_xlpm.o,1,COLUMNS($T:AC)))
)</f>
        <v>270.24000000004889</v>
      </c>
      <c r="N98" s="268" cm="1">
        <f t="array" ref="N98">_xlfn.LET(
_xlpm.v,$D$92:$R$92,
_xlpm.p,_xlfn.SEQUENCE(,COLUMNS(_xlpm.v)),
_xlpm.o,_xlfn.SORTBY(_xlpm.p,_xlpm.v,1,_xlpm.p,1),
INDEX($D$92:$R$92,1,INDEX(_xlpm.o,1,COLUMNS($T:AD)))
)</f>
        <v>270.97000000008848</v>
      </c>
      <c r="O98" s="268" cm="1">
        <f t="array" ref="O98">_xlfn.LET(
_xlpm.v,$D$92:$R$92,
_xlpm.p,_xlfn.SEQUENCE(,COLUMNS(_xlpm.v)),
_xlpm.o,_xlfn.SORTBY(_xlpm.p,_xlpm.v,1,_xlpm.p,1),
INDEX($D$92:$R$92,1,INDEX(_xlpm.o,1,COLUMNS($T:AE)))
)</f>
        <v>274.92284707532963</v>
      </c>
      <c r="P98" s="268" cm="1">
        <f t="array" ref="P98">_xlfn.LET(
_xlpm.v,$D$92:$R$92,
_xlpm.p,_xlfn.SEQUENCE(,COLUMNS(_xlpm.v)),
_xlpm.o,_xlfn.SORTBY(_xlpm.p,_xlpm.v,1,_xlpm.p,1),
INDEX($D$92:$R$92,1,INDEX(_xlpm.o,1,COLUMNS($T:AF)))
)</f>
        <v>282.24000000004889</v>
      </c>
      <c r="Q98" s="268" cm="1">
        <f t="array" ref="Q98">_xlfn.LET(
_xlpm.v,$D$92:$R$92,
_xlpm.p,_xlfn.SEQUENCE(,COLUMNS(_xlpm.v)),
_xlpm.o,_xlfn.SORTBY(_xlpm.p,_xlpm.v,1,_xlpm.p,1),
INDEX($D$92:$R$92,1,INDEX(_xlpm.o,1,COLUMNS($T:AG)))
)</f>
        <v>1082321.4800000042</v>
      </c>
      <c r="R98" s="268" cm="1">
        <f t="array" ref="R98">_xlfn.LET(
_xlpm.v,$D$92:$R$92,
_xlpm.p,_xlfn.SEQUENCE(,COLUMNS(_xlpm.v)),
_xlpm.o,_xlfn.SORTBY(_xlpm.p,_xlpm.v,1,_xlpm.p,1),
INDEX($D$92:$R$92,1,INDEX(_xlpm.o,1,COLUMNS($T:AH)))
)</f>
        <v>1082378.6400000001</v>
      </c>
      <c r="AE98" s="268"/>
      <c r="AF98" s="268"/>
      <c r="AG98" s="268"/>
      <c r="AH98" s="268"/>
      <c r="AI98" s="292"/>
    </row>
    <row r="99" spans="3:51">
      <c r="D99" s="268" cm="1">
        <f t="array" ref="D99">_xlfn.LET(
_xlpm.v,$D$92:$R$92,
_xlpm.p,_xlfn.SEQUENCE(,COLUMNS(_xlpm.v)),
_xlpm.o,_xlfn.SORTBY(_xlpm.p,_xlpm.v,1,_xlpm.p,1),
INDEX($D$95:$R$95,1,INDEX(_xlpm.o,1,COLUMNS($T:T)))
)</f>
        <v>121250.01</v>
      </c>
      <c r="E99" s="268" cm="1">
        <f t="array" ref="E99">_xlfn.LET(
_xlpm.v,$D$92:$R$92,
_xlpm.p,_xlfn.SEQUENCE(,COLUMNS(_xlpm.v)),
_xlpm.o,_xlfn.SORTBY(_xlpm.p,_xlpm.v,1,_xlpm.p,1),
INDEX($D$95:$R$95,1,INDEX(_xlpm.o,1,COLUMNS($T:U)))
)</f>
        <v>121250.48892941039</v>
      </c>
      <c r="F99" s="268" cm="1">
        <f t="array" ref="F99">_xlfn.LET(
_xlpm.v,$D$92:$R$92,
_xlpm.p,_xlfn.SEQUENCE(,COLUMNS(_xlpm.v)),
_xlpm.o,_xlfn.SORTBY(_xlpm.p,_xlpm.v,1,_xlpm.p,1),
INDEX($D$95:$R$95,1,INDEX(_xlpm.o,1,COLUMNS($T:V)))
)</f>
        <v>121250.81833333333</v>
      </c>
      <c r="G99" s="268" cm="1">
        <f t="array" ref="G99">_xlfn.LET(
_xlpm.v,$D$92:$R$92,
_xlpm.p,_xlfn.SEQUENCE(,COLUMNS(_xlpm.v)),
_xlpm.o,_xlfn.SORTBY(_xlpm.p,_xlpm.v,1,_xlpm.p,1),
INDEX($D$95:$R$95,1,INDEX(_xlpm.o,1,COLUMNS($T:W)))
)</f>
        <v>121251.01</v>
      </c>
      <c r="H99" s="268" cm="1">
        <f t="array" ref="H99">_xlfn.LET(
_xlpm.v,$D$92:$R$92,
_xlpm.p,_xlfn.SEQUENCE(,COLUMNS(_xlpm.v)),
_xlpm.o,_xlfn.SORTBY(_xlpm.p,_xlpm.v,1,_xlpm.p,1),
INDEX($D$95:$R$95,1,INDEX(_xlpm.o,1,COLUMNS($T:X)))
)</f>
        <v>121252.01</v>
      </c>
      <c r="I99" s="268" cm="1">
        <f t="array" ref="I99">_xlfn.LET(
_xlpm.v,$D$92:$R$92,
_xlpm.p,_xlfn.SEQUENCE(,COLUMNS(_xlpm.v)),
_xlpm.o,_xlfn.SORTBY(_xlpm.p,_xlpm.v,1,_xlpm.p,1),
INDEX($D$95:$R$95,1,INDEX(_xlpm.o,1,COLUMNS($T:Y)))
)</f>
        <v>121259.19958333333</v>
      </c>
      <c r="J99" s="268" cm="1">
        <f t="array" ref="J99">_xlfn.LET(
_xlpm.v,$D$92:$R$92,
_xlpm.p,_xlfn.SEQUENCE(,COLUMNS(_xlpm.v)),
_xlpm.o,_xlfn.SORTBY(_xlpm.p,_xlpm.v,1,_xlpm.p,1),
INDEX($D$95:$R$95,1,INDEX(_xlpm.o,1,COLUMNS($T:Z)))
)</f>
        <v>121262.19958333333</v>
      </c>
      <c r="K99" s="268" cm="1">
        <f t="array" ref="K99">_xlfn.LET(
_xlpm.v,$D$92:$R$92,
_xlpm.p,_xlfn.SEQUENCE(,COLUMNS(_xlpm.v)),
_xlpm.o,_xlfn.SORTBY(_xlpm.p,_xlpm.v,1,_xlpm.p,1),
INDEX($D$95:$R$95,1,INDEX(_xlpm.o,1,COLUMNS($T:AA)))
)</f>
        <v>121265.19958333333</v>
      </c>
      <c r="L99" s="268" cm="1">
        <f t="array" ref="L99">_xlfn.LET(
_xlpm.v,$D$92:$R$92,
_xlpm.p,_xlfn.SEQUENCE(,COLUMNS(_xlpm.v)),
_xlpm.o,_xlfn.SORTBY(_xlpm.p,_xlpm.v,1,_xlpm.p,1),
INDEX($D$95:$R$95,1,INDEX(_xlpm.o,1,COLUMNS($T:AB)))
)</f>
        <v>121272.52</v>
      </c>
      <c r="M99" s="268" cm="1">
        <f t="array" ref="M99">_xlfn.LET(
_xlpm.v,$D$92:$R$92,
_xlpm.p,_xlfn.SEQUENCE(,COLUMNS(_xlpm.v)),
_xlpm.o,_xlfn.SORTBY(_xlpm.p,_xlpm.v,1,_xlpm.p,1),
INDEX($D$95:$R$95,1,INDEX(_xlpm.o,1,COLUMNS($T:AC)))
)</f>
        <v>121273.52</v>
      </c>
      <c r="N99" s="268" cm="1">
        <f t="array" ref="N99">_xlfn.LET(
_xlpm.v,$D$92:$R$92,
_xlpm.p,_xlfn.SEQUENCE(,COLUMNS(_xlpm.v)),
_xlpm.o,_xlfn.SORTBY(_xlpm.p,_xlpm.v,1,_xlpm.p,1),
INDEX($D$95:$R$95,1,INDEX(_xlpm.o,1,COLUMNS($T:AD)))
)</f>
        <v>121273.58083333334</v>
      </c>
      <c r="O99" s="268" cm="1">
        <f t="array" ref="O99">_xlfn.LET(
_xlpm.v,$D$92:$R$92,
_xlpm.p,_xlfn.SEQUENCE(,COLUMNS(_xlpm.v)),
_xlpm.o,_xlfn.SORTBY(_xlpm.p,_xlpm.v,1,_xlpm.p,1),
INDEX($D$95:$R$95,1,INDEX(_xlpm.o,1,COLUMNS($T:AE)))
)</f>
        <v>121273.91023725628</v>
      </c>
      <c r="P99" s="268" cm="1">
        <f t="array" ref="P99">_xlfn.LET(
_xlpm.v,$D$92:$R$92,
_xlpm.p,_xlfn.SEQUENCE(,COLUMNS(_xlpm.v)),
_xlpm.o,_xlfn.SORTBY(_xlpm.p,_xlpm.v,1,_xlpm.p,1),
INDEX($D$95:$R$95,1,INDEX(_xlpm.o,1,COLUMNS($T:AF)))
)</f>
        <v>121274.52</v>
      </c>
      <c r="Q99" s="268" cm="1">
        <f t="array" ref="Q99">_xlfn.LET(
_xlpm.v,$D$92:$R$92,
_xlpm.p,_xlfn.SEQUENCE(,COLUMNS(_xlpm.v)),
_xlpm.o,_xlfn.SORTBY(_xlpm.p,_xlpm.v,1,_xlpm.p,1),
INDEX($D$95:$R$95,1,INDEX(_xlpm.o,1,COLUMNS($T:AG)))
)</f>
        <v>211444.45666666701</v>
      </c>
      <c r="R99" s="268" cm="1">
        <f t="array" ref="R99">_xlfn.LET(
_xlpm.v,$D$92:$R$92,
_xlpm.p,_xlfn.SEQUENCE(,COLUMNS(_xlpm.v)),
_xlpm.o,_xlfn.SORTBY(_xlpm.p,_xlpm.v,1,_xlpm.p,1),
INDEX($D$95:$R$95,1,INDEX(_xlpm.o,1,COLUMNS($T:AH)))
)</f>
        <v>211449.22</v>
      </c>
      <c r="AE99" s="268"/>
      <c r="AF99" s="268"/>
      <c r="AG99" s="268"/>
      <c r="AH99" s="268"/>
      <c r="AI99" s="292"/>
    </row>
    <row r="100" spans="3:51">
      <c r="D100" s="292"/>
      <c r="AE100" s="268"/>
      <c r="AF100" s="268"/>
      <c r="AG100" s="268"/>
      <c r="AH100" s="268"/>
      <c r="AI100" s="292"/>
    </row>
    <row r="101" spans="3:51">
      <c r="D101" s="292"/>
      <c r="AB101">
        <v>1</v>
      </c>
      <c r="AE101" s="268"/>
      <c r="AF101" s="268"/>
      <c r="AG101" s="268"/>
      <c r="AH101" s="268"/>
      <c r="AI101" s="292"/>
    </row>
    <row r="102" spans="3:51">
      <c r="D102" s="292"/>
      <c r="AE102" s="268"/>
      <c r="AF102" s="268"/>
      <c r="AG102" s="268"/>
      <c r="AH102" s="268"/>
      <c r="AI102" s="292"/>
    </row>
    <row r="103" spans="3:51">
      <c r="D103" s="292"/>
      <c r="F103" s="999" t="str">
        <f>D97</f>
        <v>WC 12 - Start of repair1</v>
      </c>
      <c r="G103" s="999"/>
      <c r="H103" s="997" t="str">
        <f>E97</f>
        <v>WC 10 - Start of L_over1</v>
      </c>
      <c r="I103" s="997"/>
      <c r="J103" s="997" t="str">
        <f>F97</f>
        <v>End of L_over1 - WC 8 - Start of Defect</v>
      </c>
      <c r="K103" s="997"/>
      <c r="L103" s="997" t="str">
        <f>G97</f>
        <v>WC 1</v>
      </c>
      <c r="M103" s="997"/>
      <c r="N103" s="997" t="str">
        <f>H97</f>
        <v>End of repair1 - WC 13</v>
      </c>
      <c r="O103" s="997"/>
      <c r="P103" s="997" t="str">
        <f>I97</f>
        <v>WC 4 - Start Wrap</v>
      </c>
      <c r="Q103" s="997"/>
      <c r="R103" s="997" t="str">
        <f>J97</f>
        <v>WC 3 - Middle of Wrap</v>
      </c>
      <c r="S103" s="997"/>
      <c r="T103" s="997" t="str">
        <f>K97</f>
        <v>WC 5 - End Wrap</v>
      </c>
      <c r="U103" s="997"/>
      <c r="V103" s="997" t="str">
        <f>L97</f>
        <v>WC 14 - Start of repair2</v>
      </c>
      <c r="W103" s="997"/>
      <c r="X103" s="997" t="str">
        <f>M97</f>
        <v>WC 2</v>
      </c>
      <c r="Y103" s="997"/>
      <c r="Z103" s="997" t="str">
        <f>N97</f>
        <v>End of Defect - WC 9 - Start L_over2</v>
      </c>
      <c r="AA103" s="997"/>
      <c r="AB103" s="997" t="str">
        <f>O97</f>
        <v>End of L_over2 - WC 11</v>
      </c>
      <c r="AC103" s="997"/>
      <c r="AD103" s="997" t="str">
        <f>P97</f>
        <v>End of repair2 - WC 15</v>
      </c>
      <c r="AE103" s="997"/>
      <c r="AF103" s="997" t="str">
        <f>Q97</f>
        <v>WC 6 - Left Limit</v>
      </c>
      <c r="AG103" s="997"/>
      <c r="AH103" s="997" t="str">
        <f>R97</f>
        <v>WC 7 - Right Limit</v>
      </c>
      <c r="AI103" s="997"/>
    </row>
    <row r="104" spans="3:51">
      <c r="D104" s="292"/>
      <c r="F104" s="992">
        <f>D99</f>
        <v>121250.01</v>
      </c>
      <c r="G104" s="992"/>
      <c r="H104" s="992">
        <f>E99</f>
        <v>121250.48892941039</v>
      </c>
      <c r="I104" s="992"/>
      <c r="J104" s="992">
        <f>F99</f>
        <v>121250.81833333333</v>
      </c>
      <c r="K104" s="992"/>
      <c r="L104" s="992">
        <f>G99</f>
        <v>121251.01</v>
      </c>
      <c r="M104" s="992"/>
      <c r="N104" s="992">
        <f>H99</f>
        <v>121252.01</v>
      </c>
      <c r="O104" s="992"/>
      <c r="P104" s="992">
        <f>I99</f>
        <v>121259.19958333333</v>
      </c>
      <c r="Q104" s="992"/>
      <c r="R104" s="992">
        <f>J99</f>
        <v>121262.19958333333</v>
      </c>
      <c r="S104" s="992"/>
      <c r="T104" s="992">
        <f>K99</f>
        <v>121265.19958333333</v>
      </c>
      <c r="U104" s="992"/>
      <c r="V104" s="992">
        <f>L99</f>
        <v>121272.52</v>
      </c>
      <c r="W104" s="992"/>
      <c r="X104" s="992">
        <f>M99</f>
        <v>121273.52</v>
      </c>
      <c r="Y104" s="992"/>
      <c r="Z104" s="992">
        <f>N99</f>
        <v>121273.58083333334</v>
      </c>
      <c r="AA104" s="992"/>
      <c r="AB104" s="992">
        <f>O99</f>
        <v>121273.91023725628</v>
      </c>
      <c r="AC104" s="992"/>
      <c r="AD104" s="992">
        <f>P99</f>
        <v>121274.52</v>
      </c>
      <c r="AE104" s="992"/>
      <c r="AF104" s="992">
        <f>Q99</f>
        <v>211444.45666666701</v>
      </c>
      <c r="AG104" s="992"/>
      <c r="AH104" s="992">
        <f>R99</f>
        <v>211449.22</v>
      </c>
      <c r="AI104" s="992"/>
    </row>
    <row r="105" spans="3:51">
      <c r="D105" s="292"/>
      <c r="T105" s="268"/>
      <c r="V105" s="268"/>
      <c r="X105" s="268"/>
      <c r="Z105" s="268"/>
      <c r="AB105" s="268"/>
      <c r="AD105" s="268"/>
      <c r="AF105" s="268"/>
      <c r="AH105" s="268"/>
    </row>
    <row r="106" spans="3:51">
      <c r="C106" s="594" t="s">
        <v>311</v>
      </c>
      <c r="D106" s="589">
        <f>D99</f>
        <v>121250.01</v>
      </c>
      <c r="F106" s="998">
        <f>F113-$F$113</f>
        <v>0</v>
      </c>
      <c r="G106" s="1011"/>
      <c r="H106" s="1011">
        <f>H113-$F$113</f>
        <v>5.7471529247704893</v>
      </c>
      <c r="I106" s="998"/>
      <c r="J106" s="998">
        <f>J113-$F$113</f>
        <v>9.7000000000116415</v>
      </c>
      <c r="K106" s="998"/>
      <c r="L106" s="998">
        <f>L113-$F$113</f>
        <v>12</v>
      </c>
      <c r="M106" s="998"/>
      <c r="N106" s="998">
        <f>N113-$F$113</f>
        <v>24</v>
      </c>
      <c r="O106" s="998"/>
      <c r="P106" s="998">
        <f>P113-$F$113</f>
        <v>110.27500000008149</v>
      </c>
      <c r="Q106" s="998"/>
      <c r="R106" s="998">
        <f>R113-$F$113</f>
        <v>146.27500000008149</v>
      </c>
      <c r="S106" s="998"/>
      <c r="T106" s="998">
        <f>T113-$F$113</f>
        <v>182.27500000008149</v>
      </c>
      <c r="U106" s="998"/>
      <c r="V106" s="998">
        <f>V113-$F$113</f>
        <v>270.12000000011176</v>
      </c>
      <c r="W106" s="1011"/>
      <c r="X106" s="1011">
        <f>X113-$F$113</f>
        <v>282.12000000011176</v>
      </c>
      <c r="Y106" s="1011"/>
      <c r="Z106" s="1011">
        <f>Z113-$F$113</f>
        <v>282.85000000015134</v>
      </c>
      <c r="AA106" s="1012"/>
      <c r="AB106" s="998">
        <f>AB113-$F$113</f>
        <v>286.80284707539249</v>
      </c>
      <c r="AC106" s="998"/>
      <c r="AD106" s="998">
        <f>AD113-$F$113</f>
        <v>294.12000000011176</v>
      </c>
      <c r="AE106" s="998"/>
      <c r="AF106" s="998">
        <f>IF(AF113="N/A","N/A",AF113-$F$113)</f>
        <v>1082333.3600000043</v>
      </c>
      <c r="AG106" s="998"/>
      <c r="AH106" s="998">
        <f>IF(AH113="N/A","N/A",AH113-$F$113)</f>
        <v>1082390.5200000003</v>
      </c>
      <c r="AI106" s="998"/>
    </row>
    <row r="107" spans="3:51">
      <c r="D107" s="292"/>
      <c r="G107" s="998">
        <f>H106-F106</f>
        <v>5.7471529247704893</v>
      </c>
      <c r="H107" s="998"/>
      <c r="I107" s="998">
        <f>J106-H106</f>
        <v>3.9528470752411522</v>
      </c>
      <c r="J107" s="998"/>
      <c r="K107" s="998">
        <f>L106-J106</f>
        <v>2.2999999999883585</v>
      </c>
      <c r="L107" s="998"/>
      <c r="M107" s="998">
        <f t="shared" ref="M107" si="152">N106-L106</f>
        <v>12</v>
      </c>
      <c r="N107" s="998"/>
      <c r="O107" s="998">
        <f t="shared" ref="O107" si="153">P106-N106</f>
        <v>86.275000000081491</v>
      </c>
      <c r="P107" s="998"/>
      <c r="Q107" s="998">
        <f>R106-P106</f>
        <v>36</v>
      </c>
      <c r="R107" s="998"/>
      <c r="S107" s="998">
        <f>T106-R106</f>
        <v>36</v>
      </c>
      <c r="T107" s="998"/>
      <c r="U107" s="998">
        <f>V106-T106</f>
        <v>87.845000000030268</v>
      </c>
      <c r="V107" s="1012"/>
      <c r="W107" s="998">
        <f>X106-V106</f>
        <v>12</v>
      </c>
      <c r="X107" s="998"/>
      <c r="Y107" s="998">
        <f>Z106-X106</f>
        <v>0.73000000003958121</v>
      </c>
      <c r="Z107" s="998"/>
      <c r="AA107" s="998">
        <f t="shared" ref="AA107" si="154">AB106-Z106</f>
        <v>3.9528470752411522</v>
      </c>
      <c r="AB107" s="998"/>
      <c r="AC107" s="998">
        <f t="shared" ref="AC107" si="155">AD106-AB106</f>
        <v>7.3171529247192666</v>
      </c>
      <c r="AD107" s="998"/>
      <c r="AE107" s="998">
        <f>IF(AF106="N/A","N/A",AF106-AD106)</f>
        <v>1082039.2400000042</v>
      </c>
      <c r="AF107" s="998"/>
      <c r="AG107" s="998">
        <f>IF(OR(AF106="N/A",AH106="N/A"),"N/A",AH106-AF106)</f>
        <v>57.15999999595806</v>
      </c>
      <c r="AH107" s="998"/>
      <c r="AI107" s="292"/>
    </row>
    <row r="108" spans="3:51">
      <c r="D108" s="292"/>
      <c r="G108" s="990">
        <f>G107+I107+K107</f>
        <v>12</v>
      </c>
      <c r="H108" s="991"/>
      <c r="I108" s="991"/>
      <c r="J108" s="991"/>
      <c r="K108" s="991"/>
      <c r="L108" s="991"/>
      <c r="AE108" s="268"/>
      <c r="AF108" s="268"/>
      <c r="AG108" s="268"/>
      <c r="AH108" s="268"/>
      <c r="AI108" s="292"/>
    </row>
    <row r="109" spans="3:51">
      <c r="D109" s="292"/>
      <c r="G109" s="997">
        <f>G107+I107</f>
        <v>9.7000000000116415</v>
      </c>
      <c r="H109" s="997"/>
      <c r="I109" s="997"/>
      <c r="J109" s="997"/>
      <c r="K109" s="997">
        <f>K107+M107</f>
        <v>14.299999999988358</v>
      </c>
      <c r="L109" s="997"/>
      <c r="M109" s="997"/>
      <c r="N109" s="997"/>
      <c r="O109" s="997">
        <f>O107+Q107</f>
        <v>122.27500000008149</v>
      </c>
      <c r="P109" s="997"/>
      <c r="Q109" s="997"/>
      <c r="R109" s="997"/>
      <c r="S109" s="998">
        <f>S107+U107</f>
        <v>123.84500000003027</v>
      </c>
      <c r="T109" s="997"/>
      <c r="U109" s="997"/>
      <c r="V109" s="997"/>
      <c r="W109" s="997">
        <f>W107+Y107</f>
        <v>12.730000000039581</v>
      </c>
      <c r="X109" s="997"/>
      <c r="Y109" s="997"/>
      <c r="Z109" s="997"/>
      <c r="AA109" s="997">
        <f>AA107+AC107</f>
        <v>11.269999999960419</v>
      </c>
      <c r="AB109" s="997"/>
      <c r="AC109" s="997"/>
      <c r="AD109" s="997"/>
      <c r="AE109" s="998">
        <f>IF(OR(AE107="N/A",AG107="N/A"),"N/A",AE107+AG107)</f>
        <v>1082096.4000000001</v>
      </c>
      <c r="AF109" s="997"/>
      <c r="AG109" s="997"/>
      <c r="AH109" s="997"/>
      <c r="AI109" s="292"/>
      <c r="AR109" s="268"/>
    </row>
    <row r="110" spans="3:51">
      <c r="D110" s="292"/>
      <c r="AE110" s="268"/>
      <c r="AF110" s="268"/>
      <c r="AG110" s="268"/>
      <c r="AH110" s="268"/>
      <c r="AI110" s="292"/>
      <c r="AR110" s="268"/>
      <c r="AT110" s="999" t="s">
        <v>387</v>
      </c>
      <c r="AU110" s="999"/>
      <c r="AX110" s="999" t="s">
        <v>388</v>
      </c>
      <c r="AY110" s="999"/>
    </row>
    <row r="111" spans="3:51">
      <c r="D111" s="292"/>
      <c r="N111" s="268" t="s">
        <v>419</v>
      </c>
      <c r="O111" s="268" t="s">
        <v>419</v>
      </c>
      <c r="R111" s="268" t="s">
        <v>419</v>
      </c>
      <c r="S111" t="s">
        <v>419</v>
      </c>
      <c r="AE111" s="268"/>
      <c r="AF111" s="268"/>
      <c r="AG111" s="268"/>
      <c r="AH111" s="268"/>
      <c r="AI111" s="292"/>
      <c r="AR111" s="268"/>
      <c r="AT111" s="992">
        <f>D289</f>
        <v>121251.01</v>
      </c>
      <c r="AU111" s="992"/>
      <c r="AX111" s="992">
        <f>H289</f>
        <v>121273.52</v>
      </c>
      <c r="AY111" s="992"/>
    </row>
    <row r="112" spans="3:51" ht="15" customHeight="1">
      <c r="AR112" s="268"/>
    </row>
    <row r="113" spans="2:53">
      <c r="C113" s="594" t="s">
        <v>420</v>
      </c>
      <c r="D113" s="589">
        <f>E83</f>
        <v>121251</v>
      </c>
      <c r="F113" s="997">
        <f>D98</f>
        <v>-11.880000000062864</v>
      </c>
      <c r="G113" s="997"/>
      <c r="H113" s="997">
        <f>E98</f>
        <v>-6.1328470752923749</v>
      </c>
      <c r="I113" s="997"/>
      <c r="J113" s="997">
        <f>F98</f>
        <v>-2.1800000000512227</v>
      </c>
      <c r="K113" s="997"/>
      <c r="L113" s="997">
        <f>G98</f>
        <v>0.11999999993713573</v>
      </c>
      <c r="M113" s="997"/>
      <c r="N113" s="997">
        <f>H98</f>
        <v>12.119999999937136</v>
      </c>
      <c r="O113" s="997"/>
      <c r="P113" s="997">
        <f>I98</f>
        <v>98.395000000018626</v>
      </c>
      <c r="Q113" s="997"/>
      <c r="R113" s="997">
        <f>J98</f>
        <v>134.39500000001863</v>
      </c>
      <c r="S113" s="997"/>
      <c r="T113" s="997">
        <f>K98</f>
        <v>170.39500000001863</v>
      </c>
      <c r="U113" s="997"/>
      <c r="V113" s="997">
        <f>L98</f>
        <v>258.24000000004889</v>
      </c>
      <c r="W113" s="997"/>
      <c r="X113" s="997">
        <f>M98</f>
        <v>270.24000000004889</v>
      </c>
      <c r="Y113" s="997"/>
      <c r="Z113" s="997">
        <f>N98</f>
        <v>270.97000000008848</v>
      </c>
      <c r="AA113" s="997"/>
      <c r="AB113" s="997">
        <f>O98</f>
        <v>274.92284707532963</v>
      </c>
      <c r="AC113" s="997"/>
      <c r="AD113" s="997">
        <f>P98</f>
        <v>282.24000000004889</v>
      </c>
      <c r="AE113" s="997"/>
      <c r="AF113" s="997">
        <f>Q98</f>
        <v>1082321.4800000042</v>
      </c>
      <c r="AG113" s="997"/>
      <c r="AH113" s="997">
        <f>R98</f>
        <v>1082378.6400000001</v>
      </c>
      <c r="AI113" s="997"/>
      <c r="AR113" s="268"/>
    </row>
    <row r="114" spans="2:53">
      <c r="D114" s="292"/>
      <c r="AD114" s="268"/>
      <c r="AE114" s="268"/>
      <c r="AF114" s="268"/>
      <c r="AG114" s="268"/>
      <c r="AH114" s="268"/>
      <c r="AI114" s="292"/>
      <c r="AR114" s="268"/>
      <c r="AU114" s="1007">
        <f>M307</f>
        <v>134.27500000005588</v>
      </c>
      <c r="AV114" s="1007"/>
      <c r="AW114" s="1007">
        <f>M309</f>
        <v>135.8450000000559</v>
      </c>
      <c r="AX114" s="1008"/>
    </row>
    <row r="115" spans="2:53">
      <c r="D115" s="292" t="s">
        <v>420</v>
      </c>
      <c r="E115" s="292" t="s">
        <v>421</v>
      </c>
      <c r="G115" s="268" t="s">
        <v>387</v>
      </c>
      <c r="H115" s="268" t="s">
        <v>388</v>
      </c>
      <c r="I115" s="320"/>
      <c r="J115" s="268" t="s">
        <v>389</v>
      </c>
      <c r="K115" s="320"/>
      <c r="L115" s="268" t="s">
        <v>390</v>
      </c>
      <c r="M115" s="268" t="s">
        <v>391</v>
      </c>
      <c r="N115"/>
      <c r="O115" s="268" t="s">
        <v>355</v>
      </c>
      <c r="P115" s="268" t="s">
        <v>359</v>
      </c>
      <c r="R115" s="268" t="s">
        <v>392</v>
      </c>
      <c r="S115" s="268" t="s">
        <v>393</v>
      </c>
      <c r="U115" s="268" t="s">
        <v>394</v>
      </c>
      <c r="V115" s="268" t="s">
        <v>395</v>
      </c>
      <c r="X115" s="268" t="s">
        <v>396</v>
      </c>
      <c r="Y115" s="268" t="s">
        <v>397</v>
      </c>
      <c r="AA115" s="268" t="s">
        <v>398</v>
      </c>
      <c r="AB115" s="268" t="s">
        <v>399</v>
      </c>
      <c r="AD115" s="268"/>
      <c r="AE115" s="268"/>
      <c r="AF115" s="268"/>
      <c r="AG115" s="268"/>
      <c r="AH115" s="268"/>
      <c r="AI115" s="292"/>
      <c r="AR115" s="268"/>
      <c r="AS115" s="992">
        <f>IF(F704="WC 4",F591,F567)</f>
        <v>-1082321.3600000043</v>
      </c>
      <c r="AT115" s="997"/>
      <c r="AU115" s="1000">
        <f>K355</f>
        <v>134.27500000008149</v>
      </c>
      <c r="AV115" s="1001"/>
      <c r="AW115" s="993">
        <f>O355</f>
        <v>135.84500000003027</v>
      </c>
      <c r="AX115" s="1002"/>
      <c r="AY115" s="992">
        <f>IF(F710="WC 2",O591,O567)</f>
        <v>1082108.4000000001</v>
      </c>
      <c r="AZ115" s="997"/>
    </row>
    <row r="116" spans="2:53">
      <c r="C116" s="268" t="s">
        <v>422</v>
      </c>
      <c r="D116" s="292">
        <f>E83</f>
        <v>121251</v>
      </c>
      <c r="E116" s="292">
        <f>D106</f>
        <v>121250.01</v>
      </c>
      <c r="G116" s="292">
        <f>D2</f>
        <v>121251.01</v>
      </c>
      <c r="H116" s="292">
        <f>D3</f>
        <v>121273.52</v>
      </c>
      <c r="I116" s="320"/>
      <c r="J116" s="292">
        <f>M330</f>
        <v>121262.19958333333</v>
      </c>
      <c r="K116" s="320"/>
      <c r="L116" s="292">
        <f>J395</f>
        <v>121259.19958333333</v>
      </c>
      <c r="M116" s="292">
        <f>Q395</f>
        <v>121265.19958333333</v>
      </c>
      <c r="N116"/>
      <c r="O116" s="292">
        <f>G7</f>
        <v>211444.45666666701</v>
      </c>
      <c r="P116" s="292">
        <f>G8</f>
        <v>211449.22</v>
      </c>
      <c r="R116" s="292">
        <f>J448</f>
        <v>121250.81833333333</v>
      </c>
      <c r="S116" s="292">
        <f>Q448</f>
        <v>121273.58083333334</v>
      </c>
      <c r="U116" s="292">
        <f>J509</f>
        <v>121250.48892941039</v>
      </c>
      <c r="V116" s="292">
        <f>Q509</f>
        <v>121273.91023725628</v>
      </c>
      <c r="X116" s="292">
        <f>D605</f>
        <v>121250.01</v>
      </c>
      <c r="Y116" s="292">
        <f>F605</f>
        <v>121252.01</v>
      </c>
      <c r="AA116" s="292">
        <f>D650</f>
        <v>121272.52</v>
      </c>
      <c r="AB116" s="292">
        <f>F650</f>
        <v>121274.52</v>
      </c>
      <c r="AD116" s="268"/>
      <c r="AE116" s="268"/>
      <c r="AF116" s="268"/>
      <c r="AG116" s="268"/>
      <c r="AH116" s="268"/>
      <c r="AI116" s="292"/>
      <c r="AR116" s="268"/>
      <c r="AU116" s="992">
        <f>F308</f>
        <v>270.12000000011176</v>
      </c>
      <c r="AV116" s="997"/>
      <c r="AW116" s="997"/>
      <c r="AX116" s="997"/>
    </row>
    <row r="117" spans="2:53">
      <c r="AD117" s="268"/>
      <c r="AE117" s="268"/>
      <c r="AF117" s="268"/>
      <c r="AG117" s="268"/>
      <c r="AH117" s="268"/>
      <c r="AI117" s="292"/>
      <c r="AR117" s="268"/>
    </row>
    <row r="118" spans="2:53">
      <c r="C118" s="1014" t="s">
        <v>423</v>
      </c>
      <c r="D118" s="1014"/>
      <c r="E118" s="1014"/>
      <c r="F118" s="1014"/>
      <c r="G118" s="1014"/>
      <c r="H118" s="1014"/>
      <c r="I118" s="1014"/>
      <c r="J118" s="1014"/>
      <c r="K118" s="1014"/>
      <c r="L118" s="1014"/>
      <c r="M118" s="1014"/>
      <c r="N118" s="1014"/>
      <c r="O118" s="1014"/>
      <c r="P118" s="1014"/>
      <c r="Q118" s="1014"/>
      <c r="R118" s="1014"/>
      <c r="S118" s="1014"/>
      <c r="T118" s="1014"/>
      <c r="U118" s="1014"/>
      <c r="V118" s="1014"/>
      <c r="W118" s="1014"/>
      <c r="X118" s="1014"/>
      <c r="Y118" s="1014"/>
      <c r="Z118" s="1014"/>
      <c r="AA118" s="1014"/>
      <c r="AB118" s="1014"/>
      <c r="AD118" s="268"/>
      <c r="AE118" s="268"/>
      <c r="AF118" s="268"/>
      <c r="AG118" s="268"/>
      <c r="AH118" s="268"/>
      <c r="AI118" s="292"/>
      <c r="AR118" s="268"/>
    </row>
    <row r="119" spans="2:53">
      <c r="C119" s="994" t="s">
        <v>424</v>
      </c>
      <c r="D119" s="995"/>
      <c r="E119" s="996"/>
      <c r="G119" s="993" t="s">
        <v>425</v>
      </c>
      <c r="H119" s="993"/>
      <c r="I119" s="320"/>
      <c r="J119" s="901" t="s">
        <v>426</v>
      </c>
      <c r="K119" s="320"/>
      <c r="L119" s="993" t="s">
        <v>427</v>
      </c>
      <c r="M119" s="993"/>
      <c r="N119"/>
      <c r="O119" s="993" t="s">
        <v>428</v>
      </c>
      <c r="P119" s="993"/>
      <c r="R119" s="993" t="s">
        <v>429</v>
      </c>
      <c r="S119" s="993"/>
      <c r="U119" s="993" t="s">
        <v>430</v>
      </c>
      <c r="V119" s="993"/>
      <c r="X119" s="993" t="s">
        <v>431</v>
      </c>
      <c r="Y119" s="993"/>
      <c r="AA119" s="993" t="s">
        <v>432</v>
      </c>
      <c r="AB119" s="993"/>
      <c r="AD119" s="268"/>
      <c r="AE119" s="268"/>
      <c r="AF119" s="268"/>
      <c r="AG119" s="268"/>
      <c r="AH119" s="268"/>
      <c r="AI119" s="292"/>
      <c r="AR119" s="268"/>
    </row>
    <row r="120" spans="2:53">
      <c r="B120" s="325">
        <f>D99</f>
        <v>121250.01</v>
      </c>
      <c r="C120" s="325" t="str">
        <f>D97</f>
        <v>WC 12 - Start of repair1</v>
      </c>
      <c r="D120" s="911">
        <f>D98</f>
        <v>-11.880000000062864</v>
      </c>
      <c r="E120" s="911">
        <f>F106</f>
        <v>0</v>
      </c>
      <c r="F120" s="913"/>
      <c r="G120" s="911">
        <f>IF(OR($D120="N/A",D$92="N/A"),"N/A",$D120-D$92)</f>
        <v>-12</v>
      </c>
      <c r="H120" s="911">
        <f>IF(OR($D120="N/A",E$92="N/A"),"N/A",$D120-E$92)</f>
        <v>-282.12000000011176</v>
      </c>
      <c r="I120" s="914"/>
      <c r="J120" s="911">
        <f>IF(OR($D120="N/A",F$92="N/A"),"N/A",$D120-F$92)</f>
        <v>-146.27500000008149</v>
      </c>
      <c r="K120" s="914"/>
      <c r="L120" s="911">
        <f>IF(OR($D120="N/A",G$92="N/A"),"N/A",$D120-G$92)</f>
        <v>-110.27500000008149</v>
      </c>
      <c r="M120" s="911">
        <f>IF(OR($D120="N/A",H$92="N/A"),"N/A",$D120-H$92)</f>
        <v>-182.27500000008149</v>
      </c>
      <c r="N120" s="914"/>
      <c r="O120" s="911">
        <f>IF(OR($D120="N/A",I$92="N/A"),"N/A",$D120-I$92)</f>
        <v>-1082333.3600000043</v>
      </c>
      <c r="P120" s="911">
        <f>IF(OR($D120="N/A",J$92="N/A"),"N/A",$D120-J$92)</f>
        <v>-1082390.5200000003</v>
      </c>
      <c r="Q120" s="913"/>
      <c r="R120" s="911">
        <f>IF(OR($D120="N/A",K$92="N/A"),"N/A",$D120-K$92)</f>
        <v>-9.7000000000116415</v>
      </c>
      <c r="S120" s="911">
        <f>IF(OR($D120="N/A",L$92="N/A"),"N/A",$D120-L$92)</f>
        <v>-282.85000000015134</v>
      </c>
      <c r="T120" s="914"/>
      <c r="U120" s="911">
        <f>IF(OR($D120="N/A",M$92="N/A"),"N/A",$D120-M$92)</f>
        <v>-5.7471529247704893</v>
      </c>
      <c r="V120" s="911">
        <f>IF(OR($D120="N/A",N$92="N/A"),"N/A",$D120-N$92)</f>
        <v>-286.80284707539249</v>
      </c>
      <c r="X120" s="917">
        <f>IF(OR($D120="N/A",O$92="N/A"),"N/A",$D120-O$92)</f>
        <v>0</v>
      </c>
      <c r="Y120" s="917">
        <f>IF(OR($D120="N/A",P$92="N/A"),"N/A",$D120-P$92)</f>
        <v>-24</v>
      </c>
      <c r="AA120" s="917">
        <f>IF(OR($D120="N/A",Q$92="N/A"),"N/A",$D120-Q$92)</f>
        <v>-270.12000000011176</v>
      </c>
      <c r="AB120" s="917">
        <f>IF(OR($D120="N/A",R$92="N/A"),"N/A",$D120-R$92)</f>
        <v>-294.12000000011176</v>
      </c>
      <c r="AD120" s="268"/>
      <c r="AE120" s="268"/>
      <c r="AF120" s="268"/>
      <c r="AG120" s="268"/>
      <c r="AH120" s="268"/>
      <c r="AI120" s="292"/>
      <c r="AR120" s="997" t="s">
        <v>433</v>
      </c>
      <c r="AS120" s="997"/>
      <c r="AV120" s="1005" t="s">
        <v>389</v>
      </c>
      <c r="AW120" s="1006"/>
      <c r="AZ120" s="997" t="s">
        <v>434</v>
      </c>
      <c r="BA120" s="997"/>
    </row>
    <row r="121" spans="2:53">
      <c r="B121" s="325"/>
      <c r="C121" s="325"/>
      <c r="D121" s="912">
        <f>G107</f>
        <v>5.7471529247704893</v>
      </c>
      <c r="E121" s="912">
        <f>D121</f>
        <v>5.7471529247704893</v>
      </c>
      <c r="F121" s="913"/>
      <c r="G121" s="912">
        <f>G122-G120</f>
        <v>5.7471529247704893</v>
      </c>
      <c r="H121" s="912">
        <f>H122-H120</f>
        <v>5.7471529247704893</v>
      </c>
      <c r="I121" s="914"/>
      <c r="J121" s="912">
        <f>J122-J120</f>
        <v>5.7471529247704893</v>
      </c>
      <c r="K121" s="914"/>
      <c r="L121" s="912">
        <f>L122-L120</f>
        <v>5.7471529247704893</v>
      </c>
      <c r="M121" s="912">
        <f>M122-M120</f>
        <v>5.7471529247704893</v>
      </c>
      <c r="N121" s="914"/>
      <c r="O121" s="912">
        <f>O122-O120</f>
        <v>5.7471529247704893</v>
      </c>
      <c r="P121" s="912">
        <f>P122-P120</f>
        <v>5.7471529247704893</v>
      </c>
      <c r="Q121" s="913"/>
      <c r="R121" s="912">
        <f>R122-R120</f>
        <v>5.7471529247704893</v>
      </c>
      <c r="S121" s="912">
        <f>S122-S120</f>
        <v>5.7471529247704893</v>
      </c>
      <c r="T121" s="914"/>
      <c r="U121" s="912">
        <f>U122-U120</f>
        <v>5.7471529247704893</v>
      </c>
      <c r="V121" s="912">
        <f>V122-V120</f>
        <v>5.7471529247704893</v>
      </c>
      <c r="X121" s="912">
        <f>X122-X120</f>
        <v>5.7471529247704893</v>
      </c>
      <c r="Y121" s="912">
        <f>Y122-Y120</f>
        <v>5.7471529247704893</v>
      </c>
      <c r="AA121" s="912">
        <f>AA122-AA120</f>
        <v>5.7471529247704893</v>
      </c>
      <c r="AB121" s="912">
        <f>AB122-AB120</f>
        <v>5.7471529247704893</v>
      </c>
      <c r="AD121" s="268"/>
      <c r="AE121" s="268"/>
      <c r="AF121" s="268"/>
      <c r="AG121" s="268"/>
      <c r="AH121" s="268"/>
      <c r="AI121" s="292"/>
      <c r="AR121" s="992">
        <f>G7</f>
        <v>211444.45666666701</v>
      </c>
      <c r="AS121" s="997"/>
      <c r="AV121" s="992">
        <f>M330</f>
        <v>121262.19958333333</v>
      </c>
      <c r="AW121" s="992"/>
      <c r="AZ121" s="992">
        <f>G8</f>
        <v>211449.22</v>
      </c>
      <c r="BA121" s="997"/>
    </row>
    <row r="122" spans="2:53">
      <c r="B122" s="325">
        <f>E99</f>
        <v>121250.48892941039</v>
      </c>
      <c r="C122" s="325" t="str">
        <f>E97</f>
        <v>WC 10 - Start of L_over1</v>
      </c>
      <c r="D122" s="911">
        <f>E98</f>
        <v>-6.1328470752923749</v>
      </c>
      <c r="E122" s="911">
        <f>H106</f>
        <v>5.7471529247704893</v>
      </c>
      <c r="F122" s="913"/>
      <c r="G122" s="911">
        <f>IF(OR($D122="N/A",D$92="N/A"),"N/A",$D122-D$92)</f>
        <v>-6.2528470752295107</v>
      </c>
      <c r="H122" s="911">
        <f>IF(OR($D122="N/A",E$92="N/A"),"N/A",$D122-E$92)</f>
        <v>-276.37284707534127</v>
      </c>
      <c r="I122" s="914"/>
      <c r="J122" s="911">
        <f>IF(OR($D122="N/A",F$92="N/A"),"N/A",$D122-F$92)</f>
        <v>-140.527847075311</v>
      </c>
      <c r="K122" s="914"/>
      <c r="L122" s="911">
        <f>IF(OR($D122="N/A",G$92="N/A"),"N/A",$D122-G$92)</f>
        <v>-104.527847075311</v>
      </c>
      <c r="M122" s="911">
        <f>IF(OR($D122="N/A",H$92="N/A"),"N/A",$D122-H$92)</f>
        <v>-176.527847075311</v>
      </c>
      <c r="N122" s="914"/>
      <c r="O122" s="911">
        <f>IF(OR($D122="N/A",I$92="N/A"),"N/A",$D122-I$92)</f>
        <v>-1082327.6128470795</v>
      </c>
      <c r="P122" s="911">
        <f>IF(OR($D122="N/A",J$92="N/A"),"N/A",$D122-J$92)</f>
        <v>-1082384.7728470755</v>
      </c>
      <c r="Q122" s="913"/>
      <c r="R122" s="911">
        <f>IF(OR($D122="N/A",K$92="N/A"),"N/A",$D122-K$92)</f>
        <v>-3.9528470752411522</v>
      </c>
      <c r="S122" s="911">
        <f>IF(OR($D122="N/A",L$92="N/A"),"N/A",$D122-L$92)</f>
        <v>-277.10284707538085</v>
      </c>
      <c r="T122" s="914"/>
      <c r="U122" s="911">
        <f>IF(OR($D122="N/A",M$92="N/A"),"N/A",$D122-M$92)</f>
        <v>0</v>
      </c>
      <c r="V122" s="911">
        <f>IF(OR($D122="N/A",N$92="N/A"),"N/A",$D122-N$92)</f>
        <v>-281.055694150622</v>
      </c>
      <c r="X122" s="917">
        <f>IF(OR($D122="N/A",O$92="N/A"),"N/A",$D122-O$92)</f>
        <v>5.7471529247704893</v>
      </c>
      <c r="Y122" s="917">
        <f>IF(OR($D122="N/A",P$92="N/A"),"N/A",$D122-P$92)</f>
        <v>-18.252847075229511</v>
      </c>
      <c r="AA122" s="917">
        <f>IF(OR($D122="N/A",Q$92="N/A"),"N/A",$D122-Q$92)</f>
        <v>-264.37284707534127</v>
      </c>
      <c r="AB122" s="917">
        <f>IF(OR($D122="N/A",R$92="N/A"),"N/A",$D122-R$92)</f>
        <v>-288.37284707534127</v>
      </c>
      <c r="AD122" s="268"/>
      <c r="AE122" s="268"/>
      <c r="AF122" s="268"/>
      <c r="AG122" s="268"/>
      <c r="AH122" s="268"/>
      <c r="AI122" s="292"/>
      <c r="AR122" s="268"/>
    </row>
    <row r="123" spans="2:53">
      <c r="B123" s="325"/>
      <c r="C123" s="325"/>
      <c r="D123" s="912">
        <f>I107</f>
        <v>3.9528470752411522</v>
      </c>
      <c r="E123" s="912">
        <f>D123</f>
        <v>3.9528470752411522</v>
      </c>
      <c r="F123" s="913"/>
      <c r="G123" s="912">
        <f>G124-G122</f>
        <v>3.9528470752411522</v>
      </c>
      <c r="H123" s="912">
        <f>H124-H122</f>
        <v>3.9528470752411522</v>
      </c>
      <c r="I123" s="914"/>
      <c r="J123" s="912">
        <f>J124-J122</f>
        <v>3.9528470752411522</v>
      </c>
      <c r="K123" s="914"/>
      <c r="L123" s="912">
        <f>L124-L122</f>
        <v>3.9528470752411522</v>
      </c>
      <c r="M123" s="912">
        <f>M124-M122</f>
        <v>3.9528470752411522</v>
      </c>
      <c r="N123" s="914"/>
      <c r="O123" s="912">
        <f>O124-O122</f>
        <v>3.9528470751829445</v>
      </c>
      <c r="P123" s="912">
        <f>P124-P122</f>
        <v>3.9528470751829445</v>
      </c>
      <c r="Q123" s="913"/>
      <c r="R123" s="912">
        <f>R124-R122</f>
        <v>3.9528470752411522</v>
      </c>
      <c r="S123" s="912">
        <f>S124-S122</f>
        <v>3.9528470752411522</v>
      </c>
      <c r="T123" s="914"/>
      <c r="U123" s="912">
        <f>U124-U122</f>
        <v>3.9528470752411522</v>
      </c>
      <c r="V123" s="912">
        <f>V124-V122</f>
        <v>3.9528470752411522</v>
      </c>
      <c r="X123" s="912">
        <f>X124-X122</f>
        <v>3.9528470752411522</v>
      </c>
      <c r="Y123" s="912">
        <f>Y124-Y122</f>
        <v>3.9528470752411522</v>
      </c>
      <c r="AA123" s="912">
        <f>AA124-AA122</f>
        <v>3.9528470752411522</v>
      </c>
      <c r="AB123" s="912">
        <f>AB124-AB122</f>
        <v>3.9528470752411522</v>
      </c>
      <c r="AD123" s="268"/>
      <c r="AE123" s="268"/>
      <c r="AF123" s="268"/>
      <c r="AG123" s="268"/>
      <c r="AH123" s="268"/>
      <c r="AI123" s="292"/>
      <c r="AR123" s="268"/>
    </row>
    <row r="124" spans="2:53">
      <c r="B124" s="325">
        <f>F99</f>
        <v>121250.81833333333</v>
      </c>
      <c r="C124" s="325" t="str">
        <f>F97</f>
        <v>End of L_over1 - WC 8 - Start of Defect</v>
      </c>
      <c r="D124" s="911">
        <f>F98</f>
        <v>-2.1800000000512227</v>
      </c>
      <c r="E124" s="911">
        <f>J106</f>
        <v>9.7000000000116415</v>
      </c>
      <c r="F124" s="913"/>
      <c r="G124" s="911">
        <f>IF(OR($D124="N/A",D$92="N/A"),"N/A",$D124-D$92)</f>
        <v>-2.2999999999883585</v>
      </c>
      <c r="H124" s="911">
        <f>IF(OR($D124="N/A",E$92="N/A"),"N/A",$D124-E$92)</f>
        <v>-272.42000000010012</v>
      </c>
      <c r="I124" s="914"/>
      <c r="J124" s="911">
        <f>IF(OR($D124="N/A",F$92="N/A"),"N/A",$D124-F$92)</f>
        <v>-136.57500000006985</v>
      </c>
      <c r="K124" s="914"/>
      <c r="L124" s="911">
        <f>IF(OR($D124="N/A",G$92="N/A"),"N/A",$D124-G$92)</f>
        <v>-100.57500000006985</v>
      </c>
      <c r="M124" s="911">
        <f>IF(OR($D124="N/A",H$92="N/A"),"N/A",$D124-H$92)</f>
        <v>-172.57500000006985</v>
      </c>
      <c r="N124" s="914"/>
      <c r="O124" s="911">
        <f>IF(OR($D124="N/A",I$92="N/A"),"N/A",$D124-I$92)</f>
        <v>-1082323.6600000043</v>
      </c>
      <c r="P124" s="911">
        <f>IF(OR($D124="N/A",J$92="N/A"),"N/A",$D124-J$92)</f>
        <v>-1082380.8200000003</v>
      </c>
      <c r="Q124" s="913"/>
      <c r="R124" s="911">
        <f>IF(OR($D124="N/A",K$92="N/A"),"N/A",$D124-K$92)</f>
        <v>0</v>
      </c>
      <c r="S124" s="911">
        <f>IF(OR($D124="N/A",L$92="N/A"),"N/A",$D124-L$92)</f>
        <v>-273.1500000001397</v>
      </c>
      <c r="T124" s="914"/>
      <c r="U124" s="911">
        <f>IF(OR($D124="N/A",M$92="N/A"),"N/A",$D124-M$92)</f>
        <v>3.9528470752411522</v>
      </c>
      <c r="V124" s="911">
        <f>IF(OR($D124="N/A",N$92="N/A"),"N/A",$D124-N$92)</f>
        <v>-277.10284707538085</v>
      </c>
      <c r="X124" s="917">
        <f>IF(OR($D124="N/A",O$92="N/A"),"N/A",$D124-O$92)</f>
        <v>9.7000000000116415</v>
      </c>
      <c r="Y124" s="917">
        <f>IF(OR($D124="N/A",P$92="N/A"),"N/A",$D124-P$92)</f>
        <v>-14.299999999988358</v>
      </c>
      <c r="AA124" s="917">
        <f>IF(OR($D124="N/A",Q$92="N/A"),"N/A",$D124-Q$92)</f>
        <v>-260.42000000010012</v>
      </c>
      <c r="AB124" s="917">
        <f>IF(OR($D124="N/A",R$92="N/A"),"N/A",$D124-R$92)</f>
        <v>-284.42000000010012</v>
      </c>
      <c r="AD124" s="268"/>
      <c r="AE124" s="268"/>
      <c r="AF124" s="268"/>
      <c r="AG124" s="268"/>
      <c r="AH124" s="268"/>
      <c r="AI124" s="292"/>
      <c r="AR124" s="268"/>
    </row>
    <row r="125" spans="2:53">
      <c r="B125" s="594"/>
      <c r="C125" s="594"/>
      <c r="D125" s="912">
        <f>K107</f>
        <v>2.2999999999883585</v>
      </c>
      <c r="E125" s="912">
        <f>D125</f>
        <v>2.2999999999883585</v>
      </c>
      <c r="F125" s="913"/>
      <c r="G125" s="912">
        <f>G126-G124</f>
        <v>2.2999999999883585</v>
      </c>
      <c r="H125" s="912">
        <f>H126-H124</f>
        <v>2.2999999999883585</v>
      </c>
      <c r="I125" s="914"/>
      <c r="J125" s="912">
        <f>J126-J124</f>
        <v>2.2999999999883585</v>
      </c>
      <c r="K125" s="914"/>
      <c r="L125" s="912">
        <f>L126-L124</f>
        <v>2.2999999999883585</v>
      </c>
      <c r="M125" s="912">
        <f>M126-M124</f>
        <v>2.2999999999883585</v>
      </c>
      <c r="N125" s="914"/>
      <c r="O125" s="912">
        <f>O126-O124</f>
        <v>2.3000000000465661</v>
      </c>
      <c r="P125" s="912">
        <f>P126-P124</f>
        <v>2.3000000000465661</v>
      </c>
      <c r="Q125" s="913"/>
      <c r="R125" s="912">
        <f>R126-R124</f>
        <v>2.2999999999883585</v>
      </c>
      <c r="S125" s="912">
        <f>S126-S124</f>
        <v>2.2999999999883585</v>
      </c>
      <c r="T125" s="914"/>
      <c r="U125" s="912">
        <f>U126-U124</f>
        <v>2.2999999999883585</v>
      </c>
      <c r="V125" s="912">
        <f>V126-V124</f>
        <v>2.2999999999883585</v>
      </c>
      <c r="X125" s="912">
        <f>X126-X124</f>
        <v>2.2999999999883585</v>
      </c>
      <c r="Y125" s="912">
        <f>Y126-Y124</f>
        <v>2.2999999999883585</v>
      </c>
      <c r="AA125" s="912">
        <f>AA126-AA124</f>
        <v>2.2999999999883585</v>
      </c>
      <c r="AB125" s="912">
        <f>AB126-AB124</f>
        <v>2.2999999999883585</v>
      </c>
      <c r="AD125" s="268"/>
      <c r="AE125" s="268"/>
      <c r="AF125" s="268"/>
      <c r="AG125" s="268"/>
      <c r="AH125" s="268"/>
      <c r="AI125" s="292"/>
      <c r="AR125" s="268"/>
      <c r="AU125" s="1010">
        <f>M359</f>
        <v>72</v>
      </c>
      <c r="AV125" s="999"/>
      <c r="AW125" s="999"/>
      <c r="AX125" s="999"/>
    </row>
    <row r="126" spans="2:53">
      <c r="B126" s="325">
        <f>G99</f>
        <v>121251.01</v>
      </c>
      <c r="C126" s="325" t="str">
        <f>G97</f>
        <v>WC 1</v>
      </c>
      <c r="D126" s="911">
        <f>G98</f>
        <v>0.11999999993713573</v>
      </c>
      <c r="E126" s="911">
        <f>L106</f>
        <v>12</v>
      </c>
      <c r="F126" s="913"/>
      <c r="G126" s="911">
        <f>IF(OR($D126="N/A",D$92="N/A"),"N/A",$D126-D$92)</f>
        <v>0</v>
      </c>
      <c r="H126" s="911">
        <f>IF(OR($D126="N/A",E$92="N/A"),"N/A",$D126-E$92)</f>
        <v>-270.12000000011176</v>
      </c>
      <c r="I126" s="914"/>
      <c r="J126" s="911">
        <f>IF(OR($D126="N/A",F$92="N/A"),"N/A",$D126-F$92)</f>
        <v>-134.27500000008149</v>
      </c>
      <c r="K126" s="914"/>
      <c r="L126" s="911">
        <f>IF(OR($D126="N/A",G$92="N/A"),"N/A",$D126-G$92)</f>
        <v>-98.275000000081491</v>
      </c>
      <c r="M126" s="911">
        <f>IF(OR($D126="N/A",H$92="N/A"),"N/A",$D126-H$92)</f>
        <v>-170.27500000008149</v>
      </c>
      <c r="N126" s="914"/>
      <c r="O126" s="911">
        <f>IF(OR($D126="N/A",I$92="N/A"),"N/A",$D126-I$92)</f>
        <v>-1082321.3600000043</v>
      </c>
      <c r="P126" s="911">
        <f>IF(OR($D126="N/A",J$92="N/A"),"N/A",$D126-J$92)</f>
        <v>-1082378.5200000003</v>
      </c>
      <c r="Q126" s="913"/>
      <c r="R126" s="911">
        <f>IF(OR($D126="N/A",K$92="N/A"),"N/A",$D126-K$92)</f>
        <v>2.2999999999883585</v>
      </c>
      <c r="S126" s="911">
        <f>IF(OR($D126="N/A",L$92="N/A"),"N/A",$D126-L$92)</f>
        <v>-270.85000000015134</v>
      </c>
      <c r="T126" s="914"/>
      <c r="U126" s="911">
        <f>IF(OR($D126="N/A",M$92="N/A"),"N/A",$D126-M$92)</f>
        <v>6.2528470752295107</v>
      </c>
      <c r="V126" s="911">
        <f>IF(OR($D126="N/A",N$92="N/A"),"N/A",$D126-N$92)</f>
        <v>-274.80284707539249</v>
      </c>
      <c r="X126" s="917">
        <f>IF(OR($D126="N/A",O$92="N/A"),"N/A",$D126-O$92)</f>
        <v>12</v>
      </c>
      <c r="Y126" s="917">
        <f>IF(OR($D126="N/A",P$92="N/A"),"N/A",$D126-P$92)</f>
        <v>-12</v>
      </c>
      <c r="AA126" s="917">
        <f>IF(OR($D126="N/A",Q$92="N/A"),"N/A",$D126-Q$92)</f>
        <v>-258.12000000011176</v>
      </c>
      <c r="AB126" s="917">
        <f>IF(OR($D126="N/A",R$92="N/A"),"N/A",$D126-R$92)</f>
        <v>-282.12000000011176</v>
      </c>
      <c r="AD126" s="268"/>
      <c r="AE126" s="268"/>
      <c r="AF126" s="268"/>
      <c r="AG126" s="268"/>
      <c r="AH126" s="268"/>
      <c r="AI126" s="292"/>
      <c r="AR126" s="268"/>
      <c r="AS126" s="992">
        <f>IF(F704="WC 1",F591,F567)</f>
        <v>-1082321.3600000043</v>
      </c>
      <c r="AT126" s="997"/>
      <c r="AU126" s="1010">
        <f>L417</f>
        <v>36</v>
      </c>
      <c r="AV126" s="999"/>
      <c r="AW126" s="1010">
        <f>O417</f>
        <v>36</v>
      </c>
      <c r="AX126" s="999"/>
      <c r="AY126" s="992">
        <f>IF(F710="WC 5",O591,O565)</f>
        <v>0</v>
      </c>
      <c r="AZ126" s="997"/>
    </row>
    <row r="127" spans="2:53">
      <c r="B127" s="594"/>
      <c r="C127" s="594"/>
      <c r="D127" s="912">
        <f>M107</f>
        <v>12</v>
      </c>
      <c r="E127" s="912">
        <f>D127</f>
        <v>12</v>
      </c>
      <c r="F127" s="913"/>
      <c r="G127" s="912">
        <f>G128-G126</f>
        <v>12</v>
      </c>
      <c r="H127" s="912">
        <f>H128-H126</f>
        <v>12</v>
      </c>
      <c r="I127" s="914"/>
      <c r="J127" s="912">
        <f>J128-J126</f>
        <v>12</v>
      </c>
      <c r="K127" s="914"/>
      <c r="L127" s="912">
        <f>L128-L126</f>
        <v>12</v>
      </c>
      <c r="M127" s="912">
        <f>M128-M126</f>
        <v>12</v>
      </c>
      <c r="N127" s="914"/>
      <c r="O127" s="912">
        <f>O128-O126</f>
        <v>12</v>
      </c>
      <c r="P127" s="912">
        <f>P128-P126</f>
        <v>12</v>
      </c>
      <c r="Q127" s="913"/>
      <c r="R127" s="912">
        <f>R128-R126</f>
        <v>12</v>
      </c>
      <c r="S127" s="912">
        <f>S128-S126</f>
        <v>12</v>
      </c>
      <c r="T127" s="914"/>
      <c r="U127" s="912">
        <f>U128-U126</f>
        <v>12</v>
      </c>
      <c r="V127" s="912">
        <f>V128-V126</f>
        <v>12</v>
      </c>
      <c r="X127" s="912">
        <f>X128-X126</f>
        <v>12</v>
      </c>
      <c r="Y127" s="912">
        <f>Y128-Y126</f>
        <v>12</v>
      </c>
      <c r="AA127" s="912">
        <f>AA128-AA126</f>
        <v>12</v>
      </c>
      <c r="AB127" s="912">
        <f>AB128-AB126</f>
        <v>12</v>
      </c>
      <c r="AD127" s="268"/>
      <c r="AE127" s="268"/>
      <c r="AF127" s="268"/>
      <c r="AG127" s="268"/>
      <c r="AH127" s="268"/>
      <c r="AI127" s="292"/>
      <c r="AR127" s="268"/>
      <c r="AU127" s="1007">
        <f>J377</f>
        <v>36</v>
      </c>
      <c r="AV127" s="1008"/>
      <c r="AW127" s="1007">
        <f>Q377</f>
        <v>36</v>
      </c>
      <c r="AX127" s="1008"/>
    </row>
    <row r="128" spans="2:53">
      <c r="B128" s="325">
        <f>H99</f>
        <v>121252.01</v>
      </c>
      <c r="C128" s="325" t="str">
        <f>H97</f>
        <v>End of repair1 - WC 13</v>
      </c>
      <c r="D128" s="911">
        <f>H98</f>
        <v>12.119999999937136</v>
      </c>
      <c r="E128" s="911">
        <f>N106</f>
        <v>24</v>
      </c>
      <c r="F128" s="913"/>
      <c r="G128" s="911">
        <f>IF(OR($D128="N/A",D$92="N/A"),"N/A",$D128-D$92)</f>
        <v>12</v>
      </c>
      <c r="H128" s="911">
        <f>IF(OR($D128="N/A",E$92="N/A"),"N/A",$D128-E$92)</f>
        <v>-258.12000000011176</v>
      </c>
      <c r="I128" s="914"/>
      <c r="J128" s="911">
        <f>IF(OR($D128="N/A",F$92="N/A"),"N/A",$D128-F$92)</f>
        <v>-122.27500000008149</v>
      </c>
      <c r="K128" s="914"/>
      <c r="L128" s="911">
        <f>IF(OR($D128="N/A",G$92="N/A"),"N/A",$D128-G$92)</f>
        <v>-86.275000000081491</v>
      </c>
      <c r="M128" s="911">
        <f>IF(OR($D128="N/A",H$92="N/A"),"N/A",$D128-H$92)</f>
        <v>-158.27500000008149</v>
      </c>
      <c r="N128" s="914"/>
      <c r="O128" s="911">
        <f>IF(OR($D128="N/A",I$92="N/A"),"N/A",$D128-I$92)</f>
        <v>-1082309.3600000043</v>
      </c>
      <c r="P128" s="911">
        <f>IF(OR($D128="N/A",J$92="N/A"),"N/A",$D128-J$92)</f>
        <v>-1082366.5200000003</v>
      </c>
      <c r="Q128" s="913"/>
      <c r="R128" s="911">
        <f>IF(OR($D128="N/A",K$92="N/A"),"N/A",$D128-K$92)</f>
        <v>14.299999999988358</v>
      </c>
      <c r="S128" s="911">
        <f>IF(OR($D128="N/A",L$92="N/A"),"N/A",$D128-L$92)</f>
        <v>-258.85000000015134</v>
      </c>
      <c r="T128" s="914"/>
      <c r="U128" s="911">
        <f>IF(OR($D128="N/A",M$92="N/A"),"N/A",$D128-M$92)</f>
        <v>18.252847075229511</v>
      </c>
      <c r="V128" s="911">
        <f>IF(OR($D128="N/A",N$92="N/A"),"N/A",$D128-N$92)</f>
        <v>-262.80284707539249</v>
      </c>
      <c r="X128" s="917">
        <f>IF(OR($D128="N/A",O$92="N/A"),"N/A",$D128-O$92)</f>
        <v>24</v>
      </c>
      <c r="Y128" s="917">
        <f>IF(OR($D128="N/A",P$92="N/A"),"N/A",$D128-P$92)</f>
        <v>0</v>
      </c>
      <c r="AA128" s="917">
        <f>IF(OR($D128="N/A",Q$92="N/A"),"N/A",$D128-Q$92)</f>
        <v>-246.12000000011176</v>
      </c>
      <c r="AB128" s="917">
        <f>IF(OR($D128="N/A",R$92="N/A"),"N/A",$D128-R$92)</f>
        <v>-270.12000000011176</v>
      </c>
      <c r="AD128" s="268"/>
      <c r="AE128" s="268"/>
      <c r="AF128" s="268"/>
      <c r="AG128" s="268"/>
      <c r="AH128" s="268"/>
      <c r="AI128" s="292"/>
      <c r="AR128" s="268"/>
    </row>
    <row r="129" spans="2:51">
      <c r="B129" s="594"/>
      <c r="C129" s="594"/>
      <c r="D129" s="912">
        <f>O107</f>
        <v>86.275000000081491</v>
      </c>
      <c r="E129" s="912">
        <f>D129</f>
        <v>86.275000000081491</v>
      </c>
      <c r="F129" s="913"/>
      <c r="G129" s="912">
        <f>G130-G128</f>
        <v>86.275000000081491</v>
      </c>
      <c r="H129" s="912">
        <f>H130-H128</f>
        <v>86.275000000081491</v>
      </c>
      <c r="I129" s="914"/>
      <c r="J129" s="912">
        <f>J130-J128</f>
        <v>86.275000000081491</v>
      </c>
      <c r="K129" s="914"/>
      <c r="L129" s="912">
        <f>L130-L128</f>
        <v>86.275000000081491</v>
      </c>
      <c r="M129" s="912">
        <f>M130-M128</f>
        <v>86.275000000081491</v>
      </c>
      <c r="N129" s="914"/>
      <c r="O129" s="912">
        <f>O130-O128</f>
        <v>86.275000000139698</v>
      </c>
      <c r="P129" s="912">
        <f>P130-P128</f>
        <v>86.275000000139698</v>
      </c>
      <c r="Q129" s="913"/>
      <c r="R129" s="912">
        <f>R130-R128</f>
        <v>86.275000000081491</v>
      </c>
      <c r="S129" s="912">
        <f>S130-S128</f>
        <v>86.275000000081491</v>
      </c>
      <c r="T129" s="914"/>
      <c r="U129" s="912">
        <f>U130-U128</f>
        <v>86.275000000081491</v>
      </c>
      <c r="V129" s="912">
        <f>V130-V128</f>
        <v>86.275000000081491</v>
      </c>
      <c r="X129" s="912">
        <f>X130-X128</f>
        <v>86.275000000081491</v>
      </c>
      <c r="Y129" s="912">
        <f>Y130-Y128</f>
        <v>86.275000000081491</v>
      </c>
      <c r="AA129" s="912">
        <f>AA130-AA128</f>
        <v>86.275000000081491</v>
      </c>
      <c r="AB129" s="912">
        <f>AB130-AB128</f>
        <v>86.275000000081491</v>
      </c>
      <c r="AR129" s="268"/>
    </row>
    <row r="130" spans="2:51">
      <c r="B130" s="325">
        <f>I99</f>
        <v>121259.19958333333</v>
      </c>
      <c r="C130" s="325" t="str">
        <f>I97</f>
        <v>WC 4 - Start Wrap</v>
      </c>
      <c r="D130" s="911">
        <f>I98</f>
        <v>98.395000000018626</v>
      </c>
      <c r="E130" s="911">
        <f>P106</f>
        <v>110.27500000008149</v>
      </c>
      <c r="F130" s="913"/>
      <c r="G130" s="911">
        <f>IF(OR($D130="N/A",D$92="N/A"),"N/A",$D130-D$92)</f>
        <v>98.275000000081491</v>
      </c>
      <c r="H130" s="911">
        <f>IF(OR($D130="N/A",E$92="N/A"),"N/A",$D130-E$92)</f>
        <v>-171.84500000003027</v>
      </c>
      <c r="I130" s="914"/>
      <c r="J130" s="911">
        <f>IF(OR($D130="N/A",F$92="N/A"),"N/A",$D130-F$92)</f>
        <v>-36</v>
      </c>
      <c r="K130" s="914"/>
      <c r="L130" s="911">
        <f>IF(OR($D130="N/A",G$92="N/A"),"N/A",$D130-G$92)</f>
        <v>0</v>
      </c>
      <c r="M130" s="911">
        <f>IF(OR($D130="N/A",H$92="N/A"),"N/A",$D130-H$92)</f>
        <v>-72</v>
      </c>
      <c r="N130" s="914"/>
      <c r="O130" s="911">
        <f>IF(OR($D130="N/A",I$92="N/A"),"N/A",$D130-I$92)</f>
        <v>-1082223.0850000042</v>
      </c>
      <c r="P130" s="915">
        <f>IF(OR($D130="N/A",J$92="N/A"),"N/A",$D130-J$92)</f>
        <v>-1082280.2450000001</v>
      </c>
      <c r="Q130" s="913"/>
      <c r="R130" s="911">
        <f>IF(OR($D130="N/A",K$92="N/A"),"N/A",$D130-K$92)</f>
        <v>100.57500000006985</v>
      </c>
      <c r="S130" s="911">
        <f>IF(OR($D130="N/A",L$92="N/A"),"N/A",$D130-L$92)</f>
        <v>-172.57500000006985</v>
      </c>
      <c r="T130" s="914"/>
      <c r="U130" s="911">
        <f>IF(OR($D130="N/A",M$92="N/A"),"N/A",$D130-M$92)</f>
        <v>104.527847075311</v>
      </c>
      <c r="V130" s="911">
        <f>IF(OR($D130="N/A",N$92="N/A"),"N/A",$D130-N$92)</f>
        <v>-176.527847075311</v>
      </c>
      <c r="X130" s="917">
        <f>IF(OR($D130="N/A",O$92="N/A"),"N/A",$D130-O$92)</f>
        <v>110.27500000008149</v>
      </c>
      <c r="Y130" s="917">
        <f>IF(OR($D130="N/A",P$92="N/A"),"N/A",$D130-P$92)</f>
        <v>86.275000000081491</v>
      </c>
      <c r="AA130" s="917">
        <f>IF(OR($D130="N/A",Q$92="N/A"),"N/A",$D130-Q$92)</f>
        <v>-159.84500000003027</v>
      </c>
      <c r="AB130" s="917">
        <f>IF(OR($D130="N/A",R$92="N/A"),"N/A",$D130-R$92)</f>
        <v>-183.84500000003027</v>
      </c>
      <c r="AR130" s="268"/>
      <c r="AT130" s="999" t="s">
        <v>390</v>
      </c>
      <c r="AU130" s="999"/>
      <c r="AX130" s="999" t="s">
        <v>391</v>
      </c>
      <c r="AY130" s="999"/>
    </row>
    <row r="131" spans="2:51">
      <c r="B131" s="594"/>
      <c r="C131" s="594"/>
      <c r="D131" s="912">
        <f>Q107</f>
        <v>36</v>
      </c>
      <c r="E131" s="912">
        <f>D131</f>
        <v>36</v>
      </c>
      <c r="F131" s="913"/>
      <c r="G131" s="912">
        <f>G132-G130</f>
        <v>36</v>
      </c>
      <c r="H131" s="912">
        <f>H132-H130</f>
        <v>36</v>
      </c>
      <c r="I131" s="914"/>
      <c r="J131" s="912">
        <f>J132-J130</f>
        <v>36</v>
      </c>
      <c r="K131" s="914"/>
      <c r="L131" s="912">
        <f>L132-L130</f>
        <v>36</v>
      </c>
      <c r="M131" s="912">
        <f>M132-M130</f>
        <v>36</v>
      </c>
      <c r="N131" s="914"/>
      <c r="O131" s="912">
        <f>O132-O130</f>
        <v>36</v>
      </c>
      <c r="P131" s="912">
        <f>P132-P130</f>
        <v>36</v>
      </c>
      <c r="Q131" s="913"/>
      <c r="R131" s="912">
        <f>R132-R130</f>
        <v>36</v>
      </c>
      <c r="S131" s="912">
        <f>S132-S130</f>
        <v>36</v>
      </c>
      <c r="T131" s="914"/>
      <c r="U131" s="912">
        <f>U132-U130</f>
        <v>36</v>
      </c>
      <c r="V131" s="912">
        <f>V132-V130</f>
        <v>36</v>
      </c>
      <c r="X131" s="912">
        <f>X132-X130</f>
        <v>36</v>
      </c>
      <c r="Y131" s="912">
        <f>Y132-Y130</f>
        <v>36</v>
      </c>
      <c r="AA131" s="912">
        <f>AA132-AA130</f>
        <v>36</v>
      </c>
      <c r="AB131" s="912">
        <f>AB132-AB130</f>
        <v>36</v>
      </c>
      <c r="AR131" s="268"/>
      <c r="AT131" s="992">
        <f>J395</f>
        <v>121259.19958333333</v>
      </c>
      <c r="AU131" s="992"/>
      <c r="AX131" s="992">
        <f>Q395</f>
        <v>121265.19958333333</v>
      </c>
      <c r="AY131" s="992"/>
    </row>
    <row r="132" spans="2:51">
      <c r="B132" s="325">
        <f>J99</f>
        <v>121262.19958333333</v>
      </c>
      <c r="C132" s="325" t="str">
        <f>J97</f>
        <v>WC 3 - Middle of Wrap</v>
      </c>
      <c r="D132" s="911">
        <f>J98</f>
        <v>134.39500000001863</v>
      </c>
      <c r="E132" s="911">
        <f>R106</f>
        <v>146.27500000008149</v>
      </c>
      <c r="F132" s="913"/>
      <c r="G132" s="911">
        <f>IF(OR($D132="N/A",D$92="N/A"),"N/A",$D132-D$92)</f>
        <v>134.27500000008149</v>
      </c>
      <c r="H132" s="911">
        <f>IF(OR($D132="N/A",E$92="N/A"),"N/A",$D132-E$92)</f>
        <v>-135.84500000003027</v>
      </c>
      <c r="I132" s="914"/>
      <c r="J132" s="911">
        <f>IF(OR($D132="N/A",F$92="N/A"),"N/A",$D132-F$92)</f>
        <v>0</v>
      </c>
      <c r="K132" s="914"/>
      <c r="L132" s="911">
        <f>IF(OR($D132="N/A",G$92="N/A"),"N/A",$D132-G$92)</f>
        <v>36</v>
      </c>
      <c r="M132" s="911">
        <f>IF(OR($D132="N/A",H$92="N/A"),"N/A",$D132-H$92)</f>
        <v>-36</v>
      </c>
      <c r="N132" s="914"/>
      <c r="O132" s="916">
        <f>IF(OR($D132="N/A",I$92="N/A"),"N/A",$D132-I$92)</f>
        <v>-1082187.0850000042</v>
      </c>
      <c r="P132" s="917">
        <f>IF(OR($D132="N/A",J$92="N/A"),"N/A",$D132-J$92)</f>
        <v>-1082244.2450000001</v>
      </c>
      <c r="Q132" s="913"/>
      <c r="R132" s="911">
        <f>IF(OR($D132="N/A",K$92="N/A"),"N/A",$D132-K$92)</f>
        <v>136.57500000006985</v>
      </c>
      <c r="S132" s="911">
        <f>IF(OR($D132="N/A",L$92="N/A"),"N/A",$D132-L$92)</f>
        <v>-136.57500000006985</v>
      </c>
      <c r="T132" s="914"/>
      <c r="U132" s="911">
        <f>IF(OR($D132="N/A",M$92="N/A"),"N/A",$D132-M$92)</f>
        <v>140.527847075311</v>
      </c>
      <c r="V132" s="911">
        <f>IF(OR($D132="N/A",N$92="N/A"),"N/A",$D132-N$92)</f>
        <v>-140.527847075311</v>
      </c>
      <c r="X132" s="917">
        <f>IF(OR($D132="N/A",O$92="N/A"),"N/A",$D132-O$92)</f>
        <v>146.27500000008149</v>
      </c>
      <c r="Y132" s="917">
        <f>IF(OR($D132="N/A",P$92="N/A"),"N/A",$D132-P$92)</f>
        <v>122.27500000008149</v>
      </c>
      <c r="AA132" s="917">
        <f>IF(OR($D132="N/A",Q$92="N/A"),"N/A",$D132-Q$92)</f>
        <v>-123.84500000003027</v>
      </c>
      <c r="AB132" s="917">
        <f>IF(OR($D132="N/A",R$92="N/A"),"N/A",$D132-R$92)</f>
        <v>-147.84500000003027</v>
      </c>
      <c r="AR132" s="268"/>
    </row>
    <row r="133" spans="2:51">
      <c r="B133" s="594"/>
      <c r="C133" s="594"/>
      <c r="D133" s="912">
        <f>S107</f>
        <v>36</v>
      </c>
      <c r="E133" s="912">
        <f>D133</f>
        <v>36</v>
      </c>
      <c r="F133" s="913"/>
      <c r="G133" s="912">
        <f>G134-G132</f>
        <v>36</v>
      </c>
      <c r="H133" s="912">
        <f>H134-H132</f>
        <v>36</v>
      </c>
      <c r="I133" s="913"/>
      <c r="J133" s="912">
        <f>J134-J132</f>
        <v>36</v>
      </c>
      <c r="K133" s="914"/>
      <c r="L133" s="912">
        <f>L134-L132</f>
        <v>36</v>
      </c>
      <c r="M133" s="912">
        <f>M134-M132</f>
        <v>36</v>
      </c>
      <c r="N133" s="914"/>
      <c r="O133" s="912">
        <f>O134-O132</f>
        <v>36</v>
      </c>
      <c r="P133" s="912">
        <f>P134-P132</f>
        <v>36</v>
      </c>
      <c r="Q133" s="913"/>
      <c r="R133" s="912">
        <f>R134-R132</f>
        <v>36</v>
      </c>
      <c r="S133" s="912">
        <f>S134-S132</f>
        <v>36</v>
      </c>
      <c r="T133" s="914"/>
      <c r="U133" s="912">
        <f>U134-U132</f>
        <v>36</v>
      </c>
      <c r="V133" s="912">
        <f>V134-V132</f>
        <v>36</v>
      </c>
      <c r="X133" s="912">
        <f>X134-X132</f>
        <v>36</v>
      </c>
      <c r="Y133" s="912">
        <f>Y134-Y132</f>
        <v>36</v>
      </c>
      <c r="AA133" s="912">
        <f>AA134-AA132</f>
        <v>36</v>
      </c>
      <c r="AB133" s="912">
        <f>AB134-AB132</f>
        <v>36</v>
      </c>
      <c r="AR133" s="268"/>
    </row>
    <row r="134" spans="2:51">
      <c r="B134" s="325">
        <f>K99</f>
        <v>121265.19958333333</v>
      </c>
      <c r="C134" s="325" t="str">
        <f>K97</f>
        <v>WC 5 - End Wrap</v>
      </c>
      <c r="D134" s="911">
        <f>K98</f>
        <v>170.39500000001863</v>
      </c>
      <c r="E134" s="911">
        <f>T106</f>
        <v>182.27500000008149</v>
      </c>
      <c r="F134" s="913"/>
      <c r="G134" s="911">
        <f>IF(OR($D134="N/A",D$92="N/A"),"N/A",$D134-D$92)</f>
        <v>170.27500000008149</v>
      </c>
      <c r="H134" s="911">
        <f>IF(OR($D134="N/A",E$92="N/A"),"N/A",$D134-E$92)</f>
        <v>-99.845000000030268</v>
      </c>
      <c r="J134" s="911">
        <f>IF(OR($D134="N/A",F$92="N/A"),"N/A",$D134-F$92)</f>
        <v>36</v>
      </c>
      <c r="K134" s="913"/>
      <c r="L134" s="911">
        <f>IF(OR($D134="N/A",G$92="N/A"),"N/A",$D134-G$92)</f>
        <v>72</v>
      </c>
      <c r="M134" s="911">
        <f>IF(OR($D134="N/A",H$92="N/A"),"N/A",$D134-H$92)</f>
        <v>0</v>
      </c>
      <c r="N134" s="913"/>
      <c r="O134" s="916">
        <f>IF(OR($D134="N/A",I$92="N/A"),"N/A",$D134-I$92)</f>
        <v>-1082151.0850000042</v>
      </c>
      <c r="P134" s="917">
        <f>IF(OR($D134="N/A",J$92="N/A"),"N/A",$D134-J$92)</f>
        <v>-1082208.2450000001</v>
      </c>
      <c r="Q134" s="913"/>
      <c r="R134" s="920">
        <f>IF(OR($D134="N/A",K$92="N/A"),"N/A",$D134-K$92)</f>
        <v>172.57500000006985</v>
      </c>
      <c r="S134" s="911">
        <f>IF(OR($D134="N/A",L$92="N/A"),"N/A",$D134-L$92)</f>
        <v>-100.57500000006985</v>
      </c>
      <c r="T134" s="914"/>
      <c r="U134" s="911">
        <f>IF(OR($D134="N/A",M$92="N/A"),"N/A",$D134-M$92)</f>
        <v>176.527847075311</v>
      </c>
      <c r="V134" s="911">
        <f>IF(OR($D134="N/A",N$92="N/A"),"N/A",$D134-N$92)</f>
        <v>-104.527847075311</v>
      </c>
      <c r="X134" s="917">
        <f>IF(OR($D134="N/A",O$92="N/A"),"N/A",$D134-O$92)</f>
        <v>182.27500000008149</v>
      </c>
      <c r="Y134" s="917">
        <f>IF(OR($D134="N/A",P$92="N/A"),"N/A",$D134-P$92)</f>
        <v>158.27500000008149</v>
      </c>
      <c r="AA134" s="917">
        <f>IF(OR($D134="N/A",Q$92="N/A"),"N/A",$D134-Q$92)</f>
        <v>-87.845000000030268</v>
      </c>
      <c r="AB134" s="917">
        <f>IF(OR($D134="N/A",R$92="N/A"),"N/A",$D134-R$92)</f>
        <v>-111.84500000003027</v>
      </c>
      <c r="AR134" s="268"/>
      <c r="AT134" t="s">
        <v>435</v>
      </c>
      <c r="AU134" s="320">
        <f>MIN(AT111,AT131)</f>
        <v>121251.01</v>
      </c>
      <c r="AX134" t="s">
        <v>436</v>
      </c>
      <c r="AY134" s="320" cm="1">
        <f t="array" ref="AY134">_xlfn.LET(
_xlpm.a,TEXT(INT(AU134),"0"),
_xlpm.b,TEXT(INT(AU138),"0"),
_xlpm.n,MAX(LEN(_xlpm.a),LEN(_xlpm.b)),
_xlpm.x,RIGHT(REPT("0",_xlpm.n)&amp;_xlpm.a,_xlpm.n),
_xlpm.y,RIGHT(REPT("0",_xlpm.n)&amp;_xlpm.b,_xlpm.n),
_xlpm.p,_xlfn.XMATCH(TRUE,MID(_xlpm.x,_xlfn.SEQUENCE(_xlpm.n),1)&lt;&gt;MID(_xlpm.y,_xlfn.SEQUENCE(_xlpm.n),1)),
IFERROR(10^(_xlpm.n-_xlpm.p),0)
)</f>
        <v>100000</v>
      </c>
    </row>
    <row r="135" spans="2:51">
      <c r="B135" s="594"/>
      <c r="C135" s="594"/>
      <c r="D135" s="912">
        <f>U107</f>
        <v>87.845000000030268</v>
      </c>
      <c r="E135" s="912">
        <f>D135</f>
        <v>87.845000000030268</v>
      </c>
      <c r="F135" s="913"/>
      <c r="G135" s="912">
        <f>G136-G134</f>
        <v>87.845000000030268</v>
      </c>
      <c r="H135" s="912">
        <f>H136-H134</f>
        <v>87.845000000030268</v>
      </c>
      <c r="I135" s="914"/>
      <c r="J135" s="912">
        <f>J136-J134</f>
        <v>87.845000000030268</v>
      </c>
      <c r="K135" s="914"/>
      <c r="L135" s="912">
        <f>L136-L134</f>
        <v>87.845000000030268</v>
      </c>
      <c r="M135" s="912">
        <f>M136-M134</f>
        <v>87.845000000030268</v>
      </c>
      <c r="N135" s="914"/>
      <c r="O135" s="912">
        <f>O136-O134</f>
        <v>87.84499999997206</v>
      </c>
      <c r="P135" s="912">
        <f>P136-P134</f>
        <v>87.84499999997206</v>
      </c>
      <c r="Q135" s="913"/>
      <c r="R135" s="912">
        <f>R136-R134</f>
        <v>87.845000000030268</v>
      </c>
      <c r="S135" s="912">
        <f>S136-S134</f>
        <v>87.845000000030268</v>
      </c>
      <c r="T135" s="914"/>
      <c r="U135" s="912">
        <f>U136-U134</f>
        <v>87.845000000030268</v>
      </c>
      <c r="V135" s="912">
        <f>V136-V134</f>
        <v>87.845000000030268</v>
      </c>
      <c r="X135" s="912">
        <f>X136-X134</f>
        <v>87.845000000030268</v>
      </c>
      <c r="Y135" s="912">
        <f>Y136-Y134</f>
        <v>87.845000000030268</v>
      </c>
      <c r="AA135" s="912">
        <f>AA136-AA134</f>
        <v>87.845000000030268</v>
      </c>
      <c r="AB135" s="912">
        <f>AB136-AB134</f>
        <v>87.845000000030268</v>
      </c>
      <c r="AR135" s="268"/>
    </row>
    <row r="136" spans="2:51">
      <c r="B136" s="325">
        <f>L99</f>
        <v>121272.52</v>
      </c>
      <c r="C136" s="325" t="str">
        <f>L97</f>
        <v>WC 14 - Start of repair2</v>
      </c>
      <c r="D136" s="911">
        <f>L98</f>
        <v>258.24000000004889</v>
      </c>
      <c r="E136" s="911">
        <f>V106</f>
        <v>270.12000000011176</v>
      </c>
      <c r="F136" s="913"/>
      <c r="G136" s="911">
        <f>IF(OR($D136="N/A",D$92="N/A"),"N/A",$D136-D$92)</f>
        <v>258.12000000011176</v>
      </c>
      <c r="H136" s="911">
        <f>IF(OR($D136="N/A",E$92="N/A"),"N/A",$D136-E$92)</f>
        <v>-12</v>
      </c>
      <c r="I136" s="913"/>
      <c r="J136" s="911">
        <f>IF(OR($D136="N/A",F$92="N/A"),"N/A",$D136-F$92)</f>
        <v>123.84500000003027</v>
      </c>
      <c r="K136" s="913"/>
      <c r="L136" s="911">
        <f>IF(OR($D136="N/A",G$92="N/A"),"N/A",$D136-G$92)</f>
        <v>159.84500000003027</v>
      </c>
      <c r="M136" s="911">
        <f>IF(OR($D136="N/A",H$92="N/A"),"N/A",$D136-H$92)</f>
        <v>87.845000000030268</v>
      </c>
      <c r="N136" s="913"/>
      <c r="O136" s="916">
        <f>IF(OR($D136="N/A",I$92="N/A"),"N/A",$D136-I$92)</f>
        <v>-1082063.2400000042</v>
      </c>
      <c r="P136" s="917">
        <f>IF(OR($D136="N/A",J$92="N/A"),"N/A",$D136-J$92)</f>
        <v>-1082120.4000000001</v>
      </c>
      <c r="Q136" s="913"/>
      <c r="R136" s="911">
        <f>IF(OR($D136="N/A",K$92="N/A"),"N/A",$D136-K$92)</f>
        <v>260.42000000010012</v>
      </c>
      <c r="S136" s="911">
        <f>IF(OR($D136="N/A",L$92="N/A"),"N/A",$D136-L$92)</f>
        <v>-12.730000000039581</v>
      </c>
      <c r="T136" s="914"/>
      <c r="U136" s="911">
        <f>IF(OR($D136="N/A",M$92="N/A"),"N/A",$D136-M$92)</f>
        <v>264.37284707534127</v>
      </c>
      <c r="V136" s="911">
        <f>IF(OR($D136="N/A",N$92="N/A"),"N/A",$D136-N$92)</f>
        <v>-16.682847075280733</v>
      </c>
      <c r="X136" s="917">
        <f>IF(OR($D136="N/A",O$92="N/A"),"N/A",$D136-O$92)</f>
        <v>270.12000000011176</v>
      </c>
      <c r="Y136" s="917">
        <f>IF(OR($D136="N/A",P$92="N/A"),"N/A",$D136-P$92)</f>
        <v>246.12000000011176</v>
      </c>
      <c r="AA136" s="917">
        <f>IF(OR($D136="N/A",Q$92="N/A"),"N/A",$D136-Q$92)</f>
        <v>0</v>
      </c>
      <c r="AB136" s="917">
        <f>IF(OR($D136="N/A",R$92="N/A"),"N/A",$D136-R$92)</f>
        <v>-24</v>
      </c>
      <c r="AR136" s="268"/>
      <c r="AT136" t="s">
        <v>437</v>
      </c>
      <c r="AU136" s="320">
        <f>MIN(AX111,AX131)</f>
        <v>121265.19958333333</v>
      </c>
    </row>
    <row r="137" spans="2:51">
      <c r="B137" s="594"/>
      <c r="C137" s="594"/>
      <c r="D137" s="912">
        <f>W107</f>
        <v>12</v>
      </c>
      <c r="E137" s="912">
        <f>D137</f>
        <v>12</v>
      </c>
      <c r="F137" s="913"/>
      <c r="G137" s="912">
        <f>G138-G136</f>
        <v>12</v>
      </c>
      <c r="H137" s="912">
        <f>H138-H136</f>
        <v>12</v>
      </c>
      <c r="I137" s="914"/>
      <c r="J137" s="912">
        <f>J138-J136</f>
        <v>12</v>
      </c>
      <c r="K137" s="914"/>
      <c r="L137" s="912">
        <f>L138-L136</f>
        <v>12</v>
      </c>
      <c r="M137" s="912">
        <f>M138-M136</f>
        <v>12</v>
      </c>
      <c r="N137" s="914"/>
      <c r="O137" s="912">
        <f>O138-O136</f>
        <v>12</v>
      </c>
      <c r="P137" s="912">
        <f>P138-P136</f>
        <v>12</v>
      </c>
      <c r="Q137" s="913"/>
      <c r="R137" s="912">
        <f>R138-R136</f>
        <v>12</v>
      </c>
      <c r="S137" s="912">
        <f>S138-S136</f>
        <v>12</v>
      </c>
      <c r="T137" s="914"/>
      <c r="U137" s="912">
        <f>U138-U136</f>
        <v>12</v>
      </c>
      <c r="V137" s="912">
        <f>V138-V136</f>
        <v>12</v>
      </c>
      <c r="X137" s="912">
        <f>X138-X136</f>
        <v>12</v>
      </c>
      <c r="Y137" s="912">
        <f>Y138-Y136</f>
        <v>12</v>
      </c>
      <c r="AA137" s="912">
        <f>AA138-AA136</f>
        <v>12</v>
      </c>
      <c r="AB137" s="912">
        <f>AB138-AB136</f>
        <v>12</v>
      </c>
      <c r="AR137" s="268"/>
    </row>
    <row r="138" spans="2:51">
      <c r="B138" s="325">
        <f>M99</f>
        <v>121273.52</v>
      </c>
      <c r="C138" s="325" t="str">
        <f>M97</f>
        <v>WC 2</v>
      </c>
      <c r="D138" s="911">
        <f>M98</f>
        <v>270.24000000004889</v>
      </c>
      <c r="E138" s="911">
        <f>X106</f>
        <v>282.12000000011176</v>
      </c>
      <c r="F138" s="913"/>
      <c r="G138" s="911">
        <f>IF(OR($D138="N/A",D$92="N/A"),"N/A",$D138-D$92)</f>
        <v>270.12000000011176</v>
      </c>
      <c r="H138" s="911">
        <f>IF(OR($D138="N/A",E$92="N/A"),"N/A",$D138-E$92)</f>
        <v>0</v>
      </c>
      <c r="I138" s="913"/>
      <c r="J138" s="911">
        <f>IF(OR($D138="N/A",F$92="N/A"),"N/A",$D138-F$92)</f>
        <v>135.84500000003027</v>
      </c>
      <c r="K138" s="913"/>
      <c r="L138" s="911">
        <f>IF(OR($D138="N/A",G$92="N/A"),"N/A",$D138-G$92)</f>
        <v>171.84500000003027</v>
      </c>
      <c r="M138" s="911">
        <f>IF(OR($D138="N/A",H$92="N/A"),"N/A",$D138-H$92)</f>
        <v>99.845000000030268</v>
      </c>
      <c r="N138" s="913"/>
      <c r="O138" s="916">
        <f>IF(OR($D138="N/A",I$92="N/A"),"N/A",$D138-I$92)</f>
        <v>-1082051.2400000042</v>
      </c>
      <c r="P138" s="917">
        <f>IF(OR($D138="N/A",J$92="N/A"),"N/A",$D138-J$92)</f>
        <v>-1082108.4000000001</v>
      </c>
      <c r="Q138" s="913"/>
      <c r="R138" s="911">
        <f>IF(OR($D138="N/A",K$92="N/A"),"N/A",$D138-K$92)</f>
        <v>272.42000000010012</v>
      </c>
      <c r="S138" s="911">
        <f>IF(OR($D138="N/A",L$92="N/A"),"N/A",$D138-L$92)</f>
        <v>-0.73000000003958121</v>
      </c>
      <c r="T138" s="914"/>
      <c r="U138" s="911">
        <f>IF(OR($D138="N/A",M$92="N/A"),"N/A",$D138-M$92)</f>
        <v>276.37284707534127</v>
      </c>
      <c r="V138" s="911">
        <f>IF(OR($D138="N/A",N$92="N/A"),"N/A",$D138-N$92)</f>
        <v>-4.6828470752807334</v>
      </c>
      <c r="X138" s="917">
        <f>IF(OR($D138="N/A",O$92="N/A"),"N/A",$D138-O$92)</f>
        <v>282.12000000011176</v>
      </c>
      <c r="Y138" s="917">
        <f>IF(OR($D138="N/A",P$92="N/A"),"N/A",$D138-P$92)</f>
        <v>258.12000000011176</v>
      </c>
      <c r="AA138" s="917">
        <f>IF(OR($D138="N/A",Q$92="N/A"),"N/A",$D138-Q$92)</f>
        <v>12</v>
      </c>
      <c r="AB138" s="917">
        <f>IF(OR($D138="N/A",R$92="N/A"),"N/A",$D138-R$92)</f>
        <v>-12</v>
      </c>
      <c r="AR138" s="268"/>
      <c r="AT138" t="s">
        <v>438</v>
      </c>
      <c r="AU138" s="320">
        <f>MAX(AU136,G8)</f>
        <v>211449.22</v>
      </c>
    </row>
    <row r="139" spans="2:51">
      <c r="B139" s="594"/>
      <c r="C139" s="594"/>
      <c r="D139" s="912">
        <f>Y107</f>
        <v>0.73000000003958121</v>
      </c>
      <c r="E139" s="912">
        <f>D139</f>
        <v>0.73000000003958121</v>
      </c>
      <c r="F139" s="913"/>
      <c r="G139" s="912">
        <f>G140-G138</f>
        <v>0.73000000003958121</v>
      </c>
      <c r="H139" s="912">
        <f>H140-H138</f>
        <v>0.73000000003958121</v>
      </c>
      <c r="I139" s="914"/>
      <c r="J139" s="912">
        <f>J140-J138</f>
        <v>0.73000000003958121</v>
      </c>
      <c r="K139" s="914"/>
      <c r="L139" s="912">
        <f>L140-L138</f>
        <v>0.73000000003958121</v>
      </c>
      <c r="M139" s="912">
        <f>M140-M138</f>
        <v>0.73000000003958121</v>
      </c>
      <c r="N139" s="914"/>
      <c r="O139" s="912">
        <f>O140-O138</f>
        <v>0.73000000021420419</v>
      </c>
      <c r="P139" s="912">
        <f>P140-P138</f>
        <v>0.73000000021420419</v>
      </c>
      <c r="Q139" s="913"/>
      <c r="R139" s="912">
        <f>R140-R138</f>
        <v>0.73000000003958121</v>
      </c>
      <c r="S139" s="912">
        <f>S140-S138</f>
        <v>0.73000000003958121</v>
      </c>
      <c r="T139" s="914"/>
      <c r="U139" s="912">
        <f>U140-U138</f>
        <v>0.73000000003958121</v>
      </c>
      <c r="V139" s="912">
        <f>V140-V138</f>
        <v>0.73000000003958121</v>
      </c>
      <c r="X139" s="912">
        <f>X140-X138</f>
        <v>0.73000000003958121</v>
      </c>
      <c r="Y139" s="912">
        <f>Y140-Y138</f>
        <v>0.73000000003958121</v>
      </c>
      <c r="AA139" s="912">
        <f>AA140-AA138</f>
        <v>0.73000000003958121</v>
      </c>
      <c r="AB139" s="912">
        <f>AB140-AB138</f>
        <v>0.73000000003958121</v>
      </c>
      <c r="AR139" s="268"/>
    </row>
    <row r="140" spans="2:51">
      <c r="B140" s="325">
        <f>N99</f>
        <v>121273.58083333334</v>
      </c>
      <c r="C140" s="325" t="str">
        <f>N97</f>
        <v>End of Defect - WC 9 - Start L_over2</v>
      </c>
      <c r="D140" s="911">
        <f>N98</f>
        <v>270.97000000008848</v>
      </c>
      <c r="E140" s="911">
        <f>Z106</f>
        <v>282.85000000015134</v>
      </c>
      <c r="F140" s="913"/>
      <c r="G140" s="911">
        <f>IF(OR($D140="N/A",D$92="N/A"),"N/A",$D140-D$92)</f>
        <v>270.85000000015134</v>
      </c>
      <c r="H140" s="911">
        <f>IF(OR($D140="N/A",E$92="N/A"),"N/A",$D140-E$92)</f>
        <v>0.73000000003958121</v>
      </c>
      <c r="I140" s="913"/>
      <c r="J140" s="911">
        <f>IF(OR($D140="N/A",F$92="N/A"),"N/A",$D140-F$92)</f>
        <v>136.57500000006985</v>
      </c>
      <c r="K140" s="913"/>
      <c r="L140" s="911">
        <f>IF(OR($D140="N/A",G$92="N/A"),"N/A",$D140-G$92)</f>
        <v>172.57500000006985</v>
      </c>
      <c r="M140" s="911">
        <f>IF(OR($D140="N/A",H$92="N/A"),"N/A",$D140-H$92)</f>
        <v>100.57500000006985</v>
      </c>
      <c r="N140" s="913"/>
      <c r="O140" s="916">
        <f>IF(OR($D140="N/A",I$92="N/A"),"N/A",$D140-I$92)</f>
        <v>-1082050.510000004</v>
      </c>
      <c r="P140" s="917">
        <f>IF(OR($D140="N/A",J$92="N/A"),"N/A",$D140-J$92)</f>
        <v>-1082107.67</v>
      </c>
      <c r="Q140" s="913"/>
      <c r="R140" s="911">
        <f>IF(OR($D140="N/A",K$92="N/A"),"N/A",$D140-K$92)</f>
        <v>273.1500000001397</v>
      </c>
      <c r="S140" s="911">
        <f>IF(OR($D140="N/A",L$92="N/A"),"N/A",$D140-L$92)</f>
        <v>0</v>
      </c>
      <c r="T140" s="914"/>
      <c r="U140" s="911">
        <f>IF(OR($D140="N/A",M$92="N/A"),"N/A",$D140-M$92)</f>
        <v>277.10284707538085</v>
      </c>
      <c r="V140" s="911">
        <f>IF(OR($D140="N/A",N$92="N/A"),"N/A",$D140-N$92)</f>
        <v>-3.9528470752411522</v>
      </c>
      <c r="X140" s="917">
        <f>IF(OR($D140="N/A",O$92="N/A"),"N/A",$D140-O$92)</f>
        <v>282.85000000015134</v>
      </c>
      <c r="Y140" s="917">
        <f>IF(OR($D140="N/A",P$92="N/A"),"N/A",$D140-P$92)</f>
        <v>258.85000000015134</v>
      </c>
      <c r="AA140" s="917">
        <f>IF(OR($D140="N/A",Q$92="N/A"),"N/A",$D140-Q$92)</f>
        <v>12.730000000039581</v>
      </c>
      <c r="AB140" s="917">
        <f>IF(OR($D140="N/A",R$92="N/A"),"N/A",$D140-R$92)</f>
        <v>-11.269999999960419</v>
      </c>
      <c r="AR140" s="268"/>
      <c r="AT140" s="1005" t="str">
        <f>AT110</f>
        <v>WC 1</v>
      </c>
      <c r="AU140" s="1006"/>
      <c r="AX140" s="1005" t="str">
        <f>AX110</f>
        <v>WC 2</v>
      </c>
      <c r="AY140" s="1006"/>
    </row>
    <row r="141" spans="2:51">
      <c r="B141" s="594"/>
      <c r="C141" s="594"/>
      <c r="D141" s="912">
        <f>AA107</f>
        <v>3.9528470752411522</v>
      </c>
      <c r="E141" s="912">
        <f>D141</f>
        <v>3.9528470752411522</v>
      </c>
      <c r="G141" s="912">
        <f>G142-G140</f>
        <v>3.9528470752411522</v>
      </c>
      <c r="H141" s="912">
        <f>H142-H140</f>
        <v>3.9528470752411522</v>
      </c>
      <c r="J141" s="912">
        <f>J142-J140</f>
        <v>3.9528470752411522</v>
      </c>
      <c r="L141" s="912">
        <f>L142-L140</f>
        <v>3.9528470752411522</v>
      </c>
      <c r="M141" s="912">
        <f>M142-M140</f>
        <v>3.9528470752411522</v>
      </c>
      <c r="O141" s="912">
        <f>O142-O140</f>
        <v>3.9528470751829445</v>
      </c>
      <c r="P141" s="912">
        <f>P142-P140</f>
        <v>3.9528470751829445</v>
      </c>
      <c r="R141" s="912">
        <f>R142-R140</f>
        <v>3.9528470752411522</v>
      </c>
      <c r="S141" s="912">
        <f>S142-S140</f>
        <v>3.9528470752411522</v>
      </c>
      <c r="U141" s="912">
        <f>U142-U140</f>
        <v>3.9528470752411522</v>
      </c>
      <c r="V141" s="912">
        <f>V142-V140</f>
        <v>3.9528470752411522</v>
      </c>
      <c r="X141" s="912">
        <f>X142-X140</f>
        <v>3.9528470752411522</v>
      </c>
      <c r="Y141" s="912">
        <f>Y142-Y140</f>
        <v>3.9528470752411522</v>
      </c>
      <c r="AA141" s="912">
        <f>AA142-AA140</f>
        <v>3.9528470752411522</v>
      </c>
      <c r="AB141" s="912">
        <f>AB142-AB140</f>
        <v>3.9528470752411522</v>
      </c>
      <c r="AR141" s="268"/>
      <c r="AT141" s="1003">
        <f>MOD(AT111,10^LEN(INT($AY$134)))</f>
        <v>121251.01</v>
      </c>
      <c r="AU141" s="1004"/>
      <c r="AX141" s="1003">
        <f>MOD(AX111,10^LEN(INT($AY$134)))</f>
        <v>121273.52</v>
      </c>
      <c r="AY141" s="1004"/>
    </row>
    <row r="142" spans="2:51">
      <c r="B142" s="325">
        <f>O99</f>
        <v>121273.91023725628</v>
      </c>
      <c r="C142" s="325" t="str">
        <f>O97</f>
        <v>End of L_over2 - WC 11</v>
      </c>
      <c r="D142" s="911">
        <f>O98</f>
        <v>274.92284707532963</v>
      </c>
      <c r="E142" s="911">
        <f>AB106</f>
        <v>286.80284707539249</v>
      </c>
      <c r="G142" s="911">
        <f>IF(OR($D142="N/A",D$92="N/A"),"N/A",$D142-D$92)</f>
        <v>274.80284707539249</v>
      </c>
      <c r="H142" s="911">
        <f>IF(OR($D142="N/A",E$92="N/A"),"N/A",$D142-E$92)</f>
        <v>4.6828470752807334</v>
      </c>
      <c r="J142" s="911">
        <f>IF(OR($D142="N/A",F$92="N/A"),"N/A",$D142-F$92)</f>
        <v>140.527847075311</v>
      </c>
      <c r="L142" s="911">
        <f>IF(OR($D142="N/A",G$92="N/A"),"N/A",$D142-G$92)</f>
        <v>176.527847075311</v>
      </c>
      <c r="M142" s="911">
        <f>IF(OR($D142="N/A",H$92="N/A"),"N/A",$D142-H$92)</f>
        <v>104.527847075311</v>
      </c>
      <c r="O142" s="916">
        <f>IF(OR($D142="N/A",I$92="N/A"),"N/A",$D142-I$92)</f>
        <v>-1082046.5571529288</v>
      </c>
      <c r="P142" s="917">
        <f>IF(OR($D142="N/A",J$92="N/A"),"N/A",$D142-J$92)</f>
        <v>-1082103.7171529247</v>
      </c>
      <c r="R142" s="911">
        <f>IF(OR($D142="N/A",K$92="N/A"),"N/A",$D142-K$92)</f>
        <v>277.10284707538085</v>
      </c>
      <c r="S142" s="911">
        <f>IF(OR($D142="N/A",L$92="N/A"),"N/A",$D142-L$92)</f>
        <v>3.9528470752411522</v>
      </c>
      <c r="U142" s="911">
        <f>IF(OR($D142="N/A",M$92="N/A"),"N/A",$D142-M$92)</f>
        <v>281.055694150622</v>
      </c>
      <c r="V142" s="911">
        <f>IF(OR($D142="N/A",N$92="N/A"),"N/A",$D142-N$92)</f>
        <v>0</v>
      </c>
      <c r="X142" s="917">
        <f>IF(OR($D142="N/A",O$92="N/A"),"N/A",$D142-O$92)</f>
        <v>286.80284707539249</v>
      </c>
      <c r="Y142" s="917">
        <f>IF(OR($D142="N/A",P$92="N/A"),"N/A",$D142-P$92)</f>
        <v>262.80284707539249</v>
      </c>
      <c r="AA142" s="917">
        <f>IF(OR($D142="N/A",Q$92="N/A"),"N/A",$D142-Q$92)</f>
        <v>16.682847075280733</v>
      </c>
      <c r="AB142" s="917">
        <f>IF(OR($D142="N/A",R$92="N/A"),"N/A",$D142-R$92)</f>
        <v>-7.3171529247192666</v>
      </c>
      <c r="AR142" s="268"/>
    </row>
    <row r="143" spans="2:51">
      <c r="B143" s="594"/>
      <c r="C143" s="594"/>
      <c r="D143" s="912">
        <f>AC107</f>
        <v>7.3171529247192666</v>
      </c>
      <c r="E143" s="912">
        <f>D143</f>
        <v>7.3171529247192666</v>
      </c>
      <c r="G143" s="912">
        <f>G144-G142</f>
        <v>7.3171529247192666</v>
      </c>
      <c r="H143" s="912">
        <f>H144-H142</f>
        <v>7.3171529247192666</v>
      </c>
      <c r="J143" s="912">
        <f>J144-J142</f>
        <v>7.3171529247192666</v>
      </c>
      <c r="L143" s="912">
        <f>L144-L142</f>
        <v>7.3171529247192666</v>
      </c>
      <c r="M143" s="912">
        <f>M144-M142</f>
        <v>7.3171529247192666</v>
      </c>
      <c r="O143" s="912">
        <f>O144-O142</f>
        <v>7.3171529246028513</v>
      </c>
      <c r="P143" s="912">
        <f>P144-P142</f>
        <v>7.3171529246028513</v>
      </c>
      <c r="R143" s="912">
        <f>R144-R142</f>
        <v>7.3171529247192666</v>
      </c>
      <c r="S143" s="912">
        <f>S144-S142</f>
        <v>7.3171529247192666</v>
      </c>
      <c r="U143" s="912">
        <f>U144-U142</f>
        <v>7.3171529247192666</v>
      </c>
      <c r="V143" s="912">
        <f>V144-V142</f>
        <v>7.3171529247192666</v>
      </c>
      <c r="X143" s="912">
        <f>X144-X142</f>
        <v>7.3171529247192666</v>
      </c>
      <c r="Y143" s="912">
        <f>Y144-Y142</f>
        <v>7.3171529247192666</v>
      </c>
      <c r="AA143" s="912">
        <f>AA144-AA142</f>
        <v>7.3171529247192666</v>
      </c>
      <c r="AB143" s="912">
        <f>AB144-AB142</f>
        <v>7.3171529247192666</v>
      </c>
      <c r="AR143" s="268"/>
    </row>
    <row r="144" spans="2:51">
      <c r="B144" s="325">
        <f>P99</f>
        <v>121274.52</v>
      </c>
      <c r="C144" s="325" t="str">
        <f>P97</f>
        <v>End of repair2 - WC 15</v>
      </c>
      <c r="D144" s="911">
        <f>P98</f>
        <v>282.24000000004889</v>
      </c>
      <c r="E144" s="911">
        <f>AD106</f>
        <v>294.12000000011176</v>
      </c>
      <c r="G144" s="911">
        <f>IF(OR($D144="N/A",D$92="N/A"),"N/A",$D144-D$92)</f>
        <v>282.12000000011176</v>
      </c>
      <c r="H144" s="911">
        <f>IF(OR($D144="N/A",E$92="N/A"),"N/A",$D144-E$92)</f>
        <v>12</v>
      </c>
      <c r="J144" s="911">
        <f>IF(OR($D144="N/A",F$92="N/A"),"N/A",$D144-F$92)</f>
        <v>147.84500000003027</v>
      </c>
      <c r="L144" s="911">
        <f>IF(OR($D144="N/A",G$92="N/A"),"N/A",$D144-G$92)</f>
        <v>183.84500000003027</v>
      </c>
      <c r="M144" s="911">
        <f>IF(OR($D144="N/A",H$92="N/A"),"N/A",$D144-H$92)</f>
        <v>111.84500000003027</v>
      </c>
      <c r="O144" s="916">
        <f>IF(OR($D144="N/A",I$92="N/A"),"N/A",$D144-I$92)</f>
        <v>-1082039.2400000042</v>
      </c>
      <c r="P144" s="917">
        <f>IF(OR($D144="N/A",J$92="N/A"),"N/A",$D144-J$92)</f>
        <v>-1082096.4000000001</v>
      </c>
      <c r="R144" s="911">
        <f>IF(OR($D144="N/A",K$92="N/A"),"N/A",$D144-K$92)</f>
        <v>284.42000000010012</v>
      </c>
      <c r="S144" s="911">
        <f>IF(OR($D144="N/A",L$92="N/A"),"N/A",$D144-L$92)</f>
        <v>11.269999999960419</v>
      </c>
      <c r="U144" s="911">
        <f>IF(OR($D144="N/A",M$92="N/A"),"N/A",$D144-M$92)</f>
        <v>288.37284707534127</v>
      </c>
      <c r="V144" s="911">
        <f>IF(OR($D144="N/A",N$92="N/A"),"N/A",$D144-N$92)</f>
        <v>7.3171529247192666</v>
      </c>
      <c r="X144" s="917">
        <f>IF(OR($D144="N/A",O$92="N/A"),"N/A",$D144-O$92)</f>
        <v>294.12000000011176</v>
      </c>
      <c r="Y144" s="917">
        <f>IF(OR($D144="N/A",P$92="N/A"),"N/A",$D144-P$92)</f>
        <v>270.12000000011176</v>
      </c>
      <c r="AA144" s="917">
        <f>IF(OR($D144="N/A",Q$92="N/A"),"N/A",$D144-Q$92)</f>
        <v>24</v>
      </c>
      <c r="AB144" s="917">
        <f>IF(OR($D144="N/A",R$92="N/A"),"N/A",$D144-R$92)</f>
        <v>0</v>
      </c>
      <c r="AR144" s="268"/>
      <c r="AU144" s="1007">
        <f>AU114</f>
        <v>134.27500000005588</v>
      </c>
      <c r="AV144" s="1008"/>
      <c r="AW144" s="1007">
        <f>AW114</f>
        <v>135.8450000000559</v>
      </c>
      <c r="AX144" s="1008"/>
    </row>
    <row r="145" spans="2:53">
      <c r="B145" s="594"/>
      <c r="C145" s="594"/>
      <c r="D145" s="912">
        <f>AE107</f>
        <v>1082039.2400000042</v>
      </c>
      <c r="E145" s="912">
        <f>D145</f>
        <v>1082039.2400000042</v>
      </c>
      <c r="G145" s="912">
        <f>G146-G144</f>
        <v>1082039.2400000042</v>
      </c>
      <c r="H145" s="912">
        <f>H146-H144</f>
        <v>1082039.2400000042</v>
      </c>
      <c r="J145" s="912">
        <f>J146-J144</f>
        <v>1082039.2400000042</v>
      </c>
      <c r="L145" s="912">
        <f>L146-L144</f>
        <v>1082039.2400000042</v>
      </c>
      <c r="M145" s="912">
        <f>M146-M144</f>
        <v>1082039.2400000042</v>
      </c>
      <c r="O145" s="912">
        <f>O146-O144</f>
        <v>1082039.2400000042</v>
      </c>
      <c r="P145" s="912">
        <f>P146-P144</f>
        <v>1082039.2400000042</v>
      </c>
      <c r="R145" s="912">
        <f>R146-R144</f>
        <v>1082039.2400000042</v>
      </c>
      <c r="S145" s="912">
        <f>S146-S144</f>
        <v>1082039.2400000039</v>
      </c>
      <c r="U145" s="912">
        <f>U146-U144</f>
        <v>1082039.2400000042</v>
      </c>
      <c r="V145" s="912">
        <f>V146-V144</f>
        <v>1082039.2400000039</v>
      </c>
      <c r="X145" s="912">
        <f>X146-X144</f>
        <v>1082039.2400000042</v>
      </c>
      <c r="Y145" s="912">
        <f>Y146-Y144</f>
        <v>1082039.2400000042</v>
      </c>
      <c r="AA145" s="912">
        <f>AA146-AA144</f>
        <v>1082039.2400000042</v>
      </c>
      <c r="AB145" s="912">
        <f>AB146-AB144</f>
        <v>1082039.2400000042</v>
      </c>
      <c r="AR145" s="268"/>
      <c r="AS145" s="992">
        <f>AS115</f>
        <v>-1082321.3600000043</v>
      </c>
      <c r="AT145" s="997"/>
      <c r="AU145" s="1003">
        <f>AU115</f>
        <v>134.27500000008149</v>
      </c>
      <c r="AV145" s="1004"/>
      <c r="AW145" s="1003">
        <f>AW115</f>
        <v>135.84500000003027</v>
      </c>
      <c r="AX145" s="1004"/>
      <c r="AY145" s="992">
        <f>AY115</f>
        <v>1082108.4000000001</v>
      </c>
      <c r="AZ145" s="997"/>
    </row>
    <row r="146" spans="2:53">
      <c r="B146" s="325">
        <f>Q99</f>
        <v>211444.45666666701</v>
      </c>
      <c r="C146" s="325" t="str">
        <f>Q97</f>
        <v>WC 6 - Left Limit</v>
      </c>
      <c r="D146" s="911">
        <f>Q98</f>
        <v>1082321.4800000042</v>
      </c>
      <c r="E146" s="911">
        <f>AF106</f>
        <v>1082333.3600000043</v>
      </c>
      <c r="G146" s="911">
        <f>IF(OR($D146="N/A",D$92="N/A"),"N/A",$D146-D$92)</f>
        <v>1082321.3600000043</v>
      </c>
      <c r="H146" s="911">
        <f>IF(OR($D146="N/A",E$92="N/A"),"N/A",$D146-E$92)</f>
        <v>1082051.2400000042</v>
      </c>
      <c r="J146" s="911">
        <f>IF(OR($D146="N/A",F$92="N/A"),"N/A",$D146-F$92)</f>
        <v>1082187.0850000042</v>
      </c>
      <c r="L146" s="911">
        <f>IF(OR($D146="N/A",G$92="N/A"),"N/A",$D146-G$92)</f>
        <v>1082223.0850000042</v>
      </c>
      <c r="M146" s="911">
        <f>IF(OR($D146="N/A",H$92="N/A"),"N/A",$D146-H$92)</f>
        <v>1082151.0850000042</v>
      </c>
      <c r="O146" s="916">
        <f>IF(OR($D146="N/A",I$92="N/A"),"N/A",$D146-I$92)</f>
        <v>0</v>
      </c>
      <c r="P146" s="917">
        <f>IF(OR($D146="N/A",J$92="N/A"),"N/A",$D146-J$92)</f>
        <v>-57.15999999595806</v>
      </c>
      <c r="R146" s="911">
        <f>IF(OR($D146="N/A",K$92="N/A"),"N/A",$D146-K$92)</f>
        <v>1082323.6600000043</v>
      </c>
      <c r="S146" s="911">
        <f>IF(OR($D146="N/A",L$92="N/A"),"N/A",$D146-L$92)</f>
        <v>1082050.510000004</v>
      </c>
      <c r="U146" s="911">
        <f>IF(OR($D146="N/A",M$92="N/A"),"N/A",$D146-M$92)</f>
        <v>1082327.6128470795</v>
      </c>
      <c r="V146" s="911">
        <f>IF(OR($D146="N/A",N$92="N/A"),"N/A",$D146-N$92)</f>
        <v>1082046.5571529288</v>
      </c>
      <c r="X146" s="917">
        <f>IF(OR($D146="N/A",O$92="N/A"),"N/A",$D146-O$92)</f>
        <v>1082333.3600000043</v>
      </c>
      <c r="Y146" s="917">
        <f>IF(OR($D146="N/A",P$92="N/A"),"N/A",$D146-P$92)</f>
        <v>1082309.3600000043</v>
      </c>
      <c r="AA146" s="917">
        <f>IF(OR($D146="N/A",Q$92="N/A"),"N/A",$D146-Q$92)</f>
        <v>1082063.2400000042</v>
      </c>
      <c r="AB146" s="917">
        <f>IF(OR($D146="N/A",R$92="N/A"),"N/A",$D146-R$92)</f>
        <v>1082039.2400000042</v>
      </c>
      <c r="AR146" s="268"/>
      <c r="AU146" s="1003">
        <f>AU116</f>
        <v>270.12000000011176</v>
      </c>
      <c r="AV146" s="1009"/>
      <c r="AW146" s="1009"/>
      <c r="AX146" s="1004"/>
    </row>
    <row r="147" spans="2:53">
      <c r="B147" s="594"/>
      <c r="C147" s="594"/>
      <c r="D147" s="912">
        <f>AG107</f>
        <v>57.15999999595806</v>
      </c>
      <c r="E147" s="912">
        <f>D147</f>
        <v>57.15999999595806</v>
      </c>
      <c r="G147" s="912">
        <f>G148-G146</f>
        <v>57.15999999595806</v>
      </c>
      <c r="H147" s="912">
        <f>H148-H146</f>
        <v>57.15999999595806</v>
      </c>
      <c r="J147" s="912">
        <f>J148-J146</f>
        <v>57.15999999595806</v>
      </c>
      <c r="L147" s="912">
        <f>L148-L146</f>
        <v>57.15999999595806</v>
      </c>
      <c r="M147" s="912">
        <f>M148-M146</f>
        <v>57.15999999595806</v>
      </c>
      <c r="O147" s="912">
        <f>O148-O146</f>
        <v>57.15999999595806</v>
      </c>
      <c r="P147" s="912">
        <f>P148-P146</f>
        <v>57.15999999595806</v>
      </c>
      <c r="R147" s="912">
        <f>R148-R146</f>
        <v>57.15999999595806</v>
      </c>
      <c r="S147" s="912">
        <f>S148-S146</f>
        <v>57.15999999595806</v>
      </c>
      <c r="U147" s="912">
        <f>U148-U146</f>
        <v>57.15999999595806</v>
      </c>
      <c r="V147" s="912">
        <f>V148-V146</f>
        <v>57.15999999595806</v>
      </c>
      <c r="X147" s="912">
        <f>X148-X146</f>
        <v>57.15999999595806</v>
      </c>
      <c r="Y147" s="912">
        <f>Y148-Y146</f>
        <v>57.15999999595806</v>
      </c>
      <c r="AA147" s="912">
        <f>AA148-AA146</f>
        <v>57.15999999595806</v>
      </c>
      <c r="AB147" s="912">
        <f>AB148-AB146</f>
        <v>57.15999999595806</v>
      </c>
      <c r="AR147" s="268"/>
    </row>
    <row r="148" spans="2:53">
      <c r="B148" s="325">
        <f>R99</f>
        <v>211449.22</v>
      </c>
      <c r="C148" s="325" t="str">
        <f>R97</f>
        <v>WC 7 - Right Limit</v>
      </c>
      <c r="D148" s="911">
        <f>R98</f>
        <v>1082378.6400000001</v>
      </c>
      <c r="E148" s="911">
        <f>AH106</f>
        <v>1082390.5200000003</v>
      </c>
      <c r="G148" s="911">
        <f>IF(OR($D148="N/A",D$92="N/A"),"N/A",$D148-D$92)</f>
        <v>1082378.5200000003</v>
      </c>
      <c r="H148" s="911">
        <f>IF(OR($D148="N/A",E$92="N/A"),"N/A",$D148-E$92)</f>
        <v>1082108.4000000001</v>
      </c>
      <c r="J148" s="911">
        <f>IF(OR($D148="N/A",F$92="N/A"),"N/A",$D148-F$92)</f>
        <v>1082244.2450000001</v>
      </c>
      <c r="L148" s="911">
        <f>IF(OR($D148="N/A",G$92="N/A"),"N/A",$D148-G$92)</f>
        <v>1082280.2450000001</v>
      </c>
      <c r="M148" s="911">
        <f>IF(OR($D148="N/A",H$92="N/A"),"N/A",$D148-H$92)</f>
        <v>1082208.2450000001</v>
      </c>
      <c r="O148" s="916">
        <f>IF(OR($D148="N/A",I$92="N/A"),"N/A",$D148-I$92)</f>
        <v>57.15999999595806</v>
      </c>
      <c r="P148" s="917">
        <f>IF(OR($D148="N/A",J$92="N/A"),"N/A",$D148-J$92)</f>
        <v>0</v>
      </c>
      <c r="R148" s="911">
        <f>IF(OR($D148="N/A",K$92="N/A"),"N/A",$D148-K$92)</f>
        <v>1082380.8200000003</v>
      </c>
      <c r="S148" s="911">
        <f>IF(OR($D148="N/A",L$92="N/A"),"N/A",$D148-L$92)</f>
        <v>1082107.67</v>
      </c>
      <c r="U148" s="911">
        <f>IF(OR($D148="N/A",M$92="N/A"),"N/A",$D148-M$92)</f>
        <v>1082384.7728470755</v>
      </c>
      <c r="V148" s="911">
        <f>IF(OR($D148="N/A",N$92="N/A"),"N/A",$D148-N$92)</f>
        <v>1082103.7171529247</v>
      </c>
      <c r="X148" s="917">
        <f>IF(OR($D148="N/A",O$92="N/A"),"N/A",$D148-O$92)</f>
        <v>1082390.5200000003</v>
      </c>
      <c r="Y148" s="917">
        <f>IF(OR($D148="N/A",P$92="N/A"),"N/A",$D148-P$92)</f>
        <v>1082366.5200000003</v>
      </c>
      <c r="AA148" s="917">
        <f>IF(OR($D148="N/A",Q$92="N/A"),"N/A",$D148-Q$92)</f>
        <v>1082120.4000000001</v>
      </c>
      <c r="AB148" s="917">
        <f>IF(OR($D148="N/A",R$92="N/A"),"N/A",$D148-R$92)</f>
        <v>1082096.4000000001</v>
      </c>
      <c r="AR148" s="268"/>
    </row>
    <row r="149" spans="2:53">
      <c r="S149" s="268"/>
      <c r="AR149" s="268"/>
    </row>
    <row r="150" spans="2:53" ht="15" customHeight="1">
      <c r="AR150" s="997" t="str">
        <f>AR120</f>
        <v>Left Limit WC 6</v>
      </c>
      <c r="AS150" s="997"/>
      <c r="AV150" s="1005" t="str">
        <f>AV120</f>
        <v>WC 3</v>
      </c>
      <c r="AW150" s="1006"/>
      <c r="AZ150" s="997" t="str">
        <f>AZ120</f>
        <v>Right Limit WC 7</v>
      </c>
      <c r="BA150" s="997"/>
    </row>
    <row r="151" spans="2:53">
      <c r="C151" s="594" t="s">
        <v>424</v>
      </c>
      <c r="G151" s="889" t="str">
        <f>G119</f>
        <v>Defect Locations</v>
      </c>
      <c r="H151" s="890"/>
      <c r="L151" s="889" t="str">
        <f>L119</f>
        <v>Wrap Length 12"</v>
      </c>
      <c r="M151" s="890"/>
      <c r="O151" s="889" t="str">
        <f>O119</f>
        <v>Limits</v>
      </c>
      <c r="P151" s="890"/>
      <c r="R151" s="889" t="str">
        <f>R119</f>
        <v>Overall Defect Length</v>
      </c>
      <c r="S151" s="890"/>
      <c r="T151" s="268"/>
      <c r="U151" s="889" t="str">
        <f>U119</f>
        <v>Actual Wrap Length</v>
      </c>
      <c r="V151" s="890"/>
      <c r="W151" s="268"/>
      <c r="X151" s="889" t="str">
        <f>X119</f>
        <v>Repair 1</v>
      </c>
      <c r="Y151" s="890"/>
      <c r="Z151" s="268"/>
      <c r="AA151" s="889" t="str">
        <f>AA119</f>
        <v>Repair 2</v>
      </c>
      <c r="AB151" s="890"/>
      <c r="AR151" s="1003">
        <f>IF(AR121="N/A","N/A",MOD(AR121,10^LEN(INT($AY$134))))</f>
        <v>211444.45666666701</v>
      </c>
      <c r="AS151" s="1004"/>
      <c r="AV151" s="1003">
        <f>MOD(AV121,10^LEN(INT($AY$134)))</f>
        <v>121262.19958333333</v>
      </c>
      <c r="AW151" s="1004"/>
      <c r="AZ151" s="1003">
        <f>IF(AZ121="N/A","N/A",MOD(AZ121,10^LEN(INT($AY$134))))</f>
        <v>211449.22</v>
      </c>
      <c r="BA151" s="1004"/>
    </row>
    <row r="152" spans="2:53">
      <c r="C152" s="919" t="str">
        <f>C120</f>
        <v>WC 12 - Start of repair1</v>
      </c>
      <c r="F152" s="268" t="str">
        <f t="shared" ref="F152:F180" si="156">IF(OR(G152=0,ROUNDUP(G120,3)=ROUNDUP($F$308,3)),$C152,"")</f>
        <v/>
      </c>
      <c r="G152" s="911" t="str">
        <f>IF(AND(ROUNDUP(G120,3)&lt;=ROUNDUP($F$308,3),G120&gt;=0),G120,"")</f>
        <v/>
      </c>
      <c r="H152" s="911" t="str">
        <f t="shared" ref="H152:H180" si="157">IF(G152="","",H120)</f>
        <v/>
      </c>
      <c r="K152" s="268" t="str">
        <f t="shared" ref="K152:K180" si="158">IF(OR(L152=0,ROUNDUP(L120,3)=ROUNDUP($D$5,3)),$C152,"")</f>
        <v/>
      </c>
      <c r="L152" s="911" t="str">
        <f>IF(AND(ROUNDUP(L120,3)&lt;=ROUNDUP($D$5,3),L120&gt;=0),L120,"")</f>
        <v/>
      </c>
      <c r="M152" s="911" t="str">
        <f t="shared" ref="M152:M180" si="159">IF(L152="","",M120)</f>
        <v/>
      </c>
      <c r="N152" s="268" t="str">
        <f t="shared" ref="N152:N180" si="160">IF(OR(O152=0,ROUNDUP(O120,3)=ROUNDUP($AJ$567,3)),$C152,"")</f>
        <v/>
      </c>
      <c r="O152" s="911" t="str">
        <f>IF(AND(ROUNDUP(O120,3)&lt;=ROUNDUP($AJ$567,3),O120&gt;=0),O120,"")</f>
        <v/>
      </c>
      <c r="P152" s="911" t="str">
        <f t="shared" ref="P152:P180" si="161">IF(O152="","",P120)</f>
        <v/>
      </c>
      <c r="Q152" s="268" t="str">
        <f t="shared" ref="Q152:Q180" si="162">IF(OR(R152=0,ROUNDUP(R120,3)=ROUNDUP($F$313,3)),$C152,"")</f>
        <v/>
      </c>
      <c r="R152" s="911" t="str">
        <f>IF(AND(ROUNDUP(R120,3)&lt;=ROUNDUP($F$313,3),R120&gt;=0),R120,"")</f>
        <v/>
      </c>
      <c r="S152" s="911" t="str">
        <f t="shared" ref="S152:S180" si="163">IF(R152="","",S120)</f>
        <v/>
      </c>
      <c r="T152" s="268" t="str">
        <f t="shared" ref="T152:T180" si="164">IF(OR(U152=0,ROUNDUP(U120,3)=ROUNDUP($E$6,3)),$C152,"")</f>
        <v/>
      </c>
      <c r="U152" s="911" t="str">
        <f>IF(AND(ROUNDUP(U120,3)&lt;=ROUNDUP($E$6,3),U120&gt;=0),U120,"")</f>
        <v/>
      </c>
      <c r="V152" s="911" t="str">
        <f t="shared" ref="V152:V180" si="165">IF(U152="","",V120)</f>
        <v/>
      </c>
      <c r="W152" s="268" t="str">
        <f t="shared" ref="W152:W180" si="166">IF(OR(X152=0,ROUNDUP(X120,3)=ROUNDUP($O$625,3)),$C152,"")</f>
        <v>WC 12 - Start of repair1</v>
      </c>
      <c r="X152" s="911">
        <f>IF(AND(ROUNDUP(X120,3)&lt;=ROUNDUP($O$625,3),X120&gt;=0),X120,"")</f>
        <v>0</v>
      </c>
      <c r="Y152" s="911">
        <f t="shared" ref="Y152:Y180" si="167">IF(X152="","",Y120)</f>
        <v>-24</v>
      </c>
      <c r="Z152" s="268" t="str">
        <f t="shared" ref="Z152:Z180" si="168">IF(OR(AA152=0,ROUNDUP(AA120,3)=ROUNDUP($O$670,3)),$C152,"")</f>
        <v/>
      </c>
      <c r="AA152" s="911" t="str">
        <f>IF(AND(ROUNDUP(AA120,3)&lt;=ROUNDUP($O$670,3),AA120&gt;=0),AA120,"")</f>
        <v/>
      </c>
      <c r="AB152" s="911" t="str">
        <f t="shared" ref="AB152:AB180" si="169">IF(AA152="","",AB120)</f>
        <v/>
      </c>
      <c r="AR152" s="268"/>
    </row>
    <row r="153" spans="2:53">
      <c r="C153" s="918"/>
      <c r="F153" s="268" t="str">
        <f t="shared" si="156"/>
        <v/>
      </c>
      <c r="G153" s="912" t="str">
        <f>IF(OR(G152="",IFERROR(ROUNDUP(G152,3)=ROUNDUP($F$308,3),TRUE)),"",G121)</f>
        <v/>
      </c>
      <c r="H153" s="912" t="str">
        <f t="shared" si="157"/>
        <v/>
      </c>
      <c r="K153" s="268" t="str">
        <f t="shared" si="158"/>
        <v/>
      </c>
      <c r="L153" s="912" t="str">
        <f>IF(OR(L152="",IFERROR(ROUNDUP(L152,3)=ROUNDUP($D$5,3),TRUE)),"",L121)</f>
        <v/>
      </c>
      <c r="M153" s="912" t="str">
        <f t="shared" si="159"/>
        <v/>
      </c>
      <c r="N153" s="268" t="str">
        <f t="shared" si="160"/>
        <v/>
      </c>
      <c r="O153" s="912" t="str">
        <f>IF(OR(O152="",IFERROR(ROUNDUP(O152,3)=ROUNDUP($AJ$567,3),TRUE)),"",O121)</f>
        <v/>
      </c>
      <c r="P153" s="912" t="str">
        <f t="shared" si="161"/>
        <v/>
      </c>
      <c r="Q153" s="268" t="str">
        <f t="shared" si="162"/>
        <v/>
      </c>
      <c r="R153" s="912" t="str">
        <f>IF(OR(R152="",IFERROR(ROUNDUP(R152,3)=ROUNDUP($F$313,3),TRUE)),"",R121)</f>
        <v/>
      </c>
      <c r="S153" s="912" t="str">
        <f t="shared" si="163"/>
        <v/>
      </c>
      <c r="T153" s="268" t="str">
        <f t="shared" si="164"/>
        <v/>
      </c>
      <c r="U153" s="912" t="str">
        <f>IF(OR(U152="",IFERROR(ROUNDUP(U152,3)=ROUNDUP($E$6,3),TRUE)),"",U121)</f>
        <v/>
      </c>
      <c r="V153" s="912" t="str">
        <f t="shared" si="165"/>
        <v/>
      </c>
      <c r="W153" s="268" t="str">
        <f t="shared" si="166"/>
        <v/>
      </c>
      <c r="X153" s="912">
        <f>IF(OR(X152="",IFERROR(ROUNDUP(X152,3)=ROUNDUP($O$625,3),TRUE)),"",X121)</f>
        <v>5.7471529247704893</v>
      </c>
      <c r="Y153" s="912">
        <f t="shared" si="167"/>
        <v>5.7471529247704893</v>
      </c>
      <c r="Z153" s="268" t="str">
        <f t="shared" si="168"/>
        <v/>
      </c>
      <c r="AA153" s="912" t="str">
        <f>IF(OR(AA152="",IFERROR(ROUNDUP(AA152,3)=ROUNDUP($O$670,3),TRUE)),"",AA121)</f>
        <v/>
      </c>
      <c r="AB153" s="912" t="str">
        <f t="shared" si="169"/>
        <v/>
      </c>
      <c r="AR153" s="268"/>
    </row>
    <row r="154" spans="2:53">
      <c r="C154" s="918" t="str">
        <f>C122</f>
        <v>WC 10 - Start of L_over1</v>
      </c>
      <c r="F154" s="268" t="str">
        <f t="shared" si="156"/>
        <v/>
      </c>
      <c r="G154" s="911" t="str">
        <f>IF(AND(ROUNDUP(G122,3)&lt;=ROUNDUP($F$308,3),G122&gt;=0),G122,"")</f>
        <v/>
      </c>
      <c r="H154" s="911" t="str">
        <f t="shared" si="157"/>
        <v/>
      </c>
      <c r="K154" s="268" t="str">
        <f t="shared" si="158"/>
        <v/>
      </c>
      <c r="L154" s="911" t="str">
        <f>IF(AND(ROUNDUP(L122,3)&lt;=ROUNDUP($D$5,3),L122&gt;=0),L122,"")</f>
        <v/>
      </c>
      <c r="M154" s="911" t="str">
        <f t="shared" si="159"/>
        <v/>
      </c>
      <c r="N154" s="268" t="str">
        <f t="shared" si="160"/>
        <v/>
      </c>
      <c r="O154" s="911" t="str">
        <f>IF(AND(ROUNDUP(O122,3)&lt;=ROUNDUP($AJ$567,3),O122&gt;=0),O122,"")</f>
        <v/>
      </c>
      <c r="P154" s="911" t="str">
        <f t="shared" si="161"/>
        <v/>
      </c>
      <c r="Q154" s="268" t="str">
        <f t="shared" si="162"/>
        <v/>
      </c>
      <c r="R154" s="911" t="str">
        <f>IF(AND(ROUNDUP(R122,3)&lt;=ROUNDUP($F$313,3),R122&gt;=0),R122,"")</f>
        <v/>
      </c>
      <c r="S154" s="911" t="str">
        <f t="shared" si="163"/>
        <v/>
      </c>
      <c r="T154" s="268" t="str">
        <f t="shared" si="164"/>
        <v>WC 10 - Start of L_over1</v>
      </c>
      <c r="U154" s="911">
        <f>IF(AND(ROUNDUP(U122,3)&lt;=ROUNDUP($E$6,3),U122&gt;=0),U122,"")</f>
        <v>0</v>
      </c>
      <c r="V154" s="911">
        <f t="shared" si="165"/>
        <v>-281.055694150622</v>
      </c>
      <c r="W154" s="268" t="str">
        <f t="shared" si="166"/>
        <v/>
      </c>
      <c r="X154" s="911">
        <f>IF(AND(ROUNDUP(X122,3)&lt;=ROUNDUP($O$625,3),X122&gt;=0),X122,"")</f>
        <v>5.7471529247704893</v>
      </c>
      <c r="Y154" s="911">
        <f t="shared" si="167"/>
        <v>-18.252847075229511</v>
      </c>
      <c r="Z154" s="268" t="str">
        <f t="shared" si="168"/>
        <v/>
      </c>
      <c r="AA154" s="911" t="str">
        <f>IF(AND(ROUNDUP(AA122,3)&lt;=ROUNDUP($O$670,3),AA122&gt;=0),AA122,"")</f>
        <v/>
      </c>
      <c r="AB154" s="911" t="str">
        <f t="shared" si="169"/>
        <v/>
      </c>
      <c r="AR154" s="268"/>
    </row>
    <row r="155" spans="2:53">
      <c r="C155" s="918"/>
      <c r="F155" s="268" t="str">
        <f t="shared" si="156"/>
        <v/>
      </c>
      <c r="G155" s="912" t="str">
        <f>IF(OR(G154="",IFERROR(ROUNDUP(G154,3)=ROUNDUP($F$308,3),TRUE)),"",G123)</f>
        <v/>
      </c>
      <c r="H155" s="912" t="str">
        <f t="shared" si="157"/>
        <v/>
      </c>
      <c r="K155" s="268" t="str">
        <f t="shared" si="158"/>
        <v/>
      </c>
      <c r="L155" s="912" t="str">
        <f>IF(OR(L154="",IFERROR(ROUNDUP(L154,3)=ROUNDUP($D$5,3),TRUE)),"",L123)</f>
        <v/>
      </c>
      <c r="M155" s="912" t="str">
        <f t="shared" si="159"/>
        <v/>
      </c>
      <c r="N155" s="268" t="str">
        <f t="shared" si="160"/>
        <v/>
      </c>
      <c r="O155" s="912" t="str">
        <f>IF(OR(O154="",IFERROR(ROUNDUP(O154,3)=ROUNDUP($AJ$567,3),TRUE)),"",O123)</f>
        <v/>
      </c>
      <c r="P155" s="912" t="str">
        <f t="shared" si="161"/>
        <v/>
      </c>
      <c r="Q155" s="268" t="str">
        <f t="shared" si="162"/>
        <v/>
      </c>
      <c r="R155" s="912" t="str">
        <f>IF(OR(R154="",IFERROR(ROUNDUP(R154,3)=ROUNDUP($F$313,3),TRUE)),"",R123)</f>
        <v/>
      </c>
      <c r="S155" s="912" t="str">
        <f t="shared" si="163"/>
        <v/>
      </c>
      <c r="T155" s="268" t="str">
        <f t="shared" si="164"/>
        <v/>
      </c>
      <c r="U155" s="912">
        <f>IF(OR(U154="",IFERROR(ROUNDUP(U154,3)=ROUNDUP($E$6,3),TRUE)),"",U123)</f>
        <v>3.9528470752411522</v>
      </c>
      <c r="V155" s="912">
        <f t="shared" si="165"/>
        <v>3.9528470752411522</v>
      </c>
      <c r="W155" s="268" t="str">
        <f t="shared" si="166"/>
        <v/>
      </c>
      <c r="X155" s="912">
        <f>IF(OR(X154="",IFERROR(ROUNDUP(X154,3)=ROUNDUP($O$625,3),TRUE)),"",X123)</f>
        <v>3.9528470752411522</v>
      </c>
      <c r="Y155" s="912">
        <f t="shared" si="167"/>
        <v>3.9528470752411522</v>
      </c>
      <c r="Z155" s="268" t="str">
        <f t="shared" si="168"/>
        <v/>
      </c>
      <c r="AA155" s="912" t="str">
        <f>IF(OR(AA154="",IFERROR(ROUNDUP(AA154,3)=ROUNDUP($O$670,3),TRUE)),"",AA123)</f>
        <v/>
      </c>
      <c r="AB155" s="912" t="str">
        <f t="shared" si="169"/>
        <v/>
      </c>
      <c r="AR155" s="268"/>
      <c r="AU155" s="1003">
        <f>AU125</f>
        <v>72</v>
      </c>
      <c r="AV155" s="1009"/>
      <c r="AW155" s="1009"/>
      <c r="AX155" s="1004"/>
    </row>
    <row r="156" spans="2:53">
      <c r="C156" s="918" t="str">
        <f>C124</f>
        <v>End of L_over1 - WC 8 - Start of Defect</v>
      </c>
      <c r="F156" s="268" t="str">
        <f t="shared" si="156"/>
        <v/>
      </c>
      <c r="G156" s="911" t="str">
        <f>IF(AND(ROUNDUP(G124,3)&lt;=ROUNDUP($F$308,3),G124&gt;=0),G124,"")</f>
        <v/>
      </c>
      <c r="H156" s="911" t="str">
        <f t="shared" si="157"/>
        <v/>
      </c>
      <c r="K156" s="268" t="str">
        <f t="shared" si="158"/>
        <v/>
      </c>
      <c r="L156" s="911" t="str">
        <f>IF(AND(ROUNDUP(L124,3)&lt;=ROUNDUP($D$5,3),L124&gt;=0),L124,"")</f>
        <v/>
      </c>
      <c r="M156" s="911" t="str">
        <f t="shared" si="159"/>
        <v/>
      </c>
      <c r="N156" s="268" t="str">
        <f t="shared" si="160"/>
        <v/>
      </c>
      <c r="O156" s="911" t="str">
        <f>IF(AND(ROUNDUP(O124,3)&lt;=ROUNDUP($AJ$567,3),O124&gt;=0),O124,"")</f>
        <v/>
      </c>
      <c r="P156" s="911" t="str">
        <f t="shared" si="161"/>
        <v/>
      </c>
      <c r="Q156" s="268" t="str">
        <f t="shared" si="162"/>
        <v>End of L_over1 - WC 8 - Start of Defect</v>
      </c>
      <c r="R156" s="911">
        <f>IF(AND(ROUNDUP(R124,3)&lt;=ROUNDUP($F$313,3),R124&gt;=0),R124,"")</f>
        <v>0</v>
      </c>
      <c r="S156" s="911">
        <f t="shared" si="163"/>
        <v>-273.1500000001397</v>
      </c>
      <c r="T156" s="268" t="str">
        <f t="shared" si="164"/>
        <v/>
      </c>
      <c r="U156" s="911">
        <f>IF(AND(ROUNDUP(U124,3)&lt;=ROUNDUP($E$6,3),U124&gt;=0),U124,"")</f>
        <v>3.9528470752411522</v>
      </c>
      <c r="V156" s="911">
        <f t="shared" si="165"/>
        <v>-277.10284707538085</v>
      </c>
      <c r="W156" s="268" t="str">
        <f t="shared" si="166"/>
        <v/>
      </c>
      <c r="X156" s="911">
        <f>IF(AND(ROUNDUP(X124,3)&lt;=ROUNDUP($O$625,3),X124&gt;=0),X124,"")</f>
        <v>9.7000000000116415</v>
      </c>
      <c r="Y156" s="911">
        <f t="shared" si="167"/>
        <v>-14.299999999988358</v>
      </c>
      <c r="Z156" s="268" t="str">
        <f t="shared" si="168"/>
        <v/>
      </c>
      <c r="AA156" s="911" t="str">
        <f>IF(AND(ROUNDUP(AA124,3)&lt;=ROUNDUP($O$670,3),AA124&gt;=0),AA124,"")</f>
        <v/>
      </c>
      <c r="AB156" s="911" t="str">
        <f t="shared" si="169"/>
        <v/>
      </c>
      <c r="AR156" s="268"/>
      <c r="AS156" s="992">
        <f>AS126</f>
        <v>-1082321.3600000043</v>
      </c>
      <c r="AT156" s="997"/>
      <c r="AU156" s="1009">
        <f>AU126</f>
        <v>36</v>
      </c>
      <c r="AV156" s="1004"/>
      <c r="AW156" s="1003">
        <f>AW126</f>
        <v>36</v>
      </c>
      <c r="AX156" s="1004"/>
      <c r="AY156" s="992">
        <f>AY126</f>
        <v>0</v>
      </c>
      <c r="AZ156" s="997"/>
    </row>
    <row r="157" spans="2:53">
      <c r="C157" s="918"/>
      <c r="F157" s="268" t="str">
        <f t="shared" si="156"/>
        <v/>
      </c>
      <c r="G157" s="912" t="str">
        <f>IF(OR(G156="",IFERROR(ROUNDUP(G156,3)=ROUNDUP($F$308,3),TRUE)),"",G125)</f>
        <v/>
      </c>
      <c r="H157" s="912" t="str">
        <f t="shared" si="157"/>
        <v/>
      </c>
      <c r="K157" s="268" t="str">
        <f t="shared" si="158"/>
        <v/>
      </c>
      <c r="L157" s="912" t="str">
        <f>IF(OR(L156="",IFERROR(ROUNDUP(L156,3)=ROUNDUP($D$5,3),TRUE)),"",L125)</f>
        <v/>
      </c>
      <c r="M157" s="912" t="str">
        <f t="shared" si="159"/>
        <v/>
      </c>
      <c r="N157" s="268" t="str">
        <f t="shared" si="160"/>
        <v/>
      </c>
      <c r="O157" s="912" t="str">
        <f>IF(OR(O156="",IFERROR(ROUNDUP(O156,3)=ROUNDUP($AJ$567,3),TRUE)),"",O125)</f>
        <v/>
      </c>
      <c r="P157" s="912" t="str">
        <f t="shared" si="161"/>
        <v/>
      </c>
      <c r="Q157" s="268" t="str">
        <f t="shared" si="162"/>
        <v/>
      </c>
      <c r="R157" s="912">
        <f>IF(OR(R156="",IFERROR(ROUNDUP(R156,3)=ROUNDUP($F$313,3),TRUE)),"",R125)</f>
        <v>2.2999999999883585</v>
      </c>
      <c r="S157" s="912">
        <f t="shared" si="163"/>
        <v>2.2999999999883585</v>
      </c>
      <c r="T157" s="268" t="str">
        <f t="shared" si="164"/>
        <v/>
      </c>
      <c r="U157" s="912">
        <f>IF(OR(U156="",IFERROR(ROUNDUP(U156,3)=ROUNDUP($E$6,3),TRUE)),"",U125)</f>
        <v>2.2999999999883585</v>
      </c>
      <c r="V157" s="912">
        <f t="shared" si="165"/>
        <v>2.2999999999883585</v>
      </c>
      <c r="W157" s="268" t="str">
        <f t="shared" si="166"/>
        <v/>
      </c>
      <c r="X157" s="912">
        <f>IF(OR(X156="",IFERROR(ROUNDUP(X156,3)=ROUNDUP($O$625,3),TRUE)),"",X125)</f>
        <v>2.2999999999883585</v>
      </c>
      <c r="Y157" s="912">
        <f t="shared" si="167"/>
        <v>2.2999999999883585</v>
      </c>
      <c r="Z157" s="268" t="str">
        <f t="shared" si="168"/>
        <v/>
      </c>
      <c r="AA157" s="912" t="str">
        <f>IF(OR(AA156="",IFERROR(ROUNDUP(AA156,3)=ROUNDUP($O$670,3),TRUE)),"",AA125)</f>
        <v/>
      </c>
      <c r="AB157" s="912" t="str">
        <f t="shared" si="169"/>
        <v/>
      </c>
      <c r="AR157" s="268"/>
      <c r="AU157" s="1007">
        <f>AU127</f>
        <v>36</v>
      </c>
      <c r="AV157" s="1008"/>
      <c r="AW157" s="1007">
        <f>AW127</f>
        <v>36</v>
      </c>
      <c r="AX157" s="1008"/>
    </row>
    <row r="158" spans="2:53">
      <c r="C158" s="918" t="str">
        <f>C126</f>
        <v>WC 1</v>
      </c>
      <c r="F158" s="268" t="str">
        <f t="shared" si="156"/>
        <v>WC 1</v>
      </c>
      <c r="G158" s="911">
        <f>IF(AND(ROUNDUP(G126,3)&lt;=ROUNDUP($F$308,3),G126&gt;=0),G126,"")</f>
        <v>0</v>
      </c>
      <c r="H158" s="911">
        <f t="shared" si="157"/>
        <v>-270.12000000011176</v>
      </c>
      <c r="K158" s="268" t="str">
        <f t="shared" si="158"/>
        <v/>
      </c>
      <c r="L158" s="911" t="str">
        <f>IF(AND(ROUNDUP(L126,3)&lt;=ROUNDUP($D$5,3),L126&gt;=0),L126,"")</f>
        <v/>
      </c>
      <c r="M158" s="911" t="str">
        <f t="shared" si="159"/>
        <v/>
      </c>
      <c r="N158" s="268" t="str">
        <f t="shared" si="160"/>
        <v/>
      </c>
      <c r="O158" s="911" t="str">
        <f>IF(AND(ROUNDUP(O126,3)&lt;=ROUNDUP($AJ$567,3),O126&gt;=0),O126,"")</f>
        <v/>
      </c>
      <c r="P158" s="911" t="str">
        <f t="shared" si="161"/>
        <v/>
      </c>
      <c r="Q158" s="268" t="str">
        <f t="shared" si="162"/>
        <v/>
      </c>
      <c r="R158" s="911">
        <f>IF(AND(ROUNDUP(R126,3)&lt;=ROUNDUP($F$313,3),R126&gt;=0),R126,"")</f>
        <v>2.2999999999883585</v>
      </c>
      <c r="S158" s="911">
        <f t="shared" si="163"/>
        <v>-270.85000000015134</v>
      </c>
      <c r="T158" s="268" t="str">
        <f t="shared" si="164"/>
        <v/>
      </c>
      <c r="U158" s="911">
        <f>IF(AND(ROUNDUP(U126,3)&lt;=ROUNDUP($E$6,3),U126&gt;=0),U126,"")</f>
        <v>6.2528470752295107</v>
      </c>
      <c r="V158" s="911">
        <f t="shared" si="165"/>
        <v>-274.80284707539249</v>
      </c>
      <c r="W158" s="268" t="str">
        <f t="shared" si="166"/>
        <v/>
      </c>
      <c r="X158" s="911">
        <f>IF(AND(ROUNDUP(X126,3)&lt;=ROUNDUP($O$625,3),X126&gt;=0),X126,"")</f>
        <v>12</v>
      </c>
      <c r="Y158" s="911">
        <f t="shared" si="167"/>
        <v>-12</v>
      </c>
      <c r="Z158" s="268" t="str">
        <f t="shared" si="168"/>
        <v/>
      </c>
      <c r="AA158" s="911" t="str">
        <f>IF(AND(ROUNDUP(AA126,3)&lt;=ROUNDUP($O$670,3),AA126&gt;=0),AA126,"")</f>
        <v/>
      </c>
      <c r="AB158" s="911" t="str">
        <f t="shared" si="169"/>
        <v/>
      </c>
      <c r="AR158" s="268"/>
    </row>
    <row r="159" spans="2:53">
      <c r="C159" s="918"/>
      <c r="F159" s="268" t="str">
        <f t="shared" si="156"/>
        <v/>
      </c>
      <c r="G159" s="912">
        <f>IF(OR(G158="",IFERROR(ROUNDUP(G158,3)=ROUNDUP($F$308,3),TRUE)),"",G127)</f>
        <v>12</v>
      </c>
      <c r="H159" s="912">
        <f t="shared" si="157"/>
        <v>12</v>
      </c>
      <c r="K159" s="268" t="str">
        <f t="shared" si="158"/>
        <v/>
      </c>
      <c r="L159" s="912" t="str">
        <f>IF(OR(L158="",IFERROR(ROUNDUP(L158,3)=ROUNDUP($D$5,3),TRUE)),"",L127)</f>
        <v/>
      </c>
      <c r="M159" s="912" t="str">
        <f t="shared" si="159"/>
        <v/>
      </c>
      <c r="N159" s="268" t="str">
        <f t="shared" si="160"/>
        <v/>
      </c>
      <c r="O159" s="912" t="str">
        <f>IF(OR(O158="",IFERROR(ROUNDUP(O158,3)=ROUNDUP($AJ$567,3),TRUE)),"",O127)</f>
        <v/>
      </c>
      <c r="P159" s="912" t="str">
        <f t="shared" si="161"/>
        <v/>
      </c>
      <c r="Q159" s="268" t="str">
        <f t="shared" si="162"/>
        <v/>
      </c>
      <c r="R159" s="912">
        <f>IF(OR(R158="",IFERROR(ROUNDUP(R158,3)=ROUNDUP($F$313,3),TRUE)),"",R127)</f>
        <v>12</v>
      </c>
      <c r="S159" s="912">
        <f t="shared" si="163"/>
        <v>12</v>
      </c>
      <c r="T159" s="268" t="str">
        <f t="shared" si="164"/>
        <v/>
      </c>
      <c r="U159" s="912">
        <f>IF(OR(U158="",IFERROR(ROUNDUP(U158,3)=ROUNDUP($E$6,3),TRUE)),"",U127)</f>
        <v>12</v>
      </c>
      <c r="V159" s="912">
        <f t="shared" si="165"/>
        <v>12</v>
      </c>
      <c r="W159" s="268" t="str">
        <f t="shared" si="166"/>
        <v/>
      </c>
      <c r="X159" s="912">
        <f>IF(OR(X158="",IFERROR(ROUNDUP(X158,3)=ROUNDUP($O$625,3),TRUE)),"",X127)</f>
        <v>12</v>
      </c>
      <c r="Y159" s="912">
        <f t="shared" si="167"/>
        <v>12</v>
      </c>
      <c r="Z159" s="268" t="str">
        <f t="shared" si="168"/>
        <v/>
      </c>
      <c r="AA159" s="912" t="str">
        <f>IF(OR(AA158="",IFERROR(ROUNDUP(AA158,3)=ROUNDUP($O$670,3),TRUE)),"",AA127)</f>
        <v/>
      </c>
      <c r="AB159" s="912" t="str">
        <f t="shared" si="169"/>
        <v/>
      </c>
      <c r="AR159" s="268"/>
    </row>
    <row r="160" spans="2:53">
      <c r="C160" s="918" t="str">
        <f>C128</f>
        <v>End of repair1 - WC 13</v>
      </c>
      <c r="F160" s="268" t="str">
        <f t="shared" si="156"/>
        <v/>
      </c>
      <c r="G160" s="911">
        <f>IF(AND(ROUNDUP(G128,3)&lt;=ROUNDUP($F$308,3),G128&gt;=0),G128,"")</f>
        <v>12</v>
      </c>
      <c r="H160" s="911">
        <f t="shared" si="157"/>
        <v>-258.12000000011176</v>
      </c>
      <c r="K160" s="268" t="str">
        <f t="shared" si="158"/>
        <v/>
      </c>
      <c r="L160" s="911" t="str">
        <f>IF(AND(ROUNDUP(L128,3)&lt;=ROUNDUP($D$5,3),L128&gt;=0),L128,"")</f>
        <v/>
      </c>
      <c r="M160" s="911" t="str">
        <f t="shared" si="159"/>
        <v/>
      </c>
      <c r="N160" s="268" t="str">
        <f t="shared" si="160"/>
        <v/>
      </c>
      <c r="O160" s="911" t="str">
        <f>IF(AND(ROUNDUP(O128,3)&lt;=ROUNDUP($AJ$567,3),O128&gt;=0),O128,"")</f>
        <v/>
      </c>
      <c r="P160" s="911" t="str">
        <f t="shared" si="161"/>
        <v/>
      </c>
      <c r="Q160" s="268" t="str">
        <f t="shared" si="162"/>
        <v/>
      </c>
      <c r="R160" s="911">
        <f>IF(AND(ROUNDUP(R128,3)&lt;=ROUNDUP($F$313,3),R128&gt;=0),R128,"")</f>
        <v>14.299999999988358</v>
      </c>
      <c r="S160" s="911">
        <f t="shared" si="163"/>
        <v>-258.85000000015134</v>
      </c>
      <c r="T160" s="268" t="str">
        <f t="shared" si="164"/>
        <v/>
      </c>
      <c r="U160" s="911">
        <f>IF(AND(ROUNDUP(U128,3)&lt;=ROUNDUP($E$6,3),U128&gt;=0),U128,"")</f>
        <v>18.252847075229511</v>
      </c>
      <c r="V160" s="911">
        <f t="shared" si="165"/>
        <v>-262.80284707539249</v>
      </c>
      <c r="W160" s="268" t="str">
        <f t="shared" si="166"/>
        <v>End of repair1 - WC 13</v>
      </c>
      <c r="X160" s="911">
        <f>IF(AND(ROUNDUP(X128,3)&lt;=ROUNDUP($O$625,3),X128&gt;=0),X128,"")</f>
        <v>24</v>
      </c>
      <c r="Y160" s="911">
        <f t="shared" si="167"/>
        <v>0</v>
      </c>
      <c r="Z160" s="268" t="str">
        <f t="shared" si="168"/>
        <v/>
      </c>
      <c r="AA160" s="911" t="str">
        <f>IF(AND(ROUNDUP(AA128,3)&lt;=ROUNDUP($O$670,3),AA128&gt;=0),AA128,"")</f>
        <v/>
      </c>
      <c r="AB160" s="911" t="str">
        <f t="shared" si="169"/>
        <v/>
      </c>
      <c r="AR160" s="268"/>
      <c r="AT160" s="1005" t="str">
        <f>AT130</f>
        <v>WC 4</v>
      </c>
      <c r="AU160" s="1006"/>
      <c r="AX160" s="1005" t="str">
        <f>AX130</f>
        <v>WC 5</v>
      </c>
      <c r="AY160" s="1006"/>
    </row>
    <row r="161" spans="3:51">
      <c r="C161" s="918"/>
      <c r="F161" s="268" t="str">
        <f t="shared" si="156"/>
        <v/>
      </c>
      <c r="G161" s="912">
        <f>IF(OR(G160="",IFERROR(ROUNDUP(G160,3)=ROUNDUP($F$308,3),TRUE)),"",G129)</f>
        <v>86.275000000081491</v>
      </c>
      <c r="H161" s="912">
        <f t="shared" si="157"/>
        <v>86.275000000081491</v>
      </c>
      <c r="K161" s="268" t="str">
        <f t="shared" si="158"/>
        <v/>
      </c>
      <c r="L161" s="912" t="str">
        <f>IF(OR(L160="",IFERROR(ROUNDUP(L160,3)=ROUNDUP($D$5,3),TRUE)),"",L129)</f>
        <v/>
      </c>
      <c r="M161" s="912" t="str">
        <f t="shared" si="159"/>
        <v/>
      </c>
      <c r="N161" s="268" t="str">
        <f t="shared" si="160"/>
        <v/>
      </c>
      <c r="O161" s="912" t="str">
        <f>IF(OR(O160="",IFERROR(ROUNDUP(O160,3)=ROUNDUP($AJ$567,3),TRUE)),"",O129)</f>
        <v/>
      </c>
      <c r="P161" s="912" t="str">
        <f t="shared" si="161"/>
        <v/>
      </c>
      <c r="Q161" s="268" t="str">
        <f t="shared" si="162"/>
        <v/>
      </c>
      <c r="R161" s="912">
        <f>IF(OR(R160="",IFERROR(ROUNDUP(R160,3)=ROUNDUP($F$313,3),TRUE)),"",R129)</f>
        <v>86.275000000081491</v>
      </c>
      <c r="S161" s="912">
        <f t="shared" si="163"/>
        <v>86.275000000081491</v>
      </c>
      <c r="T161" s="268" t="str">
        <f t="shared" si="164"/>
        <v/>
      </c>
      <c r="U161" s="912">
        <f>IF(OR(U160="",IFERROR(ROUNDUP(U160,3)=ROUNDUP($E$6,3),TRUE)),"",U129)</f>
        <v>86.275000000081491</v>
      </c>
      <c r="V161" s="912">
        <f t="shared" si="165"/>
        <v>86.275000000081491</v>
      </c>
      <c r="W161" s="268" t="str">
        <f t="shared" si="166"/>
        <v/>
      </c>
      <c r="X161" s="912" t="str">
        <f>IF(OR(X160="",IFERROR(ROUNDUP(X160,3)=ROUNDUP($O$625,3),TRUE)),"",X129)</f>
        <v/>
      </c>
      <c r="Y161" s="912" t="str">
        <f t="shared" si="167"/>
        <v/>
      </c>
      <c r="Z161" s="268" t="str">
        <f t="shared" si="168"/>
        <v/>
      </c>
      <c r="AA161" s="912" t="str">
        <f>IF(OR(AA160="",IFERROR(ROUNDUP(AA160,3)=ROUNDUP($O$670,3),TRUE)),"",AA129)</f>
        <v/>
      </c>
      <c r="AB161" s="912" t="str">
        <f t="shared" si="169"/>
        <v/>
      </c>
      <c r="AR161" s="268"/>
      <c r="AT161" s="1003">
        <f>MOD(AT131,10^LEN(INT($AY$134)))</f>
        <v>121259.19958333333</v>
      </c>
      <c r="AU161" s="1004"/>
      <c r="AX161" s="1003">
        <f>MOD(AX131,10^LEN(INT($AY$134)))</f>
        <v>121265.19958333333</v>
      </c>
      <c r="AY161" s="1004"/>
    </row>
    <row r="162" spans="3:51">
      <c r="C162" s="918" t="str">
        <f>C130</f>
        <v>WC 4 - Start Wrap</v>
      </c>
      <c r="F162" s="268" t="str">
        <f t="shared" si="156"/>
        <v/>
      </c>
      <c r="G162" s="911">
        <f>IF(AND(ROUNDUP(G130,3)&lt;=ROUNDUP($F$308,3),G130&gt;=0),G130,"")</f>
        <v>98.275000000081491</v>
      </c>
      <c r="H162" s="911">
        <f t="shared" si="157"/>
        <v>-171.84500000003027</v>
      </c>
      <c r="K162" s="268" t="str">
        <f t="shared" si="158"/>
        <v>WC 4 - Start Wrap</v>
      </c>
      <c r="L162" s="911">
        <f>IF(AND(ROUNDUP(L130,3)&lt;=ROUNDUP($D$5,3),L130&gt;=0),L130,"")</f>
        <v>0</v>
      </c>
      <c r="M162" s="911">
        <f t="shared" si="159"/>
        <v>-72</v>
      </c>
      <c r="N162" s="268" t="str">
        <f t="shared" si="160"/>
        <v/>
      </c>
      <c r="O162" s="911" t="str">
        <f>IF(AND(ROUNDUP(O130,3)&lt;=ROUNDUP($AJ$567,3),O130&gt;=0),O130,"")</f>
        <v/>
      </c>
      <c r="P162" s="911" t="str">
        <f t="shared" si="161"/>
        <v/>
      </c>
      <c r="Q162" s="268" t="str">
        <f t="shared" si="162"/>
        <v/>
      </c>
      <c r="R162" s="911">
        <f>IF(AND(ROUNDUP(R130,3)&lt;=ROUNDUP($F$313,3),R130&gt;=0),R130,"")</f>
        <v>100.57500000006985</v>
      </c>
      <c r="S162" s="911">
        <f t="shared" si="163"/>
        <v>-172.57500000006985</v>
      </c>
      <c r="T162" s="268" t="str">
        <f t="shared" si="164"/>
        <v/>
      </c>
      <c r="U162" s="911">
        <f>IF(AND(ROUNDUP(U130,3)&lt;=ROUNDUP($E$6,3),U130&gt;=0),U130,"")</f>
        <v>104.527847075311</v>
      </c>
      <c r="V162" s="911">
        <f t="shared" si="165"/>
        <v>-176.527847075311</v>
      </c>
      <c r="W162" s="268" t="str">
        <f t="shared" si="166"/>
        <v/>
      </c>
      <c r="X162" s="911" t="str">
        <f>IF(AND(ROUNDUP(X130,3)&lt;=ROUNDUP($O$625,3),X130&gt;=0),X130,"")</f>
        <v/>
      </c>
      <c r="Y162" s="911" t="str">
        <f t="shared" si="167"/>
        <v/>
      </c>
      <c r="Z162" s="268" t="str">
        <f t="shared" si="168"/>
        <v/>
      </c>
      <c r="AA162" s="911" t="str">
        <f>IF(AND(ROUNDUP(AA130,3)&lt;=ROUNDUP($O$670,3),AA130&gt;=0),AA130,"")</f>
        <v/>
      </c>
      <c r="AB162" s="911" t="str">
        <f t="shared" si="169"/>
        <v/>
      </c>
    </row>
    <row r="163" spans="3:51">
      <c r="C163" s="918"/>
      <c r="F163" s="268" t="str">
        <f t="shared" si="156"/>
        <v/>
      </c>
      <c r="G163" s="912">
        <f>IF(OR(G162="",IFERROR(ROUNDUP(G162,3)=ROUNDUP($F$308,3),TRUE)),"",G131)</f>
        <v>36</v>
      </c>
      <c r="H163" s="912">
        <f t="shared" si="157"/>
        <v>36</v>
      </c>
      <c r="K163" s="268" t="str">
        <f t="shared" si="158"/>
        <v/>
      </c>
      <c r="L163" s="912">
        <f>IF(OR(L162="",IFERROR(ROUNDUP(L162,3)=ROUNDUP($D$5,3),TRUE)),"",L131)</f>
        <v>36</v>
      </c>
      <c r="M163" s="912">
        <f t="shared" si="159"/>
        <v>36</v>
      </c>
      <c r="N163" s="268" t="str">
        <f t="shared" si="160"/>
        <v/>
      </c>
      <c r="O163" s="912" t="str">
        <f>IF(OR(O162="",IFERROR(ROUNDUP(O162,3)=ROUNDUP($AJ$567,3),TRUE)),"",O131)</f>
        <v/>
      </c>
      <c r="P163" s="912" t="str">
        <f t="shared" si="161"/>
        <v/>
      </c>
      <c r="Q163" s="268" t="str">
        <f t="shared" si="162"/>
        <v/>
      </c>
      <c r="R163" s="912">
        <f>IF(OR(R162="",IFERROR(ROUNDUP(R162,3)=ROUNDUP($F$313,3),TRUE)),"",R131)</f>
        <v>36</v>
      </c>
      <c r="S163" s="912">
        <f t="shared" si="163"/>
        <v>36</v>
      </c>
      <c r="T163" s="268" t="str">
        <f t="shared" si="164"/>
        <v/>
      </c>
      <c r="U163" s="912">
        <f>IF(OR(U162="",IFERROR(ROUNDUP(U162,3)=ROUNDUP($E$6,3),TRUE)),"",U131)</f>
        <v>36</v>
      </c>
      <c r="V163" s="912">
        <f t="shared" si="165"/>
        <v>36</v>
      </c>
      <c r="W163" s="268" t="str">
        <f t="shared" si="166"/>
        <v/>
      </c>
      <c r="X163" s="912" t="str">
        <f>IF(OR(X162="",IFERROR(ROUNDUP(X162,3)=ROUNDUP($O$625,3),TRUE)),"",X131)</f>
        <v/>
      </c>
      <c r="Y163" s="912" t="str">
        <f t="shared" si="167"/>
        <v/>
      </c>
      <c r="Z163" s="268" t="str">
        <f t="shared" si="168"/>
        <v/>
      </c>
      <c r="AA163" s="912" t="str">
        <f>IF(OR(AA162="",IFERROR(ROUNDUP(AA162,3)=ROUNDUP($O$670,3),TRUE)),"",AA131)</f>
        <v/>
      </c>
      <c r="AB163" s="912" t="str">
        <f t="shared" si="169"/>
        <v/>
      </c>
    </row>
    <row r="164" spans="3:51">
      <c r="C164" s="918" t="str">
        <f>C132</f>
        <v>WC 3 - Middle of Wrap</v>
      </c>
      <c r="F164" s="268" t="str">
        <f t="shared" si="156"/>
        <v/>
      </c>
      <c r="G164" s="911">
        <f>IF(AND(ROUNDUP(G132,3)&lt;=ROUNDUP($F$308,3),G132&gt;=0),G132,"")</f>
        <v>134.27500000008149</v>
      </c>
      <c r="H164" s="911">
        <f t="shared" si="157"/>
        <v>-135.84500000003027</v>
      </c>
      <c r="K164" s="268" t="str">
        <f t="shared" si="158"/>
        <v/>
      </c>
      <c r="L164" s="911">
        <f>IF(AND(ROUNDUP(L132,3)&lt;=ROUNDUP($D$5,3),L132&gt;=0),L132,"")</f>
        <v>36</v>
      </c>
      <c r="M164" s="911">
        <f t="shared" si="159"/>
        <v>-36</v>
      </c>
      <c r="N164" s="268" t="str">
        <f t="shared" si="160"/>
        <v/>
      </c>
      <c r="O164" s="911" t="str">
        <f>IF(AND(ROUNDUP(O132,3)&lt;=ROUNDUP($AJ$567,3),O132&gt;=0),O132,"")</f>
        <v/>
      </c>
      <c r="P164" s="911" t="str">
        <f t="shared" si="161"/>
        <v/>
      </c>
      <c r="Q164" s="268" t="str">
        <f t="shared" si="162"/>
        <v/>
      </c>
      <c r="R164" s="911">
        <f>IF(AND(ROUNDUP(R132,3)&lt;=ROUNDUP($F$313,3),R132&gt;=0),R132,"")</f>
        <v>136.57500000006985</v>
      </c>
      <c r="S164" s="911">
        <f t="shared" si="163"/>
        <v>-136.57500000006985</v>
      </c>
      <c r="T164" s="268" t="str">
        <f t="shared" si="164"/>
        <v/>
      </c>
      <c r="U164" s="911">
        <f>IF(AND(ROUNDUP(U132,3)&lt;=ROUNDUP($E$6,3),U132&gt;=0),U132,"")</f>
        <v>140.527847075311</v>
      </c>
      <c r="V164" s="911">
        <f t="shared" si="165"/>
        <v>-140.527847075311</v>
      </c>
      <c r="W164" s="268" t="str">
        <f t="shared" si="166"/>
        <v/>
      </c>
      <c r="X164" s="911" t="str">
        <f>IF(AND(ROUNDUP(X132,3)&lt;=ROUNDUP($O$625,3),X132&gt;=0),X132,"")</f>
        <v/>
      </c>
      <c r="Y164" s="911" t="str">
        <f t="shared" si="167"/>
        <v/>
      </c>
      <c r="Z164" s="268" t="str">
        <f t="shared" si="168"/>
        <v/>
      </c>
      <c r="AA164" s="911" t="str">
        <f>IF(AND(ROUNDUP(AA132,3)&lt;=ROUNDUP($O$670,3),AA132&gt;=0),AA132,"")</f>
        <v/>
      </c>
      <c r="AB164" s="911" t="str">
        <f t="shared" si="169"/>
        <v/>
      </c>
    </row>
    <row r="165" spans="3:51">
      <c r="C165" s="918"/>
      <c r="F165" s="268" t="str">
        <f t="shared" si="156"/>
        <v/>
      </c>
      <c r="G165" s="912">
        <f>IF(OR(G164="",IFERROR(ROUNDUP(G164,3)=ROUNDUP($F$308,3),TRUE)),"",G133)</f>
        <v>36</v>
      </c>
      <c r="H165" s="912">
        <f t="shared" si="157"/>
        <v>36</v>
      </c>
      <c r="K165" s="268" t="str">
        <f t="shared" si="158"/>
        <v/>
      </c>
      <c r="L165" s="912">
        <f>IF(OR(L164="",IFERROR(ROUNDUP(L164,3)=ROUNDUP($D$5,3),TRUE)),"",L133)</f>
        <v>36</v>
      </c>
      <c r="M165" s="912">
        <f t="shared" si="159"/>
        <v>36</v>
      </c>
      <c r="N165" s="268" t="str">
        <f t="shared" si="160"/>
        <v/>
      </c>
      <c r="O165" s="912" t="str">
        <f>IF(OR(O164="",IFERROR(ROUNDUP(O164,3)=ROUNDUP($AJ$567,3),TRUE)),"",O133)</f>
        <v/>
      </c>
      <c r="P165" s="912" t="str">
        <f t="shared" si="161"/>
        <v/>
      </c>
      <c r="Q165" s="268" t="str">
        <f t="shared" si="162"/>
        <v/>
      </c>
      <c r="R165" s="912">
        <f>IF(OR(R164="",IFERROR(ROUNDUP(R164,3)=ROUNDUP($F$313,3),TRUE)),"",R133)</f>
        <v>36</v>
      </c>
      <c r="S165" s="912">
        <f t="shared" si="163"/>
        <v>36</v>
      </c>
      <c r="T165" s="268" t="str">
        <f t="shared" si="164"/>
        <v/>
      </c>
      <c r="U165" s="912">
        <f>IF(OR(U164="",IFERROR(ROUNDUP(U164,3)=ROUNDUP($E$6,3),TRUE)),"",U133)</f>
        <v>36</v>
      </c>
      <c r="V165" s="912">
        <f t="shared" si="165"/>
        <v>36</v>
      </c>
      <c r="W165" s="268" t="str">
        <f t="shared" si="166"/>
        <v/>
      </c>
      <c r="X165" s="912" t="str">
        <f>IF(OR(X164="",IFERROR(ROUNDUP(X164,3)=ROUNDUP($O$625,3),TRUE)),"",X133)</f>
        <v/>
      </c>
      <c r="Y165" s="912" t="str">
        <f t="shared" si="167"/>
        <v/>
      </c>
      <c r="Z165" s="268" t="str">
        <f t="shared" si="168"/>
        <v/>
      </c>
      <c r="AA165" s="912" t="str">
        <f>IF(OR(AA164="",IFERROR(ROUNDUP(AA164,3)=ROUNDUP($O$670,3),TRUE)),"",AA133)</f>
        <v/>
      </c>
      <c r="AB165" s="912" t="str">
        <f t="shared" si="169"/>
        <v/>
      </c>
    </row>
    <row r="166" spans="3:51">
      <c r="C166" s="918" t="str">
        <f>C134</f>
        <v>WC 5 - End Wrap</v>
      </c>
      <c r="F166" s="268" t="str">
        <f t="shared" si="156"/>
        <v/>
      </c>
      <c r="G166" s="911">
        <f>IF(AND(ROUNDUP(G134,3)&lt;=ROUNDUP($F$308,3),G134&gt;=0),G134,"")</f>
        <v>170.27500000008149</v>
      </c>
      <c r="H166" s="911">
        <f t="shared" si="157"/>
        <v>-99.845000000030268</v>
      </c>
      <c r="K166" s="268" t="str">
        <f t="shared" si="158"/>
        <v>WC 5 - End Wrap</v>
      </c>
      <c r="L166" s="911">
        <f>IF(AND(ROUNDUP(L134,3)&lt;=ROUNDUP($D$5,3),L134&gt;=0),L134,"")</f>
        <v>72</v>
      </c>
      <c r="M166" s="911">
        <f t="shared" si="159"/>
        <v>0</v>
      </c>
      <c r="N166" s="268" t="str">
        <f t="shared" si="160"/>
        <v/>
      </c>
      <c r="O166" s="911" t="str">
        <f>IF(AND(ROUNDUP(O134,3)&lt;=ROUNDUP($AJ$567,3),O134&gt;=0),O134,"")</f>
        <v/>
      </c>
      <c r="P166" s="911" t="str">
        <f t="shared" si="161"/>
        <v/>
      </c>
      <c r="Q166" s="268" t="str">
        <f t="shared" si="162"/>
        <v/>
      </c>
      <c r="R166" s="911">
        <f>IF(AND(ROUNDUP(R134,3)&lt;=ROUNDUP($F$313,3),R134&gt;=0),R134,"")</f>
        <v>172.57500000006985</v>
      </c>
      <c r="S166" s="911">
        <f t="shared" si="163"/>
        <v>-100.57500000006985</v>
      </c>
      <c r="T166" s="268" t="str">
        <f t="shared" si="164"/>
        <v/>
      </c>
      <c r="U166" s="911">
        <f>IF(AND(ROUNDUP(U134,3)&lt;=ROUNDUP($E$6,3),U134&gt;=0),U134,"")</f>
        <v>176.527847075311</v>
      </c>
      <c r="V166" s="911">
        <f t="shared" si="165"/>
        <v>-104.527847075311</v>
      </c>
      <c r="W166" s="268" t="str">
        <f t="shared" si="166"/>
        <v/>
      </c>
      <c r="X166" s="911" t="str">
        <f>IF(AND(ROUNDUP(X134,3)&lt;=ROUNDUP($O$625,3),X134&gt;=0),X134,"")</f>
        <v/>
      </c>
      <c r="Y166" s="911" t="str">
        <f t="shared" si="167"/>
        <v/>
      </c>
      <c r="Z166" s="268" t="str">
        <f t="shared" si="168"/>
        <v/>
      </c>
      <c r="AA166" s="911" t="str">
        <f>IF(AND(ROUNDUP(AA134,3)&lt;=ROUNDUP($O$670,3),AA134&gt;=0),AA134,"")</f>
        <v/>
      </c>
      <c r="AB166" s="911" t="str">
        <f t="shared" si="169"/>
        <v/>
      </c>
    </row>
    <row r="167" spans="3:51">
      <c r="C167" s="918"/>
      <c r="F167" s="268" t="str">
        <f t="shared" si="156"/>
        <v/>
      </c>
      <c r="G167" s="912">
        <f>IF(OR(G166="",IFERROR(ROUNDUP(G166,3)=ROUNDUP($F$308,3),TRUE)),"",G135)</f>
        <v>87.845000000030268</v>
      </c>
      <c r="H167" s="912">
        <f t="shared" si="157"/>
        <v>87.845000000030268</v>
      </c>
      <c r="K167" s="268" t="str">
        <f t="shared" si="158"/>
        <v/>
      </c>
      <c r="L167" s="912" t="str">
        <f>IF(OR(L166="",IFERROR(ROUNDUP(L166,3)=ROUNDUP($D$5,3),TRUE)),"",L135)</f>
        <v/>
      </c>
      <c r="M167" s="912" t="str">
        <f t="shared" si="159"/>
        <v/>
      </c>
      <c r="N167" s="268" t="str">
        <f t="shared" si="160"/>
        <v/>
      </c>
      <c r="O167" s="912" t="str">
        <f>IF(OR(O166="",IFERROR(ROUNDUP(O166,3)=ROUNDUP($AJ$567,3),TRUE)),"",O135)</f>
        <v/>
      </c>
      <c r="P167" s="912" t="str">
        <f t="shared" si="161"/>
        <v/>
      </c>
      <c r="Q167" s="268" t="str">
        <f t="shared" si="162"/>
        <v/>
      </c>
      <c r="R167" s="912">
        <f>IF(OR(R166="",IFERROR(ROUNDUP(R166,3)=ROUNDUP($F$313,3),TRUE)),"",R135)</f>
        <v>87.845000000030268</v>
      </c>
      <c r="S167" s="912">
        <f t="shared" si="163"/>
        <v>87.845000000030268</v>
      </c>
      <c r="T167" s="268" t="str">
        <f t="shared" si="164"/>
        <v/>
      </c>
      <c r="U167" s="912">
        <f>IF(OR(U166="",IFERROR(ROUNDUP(U166,3)=ROUNDUP($E$6,3),TRUE)),"",U135)</f>
        <v>87.845000000030268</v>
      </c>
      <c r="V167" s="912">
        <f t="shared" si="165"/>
        <v>87.845000000030268</v>
      </c>
      <c r="W167" s="268" t="str">
        <f t="shared" si="166"/>
        <v/>
      </c>
      <c r="X167" s="912" t="str">
        <f>IF(OR(X166="",IFERROR(ROUNDUP(X166,3)=ROUNDUP($O$625,3),TRUE)),"",X135)</f>
        <v/>
      </c>
      <c r="Y167" s="912" t="str">
        <f t="shared" si="167"/>
        <v/>
      </c>
      <c r="Z167" s="268" t="str">
        <f t="shared" si="168"/>
        <v/>
      </c>
      <c r="AA167" s="912" t="str">
        <f>IF(OR(AA166="",IFERROR(ROUNDUP(AA166,3)=ROUNDUP($O$670,3),TRUE)),"",AA135)</f>
        <v/>
      </c>
      <c r="AB167" s="912" t="str">
        <f t="shared" si="169"/>
        <v/>
      </c>
    </row>
    <row r="168" spans="3:51">
      <c r="C168" s="918" t="str">
        <f>C136</f>
        <v>WC 14 - Start of repair2</v>
      </c>
      <c r="F168" s="268" t="str">
        <f t="shared" si="156"/>
        <v/>
      </c>
      <c r="G168" s="911">
        <f>IF(AND(ROUNDUP(G136,3)&lt;=ROUNDUP($F$308,3),G136&gt;=0),G136,"")</f>
        <v>258.12000000011176</v>
      </c>
      <c r="H168" s="911">
        <f t="shared" si="157"/>
        <v>-12</v>
      </c>
      <c r="K168" s="268" t="str">
        <f t="shared" si="158"/>
        <v/>
      </c>
      <c r="L168" s="911" t="str">
        <f>IF(AND(ROUNDUP(L136,3)&lt;=ROUNDUP($D$5,3),L136&gt;=0),L136,"")</f>
        <v/>
      </c>
      <c r="M168" s="911" t="str">
        <f t="shared" si="159"/>
        <v/>
      </c>
      <c r="N168" s="268" t="str">
        <f t="shared" si="160"/>
        <v/>
      </c>
      <c r="O168" s="911" t="str">
        <f>IF(AND(ROUNDUP(O136,3)&lt;=ROUNDUP($AJ$567,3),O136&gt;=0),O136,"")</f>
        <v/>
      </c>
      <c r="P168" s="911" t="str">
        <f t="shared" si="161"/>
        <v/>
      </c>
      <c r="Q168" s="268" t="str">
        <f t="shared" si="162"/>
        <v/>
      </c>
      <c r="R168" s="911">
        <f>IF(AND(ROUNDUP(R136,3)&lt;=ROUNDUP($F$313,3),R136&gt;=0),R136,"")</f>
        <v>260.42000000010012</v>
      </c>
      <c r="S168" s="911">
        <f t="shared" si="163"/>
        <v>-12.730000000039581</v>
      </c>
      <c r="T168" s="268" t="str">
        <f t="shared" si="164"/>
        <v/>
      </c>
      <c r="U168" s="911">
        <f>IF(AND(ROUNDUP(U136,3)&lt;=ROUNDUP($E$6,3),U136&gt;=0),U136,"")</f>
        <v>264.37284707534127</v>
      </c>
      <c r="V168" s="911">
        <f t="shared" si="165"/>
        <v>-16.682847075280733</v>
      </c>
      <c r="W168" s="268" t="str">
        <f t="shared" si="166"/>
        <v/>
      </c>
      <c r="X168" s="911" t="str">
        <f>IF(AND(ROUNDUP(X136,3)&lt;=ROUNDUP($O$625,3),X136&gt;=0),X136,"")</f>
        <v/>
      </c>
      <c r="Y168" s="911" t="str">
        <f t="shared" si="167"/>
        <v/>
      </c>
      <c r="Z168" s="268" t="str">
        <f t="shared" si="168"/>
        <v>WC 14 - Start of repair2</v>
      </c>
      <c r="AA168" s="911">
        <f>IF(AND(ROUNDUP(AA136,3)&lt;=ROUNDUP($O$670,3),AA136&gt;=0),AA136,"")</f>
        <v>0</v>
      </c>
      <c r="AB168" s="911">
        <f t="shared" si="169"/>
        <v>-24</v>
      </c>
    </row>
    <row r="169" spans="3:51">
      <c r="C169" s="918"/>
      <c r="F169" s="268" t="str">
        <f t="shared" si="156"/>
        <v/>
      </c>
      <c r="G169" s="912">
        <f>IF(OR(G168="",IFERROR(ROUNDUP(G168,3)=ROUNDUP($F$308,3),TRUE)),"",G137)</f>
        <v>12</v>
      </c>
      <c r="H169" s="912">
        <f t="shared" si="157"/>
        <v>12</v>
      </c>
      <c r="K169" s="268" t="str">
        <f t="shared" si="158"/>
        <v/>
      </c>
      <c r="L169" s="912" t="str">
        <f>IF(OR(L168="",IFERROR(ROUNDUP(L168,3)=ROUNDUP($D$5,3),TRUE)),"",L137)</f>
        <v/>
      </c>
      <c r="M169" s="912" t="str">
        <f t="shared" si="159"/>
        <v/>
      </c>
      <c r="N169" s="268" t="str">
        <f t="shared" si="160"/>
        <v/>
      </c>
      <c r="O169" s="912" t="str">
        <f>IF(OR(O168="",IFERROR(ROUNDUP(O168,3)=ROUNDUP($AJ$567,3),TRUE)),"",O137)</f>
        <v/>
      </c>
      <c r="P169" s="912" t="str">
        <f t="shared" si="161"/>
        <v/>
      </c>
      <c r="Q169" s="268" t="str">
        <f t="shared" si="162"/>
        <v/>
      </c>
      <c r="R169" s="912">
        <f>IF(OR(R168="",IFERROR(ROUNDUP(R168,3)=ROUNDUP($F$313,3),TRUE)),"",R137)</f>
        <v>12</v>
      </c>
      <c r="S169" s="912">
        <f t="shared" si="163"/>
        <v>12</v>
      </c>
      <c r="T169" s="268" t="str">
        <f t="shared" si="164"/>
        <v/>
      </c>
      <c r="U169" s="912">
        <f>IF(OR(U168="",IFERROR(ROUNDUP(U168,3)=ROUNDUP($E$6,3),TRUE)),"",U137)</f>
        <v>12</v>
      </c>
      <c r="V169" s="912">
        <f t="shared" si="165"/>
        <v>12</v>
      </c>
      <c r="W169" s="268" t="str">
        <f t="shared" si="166"/>
        <v/>
      </c>
      <c r="X169" s="912" t="str">
        <f>IF(OR(X168="",IFERROR(ROUNDUP(X168,3)=ROUNDUP($O$625,3),TRUE)),"",X137)</f>
        <v/>
      </c>
      <c r="Y169" s="912" t="str">
        <f t="shared" si="167"/>
        <v/>
      </c>
      <c r="Z169" s="268" t="str">
        <f t="shared" si="168"/>
        <v/>
      </c>
      <c r="AA169" s="912">
        <f>IF(OR(AA168="",IFERROR(ROUNDUP(AA168,3)=ROUNDUP($O$670,3),TRUE)),"",AA137)</f>
        <v>12</v>
      </c>
      <c r="AB169" s="912">
        <f t="shared" si="169"/>
        <v>12</v>
      </c>
    </row>
    <row r="170" spans="3:51">
      <c r="C170" s="918" t="str">
        <f>C138</f>
        <v>WC 2</v>
      </c>
      <c r="F170" s="268" t="str">
        <f t="shared" si="156"/>
        <v>WC 2</v>
      </c>
      <c r="G170" s="911">
        <f>IF(AND(ROUNDUP(G138,3)&lt;=ROUNDUP($F$308,3),G138&gt;=0),G138,"")</f>
        <v>270.12000000011176</v>
      </c>
      <c r="H170" s="911">
        <f t="shared" si="157"/>
        <v>0</v>
      </c>
      <c r="K170" s="268" t="str">
        <f t="shared" si="158"/>
        <v/>
      </c>
      <c r="L170" s="911" t="str">
        <f>IF(AND(ROUNDUP(L138,3)&lt;=ROUNDUP($D$5,3),L138&gt;=0),L138,"")</f>
        <v/>
      </c>
      <c r="M170" s="911" t="str">
        <f t="shared" si="159"/>
        <v/>
      </c>
      <c r="N170" s="268" t="str">
        <f t="shared" si="160"/>
        <v/>
      </c>
      <c r="O170" s="911" t="str">
        <f>IF(AND(ROUNDUP(O138,3)&lt;=ROUNDUP($AJ$567,3),O138&gt;=0),O138,"")</f>
        <v/>
      </c>
      <c r="P170" s="911" t="str">
        <f t="shared" si="161"/>
        <v/>
      </c>
      <c r="Q170" s="268" t="str">
        <f t="shared" si="162"/>
        <v/>
      </c>
      <c r="R170" s="911">
        <f>IF(AND(ROUNDUP(R138,3)&lt;=ROUNDUP($F$313,3),R138&gt;=0),R138,"")</f>
        <v>272.42000000010012</v>
      </c>
      <c r="S170" s="911">
        <f t="shared" si="163"/>
        <v>-0.73000000003958121</v>
      </c>
      <c r="T170" s="268" t="str">
        <f t="shared" si="164"/>
        <v/>
      </c>
      <c r="U170" s="911">
        <f>IF(AND(ROUNDUP(U138,3)&lt;=ROUNDUP($E$6,3),U138&gt;=0),U138,"")</f>
        <v>276.37284707534127</v>
      </c>
      <c r="V170" s="911">
        <f t="shared" si="165"/>
        <v>-4.6828470752807334</v>
      </c>
      <c r="W170" s="268" t="str">
        <f t="shared" si="166"/>
        <v/>
      </c>
      <c r="X170" s="911" t="str">
        <f>IF(AND(ROUNDUP(X138,3)&lt;=ROUNDUP($O$625,3),X138&gt;=0),X138,"")</f>
        <v/>
      </c>
      <c r="Y170" s="911" t="str">
        <f t="shared" si="167"/>
        <v/>
      </c>
      <c r="Z170" s="268" t="str">
        <f t="shared" si="168"/>
        <v/>
      </c>
      <c r="AA170" s="911">
        <f>IF(AND(ROUNDUP(AA138,3)&lt;=ROUNDUP($O$670,3),AA138&gt;=0),AA138,"")</f>
        <v>12</v>
      </c>
      <c r="AB170" s="911">
        <f t="shared" si="169"/>
        <v>-12</v>
      </c>
    </row>
    <row r="171" spans="3:51">
      <c r="C171" s="918"/>
      <c r="F171" s="268" t="str">
        <f t="shared" si="156"/>
        <v/>
      </c>
      <c r="G171" s="912" t="str">
        <f>IF(OR(G170="",IFERROR(ROUNDUP(G170,3)=ROUNDUP($F$308,3),TRUE)),"",G139)</f>
        <v/>
      </c>
      <c r="H171" s="912" t="str">
        <f t="shared" si="157"/>
        <v/>
      </c>
      <c r="K171" s="268" t="str">
        <f t="shared" si="158"/>
        <v/>
      </c>
      <c r="L171" s="912" t="str">
        <f>IF(OR(L170="",IFERROR(ROUNDUP(L170,3)=ROUNDUP($D$5,3),TRUE)),"",L139)</f>
        <v/>
      </c>
      <c r="M171" s="912" t="str">
        <f t="shared" si="159"/>
        <v/>
      </c>
      <c r="N171" s="268" t="str">
        <f t="shared" si="160"/>
        <v/>
      </c>
      <c r="O171" s="912" t="str">
        <f>IF(OR(O170="",IFERROR(ROUNDUP(O170,3)=ROUNDUP($AJ$567,3),TRUE)),"",O139)</f>
        <v/>
      </c>
      <c r="P171" s="912" t="str">
        <f t="shared" si="161"/>
        <v/>
      </c>
      <c r="Q171" s="268" t="str">
        <f t="shared" si="162"/>
        <v/>
      </c>
      <c r="R171" s="912">
        <f>IF(OR(R170="",IFERROR(ROUNDUP(R170,3)=ROUNDUP($F$313,3),TRUE)),"",R139)</f>
        <v>0.73000000003958121</v>
      </c>
      <c r="S171" s="912">
        <f t="shared" si="163"/>
        <v>0.73000000003958121</v>
      </c>
      <c r="T171" s="268" t="str">
        <f t="shared" si="164"/>
        <v/>
      </c>
      <c r="U171" s="912">
        <f>IF(OR(U170="",IFERROR(ROUNDUP(U170,3)=ROUNDUP($E$6,3),TRUE)),"",U139)</f>
        <v>0.73000000003958121</v>
      </c>
      <c r="V171" s="912">
        <f t="shared" si="165"/>
        <v>0.73000000003958121</v>
      </c>
      <c r="W171" s="268" t="str">
        <f t="shared" si="166"/>
        <v/>
      </c>
      <c r="X171" s="912" t="str">
        <f>IF(OR(X170="",IFERROR(ROUNDUP(X170,3)=ROUNDUP($O$625,3),TRUE)),"",X139)</f>
        <v/>
      </c>
      <c r="Y171" s="912" t="str">
        <f t="shared" si="167"/>
        <v/>
      </c>
      <c r="Z171" s="268" t="str">
        <f t="shared" si="168"/>
        <v/>
      </c>
      <c r="AA171" s="912">
        <f>IF(OR(AA170="",IFERROR(ROUNDUP(AA170,3)=ROUNDUP($O$670,3),TRUE)),"",AA139)</f>
        <v>0.73000000003958121</v>
      </c>
      <c r="AB171" s="912">
        <f t="shared" si="169"/>
        <v>0.73000000003958121</v>
      </c>
    </row>
    <row r="172" spans="3:51">
      <c r="C172" s="918" t="str">
        <f>C140</f>
        <v>End of Defect - WC 9 - Start L_over2</v>
      </c>
      <c r="F172" s="268" t="str">
        <f t="shared" si="156"/>
        <v/>
      </c>
      <c r="G172" s="911" t="str">
        <f>IF(AND(ROUNDUP(G140,3)&lt;=ROUNDUP($F$308,3),G140&gt;=0),G140,"")</f>
        <v/>
      </c>
      <c r="H172" s="911" t="str">
        <f t="shared" si="157"/>
        <v/>
      </c>
      <c r="K172" s="268" t="str">
        <f t="shared" si="158"/>
        <v/>
      </c>
      <c r="L172" s="911" t="str">
        <f>IF(AND(ROUNDUP(L140,3)&lt;=ROUNDUP($D$5,3),L140&gt;=0),L140,"")</f>
        <v/>
      </c>
      <c r="M172" s="911" t="str">
        <f t="shared" si="159"/>
        <v/>
      </c>
      <c r="N172" s="268" t="str">
        <f t="shared" si="160"/>
        <v/>
      </c>
      <c r="O172" s="911" t="str">
        <f>IF(AND(ROUNDUP(O140,3)&lt;=ROUNDUP($AJ$567,3),O140&gt;=0),O140,"")</f>
        <v/>
      </c>
      <c r="P172" s="911" t="str">
        <f t="shared" si="161"/>
        <v/>
      </c>
      <c r="Q172" s="268" t="str">
        <f t="shared" si="162"/>
        <v>End of Defect - WC 9 - Start L_over2</v>
      </c>
      <c r="R172" s="911">
        <f>IF(AND(ROUNDUP(R140,3)&lt;=ROUNDUP($F$313,3),R140&gt;=0),R140,"")</f>
        <v>273.1500000001397</v>
      </c>
      <c r="S172" s="911">
        <f t="shared" si="163"/>
        <v>0</v>
      </c>
      <c r="T172" s="268" t="str">
        <f t="shared" si="164"/>
        <v/>
      </c>
      <c r="U172" s="911">
        <f>IF(AND(ROUNDUP(U140,3)&lt;=ROUNDUP($E$6,3),U140&gt;=0),U140,"")</f>
        <v>277.10284707538085</v>
      </c>
      <c r="V172" s="911">
        <f t="shared" si="165"/>
        <v>-3.9528470752411522</v>
      </c>
      <c r="W172" s="268" t="str">
        <f t="shared" si="166"/>
        <v/>
      </c>
      <c r="X172" s="911" t="str">
        <f>IF(AND(ROUNDUP(X140,3)&lt;=ROUNDUP($O$625,3),X140&gt;=0),X140,"")</f>
        <v/>
      </c>
      <c r="Y172" s="911" t="str">
        <f t="shared" si="167"/>
        <v/>
      </c>
      <c r="Z172" s="268" t="str">
        <f t="shared" si="168"/>
        <v/>
      </c>
      <c r="AA172" s="911">
        <f>IF(AND(ROUNDUP(AA140,3)&lt;=ROUNDUP($O$670,3),AA140&gt;=0),AA140,"")</f>
        <v>12.730000000039581</v>
      </c>
      <c r="AB172" s="911">
        <f t="shared" si="169"/>
        <v>-11.269999999960419</v>
      </c>
    </row>
    <row r="173" spans="3:51">
      <c r="C173" s="918"/>
      <c r="F173" s="268" t="str">
        <f t="shared" si="156"/>
        <v/>
      </c>
      <c r="G173" s="912" t="str">
        <f>IF(OR(G172="",IFERROR(ROUNDUP(G172,3)=ROUNDUP($F$308,3),TRUE)),"",G141)</f>
        <v/>
      </c>
      <c r="H173" s="912" t="str">
        <f t="shared" si="157"/>
        <v/>
      </c>
      <c r="K173" s="268" t="str">
        <f t="shared" si="158"/>
        <v/>
      </c>
      <c r="L173" s="912" t="str">
        <f>IF(OR(L172="",IFERROR(ROUNDUP(L172,3)=ROUNDUP($D$5,3),TRUE)),"",L141)</f>
        <v/>
      </c>
      <c r="M173" s="912" t="str">
        <f t="shared" si="159"/>
        <v/>
      </c>
      <c r="N173" s="268" t="str">
        <f t="shared" si="160"/>
        <v/>
      </c>
      <c r="O173" s="912" t="str">
        <f>IF(OR(O172="",IFERROR(ROUNDUP(O172,3)=ROUNDUP($AJ$567,3),TRUE)),"",O141)</f>
        <v/>
      </c>
      <c r="P173" s="912" t="str">
        <f t="shared" si="161"/>
        <v/>
      </c>
      <c r="Q173" s="268" t="str">
        <f t="shared" si="162"/>
        <v/>
      </c>
      <c r="R173" s="912" t="str">
        <f>IF(OR(R172="",IFERROR(ROUNDUP(R172,3)=ROUNDUP($F$313,3),TRUE)),"",R141)</f>
        <v/>
      </c>
      <c r="S173" s="912" t="str">
        <f t="shared" si="163"/>
        <v/>
      </c>
      <c r="T173" s="268" t="str">
        <f t="shared" si="164"/>
        <v/>
      </c>
      <c r="U173" s="912">
        <f>IF(OR(U172="",IFERROR(ROUNDUP(U172,3)=ROUNDUP($E$6,3),TRUE)),"",U141)</f>
        <v>3.9528470752411522</v>
      </c>
      <c r="V173" s="912">
        <f t="shared" si="165"/>
        <v>3.9528470752411522</v>
      </c>
      <c r="W173" s="268" t="str">
        <f t="shared" si="166"/>
        <v/>
      </c>
      <c r="X173" s="912" t="str">
        <f>IF(OR(X172="",IFERROR(ROUNDUP(X172,3)=ROUNDUP($O$625,3),TRUE)),"",X141)</f>
        <v/>
      </c>
      <c r="Y173" s="912" t="str">
        <f t="shared" si="167"/>
        <v/>
      </c>
      <c r="Z173" s="268" t="str">
        <f t="shared" si="168"/>
        <v/>
      </c>
      <c r="AA173" s="912">
        <f>IF(OR(AA172="",IFERROR(ROUNDUP(AA172,3)=ROUNDUP($O$670,3),TRUE)),"",AA141)</f>
        <v>3.9528470752411522</v>
      </c>
      <c r="AB173" s="912">
        <f t="shared" si="169"/>
        <v>3.9528470752411522</v>
      </c>
    </row>
    <row r="174" spans="3:51">
      <c r="C174" s="918" t="str">
        <f>C142</f>
        <v>End of L_over2 - WC 11</v>
      </c>
      <c r="F174" s="268" t="str">
        <f t="shared" si="156"/>
        <v/>
      </c>
      <c r="G174" s="911" t="str">
        <f>IF(AND(ROUNDUP(G142,3)&lt;=ROUNDUP($F$308,3),G142&gt;=0),G142,"")</f>
        <v/>
      </c>
      <c r="H174" s="911" t="str">
        <f t="shared" si="157"/>
        <v/>
      </c>
      <c r="K174" s="268" t="str">
        <f t="shared" si="158"/>
        <v/>
      </c>
      <c r="L174" s="911" t="str">
        <f>IF(AND(ROUNDUP(L142,3)&lt;=ROUNDUP($D$5,3),L142&gt;=0),L142,"")</f>
        <v/>
      </c>
      <c r="M174" s="911" t="str">
        <f t="shared" si="159"/>
        <v/>
      </c>
      <c r="N174" s="268" t="str">
        <f t="shared" si="160"/>
        <v/>
      </c>
      <c r="O174" s="911" t="str">
        <f>IF(AND(ROUNDUP(O142,3)&lt;=ROUNDUP($AJ$567,3),O142&gt;=0),O142,"")</f>
        <v/>
      </c>
      <c r="P174" s="911" t="str">
        <f t="shared" si="161"/>
        <v/>
      </c>
      <c r="Q174" s="268" t="str">
        <f t="shared" si="162"/>
        <v/>
      </c>
      <c r="R174" s="911" t="str">
        <f>IF(AND(ROUNDUP(R142,3)&lt;=ROUNDUP($F$313,3),R142&gt;=0),R142,"")</f>
        <v/>
      </c>
      <c r="S174" s="911" t="str">
        <f t="shared" si="163"/>
        <v/>
      </c>
      <c r="T174" s="268" t="str">
        <f t="shared" si="164"/>
        <v>End of L_over2 - WC 11</v>
      </c>
      <c r="U174" s="911">
        <f>IF(AND(ROUNDUP(U142,3)&lt;=ROUNDUP($E$6,3),U142&gt;=0),U142,"")</f>
        <v>281.055694150622</v>
      </c>
      <c r="V174" s="911">
        <f t="shared" si="165"/>
        <v>0</v>
      </c>
      <c r="W174" s="268" t="str">
        <f t="shared" si="166"/>
        <v/>
      </c>
      <c r="X174" s="911" t="str">
        <f>IF(AND(ROUNDUP(X142,3)&lt;=ROUNDUP($O$625,3),X142&gt;=0),X142,"")</f>
        <v/>
      </c>
      <c r="Y174" s="911" t="str">
        <f t="shared" si="167"/>
        <v/>
      </c>
      <c r="Z174" s="268" t="str">
        <f t="shared" si="168"/>
        <v/>
      </c>
      <c r="AA174" s="911">
        <f>IF(AND(ROUNDUP(AA142,3)&lt;=ROUNDUP($O$670,3),AA142&gt;=0),AA142,"")</f>
        <v>16.682847075280733</v>
      </c>
      <c r="AB174" s="911">
        <f t="shared" si="169"/>
        <v>-7.3171529247192666</v>
      </c>
    </row>
    <row r="175" spans="3:51">
      <c r="C175" s="927"/>
      <c r="F175" s="268" t="str">
        <f t="shared" si="156"/>
        <v/>
      </c>
      <c r="G175" s="912" t="str">
        <f>IF(OR(G174="",IFERROR(ROUNDUP(G174,3)=ROUNDUP($F$308,3),TRUE)),"",G143)</f>
        <v/>
      </c>
      <c r="H175" s="912" t="str">
        <f t="shared" si="157"/>
        <v/>
      </c>
      <c r="K175" s="268" t="str">
        <f t="shared" si="158"/>
        <v/>
      </c>
      <c r="L175" s="912" t="str">
        <f>IF(OR(L174="",IFERROR(ROUNDUP(L174,3)=ROUNDUP($D$5,3),TRUE)),"",L143)</f>
        <v/>
      </c>
      <c r="M175" s="912" t="str">
        <f t="shared" si="159"/>
        <v/>
      </c>
      <c r="N175" s="268" t="str">
        <f t="shared" si="160"/>
        <v/>
      </c>
      <c r="O175" s="912" t="str">
        <f>IF(OR(O174="",IFERROR(ROUNDUP(O174,3)=ROUNDUP($AJ$567,3),TRUE)),"",O143)</f>
        <v/>
      </c>
      <c r="P175" s="912" t="str">
        <f t="shared" si="161"/>
        <v/>
      </c>
      <c r="Q175" s="268" t="str">
        <f t="shared" si="162"/>
        <v/>
      </c>
      <c r="R175" s="912" t="str">
        <f>IF(OR(R174="",IFERROR(ROUNDUP(R174,3)=ROUNDUP($F$313,3),TRUE)),"",R143)</f>
        <v/>
      </c>
      <c r="S175" s="912" t="str">
        <f t="shared" si="163"/>
        <v/>
      </c>
      <c r="T175" s="268" t="str">
        <f t="shared" si="164"/>
        <v/>
      </c>
      <c r="U175" s="912" t="str">
        <f>IF(OR(U174="",IFERROR(ROUNDUP(U174,3)=ROUNDUP($E$6,3),TRUE)),"",U143)</f>
        <v/>
      </c>
      <c r="V175" s="912" t="str">
        <f t="shared" si="165"/>
        <v/>
      </c>
      <c r="W175" s="268" t="str">
        <f t="shared" si="166"/>
        <v/>
      </c>
      <c r="X175" s="912" t="str">
        <f>IF(OR(X174="",IFERROR(ROUNDUP(X174,3)=ROUNDUP($O$625,3),TRUE)),"",X143)</f>
        <v/>
      </c>
      <c r="Y175" s="912" t="str">
        <f t="shared" si="167"/>
        <v/>
      </c>
      <c r="Z175" s="268" t="str">
        <f t="shared" si="168"/>
        <v/>
      </c>
      <c r="AA175" s="912">
        <f>IF(OR(AA174="",IFERROR(ROUNDUP(AA174,3)=ROUNDUP($O$670,3),TRUE)),"",AA143)</f>
        <v>7.3171529247192666</v>
      </c>
      <c r="AB175" s="912">
        <f t="shared" si="169"/>
        <v>7.3171529247192666</v>
      </c>
    </row>
    <row r="176" spans="3:51">
      <c r="C176" s="918" t="str">
        <f t="shared" ref="C176:C180" si="170">C144</f>
        <v>End of repair2 - WC 15</v>
      </c>
      <c r="F176" s="268" t="str">
        <f t="shared" si="156"/>
        <v/>
      </c>
      <c r="G176" s="911" t="str">
        <f>IF(AND(ROUNDUP(G144,3)&lt;=ROUNDUP($F$308,3),G144&gt;=0),G144,"")</f>
        <v/>
      </c>
      <c r="H176" s="911" t="str">
        <f t="shared" si="157"/>
        <v/>
      </c>
      <c r="K176" s="268" t="str">
        <f t="shared" si="158"/>
        <v/>
      </c>
      <c r="L176" s="911" t="str">
        <f>IF(AND(ROUNDUP(L144,3)&lt;=ROUNDUP($D$5,3),L144&gt;=0),L144,"")</f>
        <v/>
      </c>
      <c r="M176" s="911" t="str">
        <f t="shared" si="159"/>
        <v/>
      </c>
      <c r="N176" s="268" t="str">
        <f t="shared" si="160"/>
        <v/>
      </c>
      <c r="O176" s="911" t="str">
        <f>IF(AND(ROUNDUP(O144,3)&lt;=ROUNDUP($AJ$567,3),O144&gt;=0),O144,"")</f>
        <v/>
      </c>
      <c r="P176" s="911" t="str">
        <f t="shared" si="161"/>
        <v/>
      </c>
      <c r="Q176" s="268" t="str">
        <f t="shared" si="162"/>
        <v/>
      </c>
      <c r="R176" s="911" t="str">
        <f>IF(AND(ROUNDUP(R144,3)&lt;=ROUNDUP($F$313,3),R144&gt;=0),R144,"")</f>
        <v/>
      </c>
      <c r="S176" s="911" t="str">
        <f t="shared" si="163"/>
        <v/>
      </c>
      <c r="T176" s="268" t="str">
        <f t="shared" si="164"/>
        <v/>
      </c>
      <c r="U176" s="911" t="str">
        <f>IF(AND(ROUNDUP(U144,3)&lt;=ROUNDUP($E$6,3),U144&gt;=0),U144,"")</f>
        <v/>
      </c>
      <c r="V176" s="911" t="str">
        <f t="shared" si="165"/>
        <v/>
      </c>
      <c r="W176" s="268" t="str">
        <f t="shared" si="166"/>
        <v/>
      </c>
      <c r="X176" s="911" t="str">
        <f>IF(AND(ROUNDUP(X144,3)&lt;=ROUNDUP($O$625,3),X144&gt;=0),X144,"")</f>
        <v/>
      </c>
      <c r="Y176" s="911" t="str">
        <f t="shared" si="167"/>
        <v/>
      </c>
      <c r="Z176" s="268" t="str">
        <f t="shared" si="168"/>
        <v>End of repair2 - WC 15</v>
      </c>
      <c r="AA176" s="911">
        <f>IF(AND(ROUNDUP(AA144,3)&lt;=ROUNDUP($O$670,3),AA144&gt;=0),AA144,"")</f>
        <v>24</v>
      </c>
      <c r="AB176" s="911">
        <f t="shared" si="169"/>
        <v>0</v>
      </c>
    </row>
    <row r="177" spans="3:28">
      <c r="C177" s="491"/>
      <c r="F177" s="268" t="str">
        <f t="shared" si="156"/>
        <v/>
      </c>
      <c r="G177" s="912" t="str">
        <f>IF(OR(G176="",IFERROR(ROUNDUP(G176,3)=ROUNDUP($F$308,3),TRUE)),"",G145)</f>
        <v/>
      </c>
      <c r="H177" s="912" t="str">
        <f t="shared" si="157"/>
        <v/>
      </c>
      <c r="K177" s="268" t="str">
        <f t="shared" si="158"/>
        <v/>
      </c>
      <c r="L177" s="912" t="str">
        <f>IF(OR(L176="",IFERROR(ROUNDUP(L176,3)=ROUNDUP($D$5,3),TRUE)),"",L145)</f>
        <v/>
      </c>
      <c r="M177" s="912" t="str">
        <f t="shared" si="159"/>
        <v/>
      </c>
      <c r="N177" s="268" t="str">
        <f t="shared" si="160"/>
        <v/>
      </c>
      <c r="O177" s="912" t="str">
        <f>IF(OR(O176="",IFERROR(ROUNDUP(O176,3)=ROUNDUP($AJ$567,3),TRUE)),"",O145)</f>
        <v/>
      </c>
      <c r="P177" s="912" t="str">
        <f t="shared" si="161"/>
        <v/>
      </c>
      <c r="Q177" s="268" t="str">
        <f t="shared" si="162"/>
        <v/>
      </c>
      <c r="R177" s="912" t="str">
        <f>IF(OR(R176="",IFERROR(ROUNDUP(R176,3)=ROUNDUP($F$313,3),TRUE)),"",R145)</f>
        <v/>
      </c>
      <c r="S177" s="912" t="str">
        <f t="shared" si="163"/>
        <v/>
      </c>
      <c r="T177" s="268" t="str">
        <f t="shared" si="164"/>
        <v/>
      </c>
      <c r="U177" s="912" t="str">
        <f>IF(OR(U176="",IFERROR(ROUNDUP(U176,3)=ROUNDUP($E$6,3),TRUE)),"",U145)</f>
        <v/>
      </c>
      <c r="V177" s="912" t="str">
        <f t="shared" si="165"/>
        <v/>
      </c>
      <c r="W177" s="268" t="str">
        <f t="shared" si="166"/>
        <v/>
      </c>
      <c r="X177" s="912" t="str">
        <f>IF(OR(X176="",IFERROR(ROUNDUP(X176,3)=ROUNDUP($O$625,3),TRUE)),"",X145)</f>
        <v/>
      </c>
      <c r="Y177" s="912" t="str">
        <f t="shared" si="167"/>
        <v/>
      </c>
      <c r="Z177" s="268" t="str">
        <f t="shared" si="168"/>
        <v/>
      </c>
      <c r="AA177" s="912" t="str">
        <f>IF(OR(AA176="",IFERROR(ROUNDUP(AA176,3)=ROUNDUP($O$670,3),TRUE)),"",AA145)</f>
        <v/>
      </c>
      <c r="AB177" s="912" t="str">
        <f t="shared" si="169"/>
        <v/>
      </c>
    </row>
    <row r="178" spans="3:28">
      <c r="C178" s="918" t="str">
        <f t="shared" si="170"/>
        <v>WC 6 - Left Limit</v>
      </c>
      <c r="F178" s="268" t="str">
        <f t="shared" si="156"/>
        <v/>
      </c>
      <c r="G178" s="911" t="str">
        <f>IF(AND(ROUNDUP(G146,3)&lt;=ROUNDUP($F$308,3),G146&gt;=0),G146,"")</f>
        <v/>
      </c>
      <c r="H178" s="911" t="str">
        <f t="shared" si="157"/>
        <v/>
      </c>
      <c r="K178" s="268" t="str">
        <f t="shared" si="158"/>
        <v/>
      </c>
      <c r="L178" s="911" t="str">
        <f>IF(AND(ROUNDUP(L146,3)&lt;=ROUNDUP($D$5,3),L146&gt;=0),L146,"")</f>
        <v/>
      </c>
      <c r="M178" s="911" t="str">
        <f t="shared" si="159"/>
        <v/>
      </c>
      <c r="N178" s="268" t="str">
        <f t="shared" si="160"/>
        <v>WC 6 - Left Limit</v>
      </c>
      <c r="O178" s="911">
        <f>IF(AND(ROUNDUP(O146,3)&lt;=ROUNDUP($AJ$567,3),O146&gt;=0),O146,"")</f>
        <v>0</v>
      </c>
      <c r="P178" s="911">
        <f t="shared" si="161"/>
        <v>-57.15999999595806</v>
      </c>
      <c r="Q178" s="268" t="str">
        <f t="shared" si="162"/>
        <v/>
      </c>
      <c r="R178" s="911" t="str">
        <f>IF(AND(ROUNDUP(R146,3)&lt;=ROUNDUP($F$313,3),R146&gt;=0),R146,"")</f>
        <v/>
      </c>
      <c r="S178" s="911" t="str">
        <f t="shared" si="163"/>
        <v/>
      </c>
      <c r="T178" s="268" t="str">
        <f t="shared" si="164"/>
        <v/>
      </c>
      <c r="U178" s="911" t="str">
        <f>IF(AND(ROUNDUP(U146,3)&lt;=ROUNDUP($E$6,3),U146&gt;=0),U146,"")</f>
        <v/>
      </c>
      <c r="V178" s="911" t="str">
        <f t="shared" si="165"/>
        <v/>
      </c>
      <c r="W178" s="268" t="str">
        <f t="shared" si="166"/>
        <v/>
      </c>
      <c r="X178" s="911" t="str">
        <f>IF(AND(ROUNDUP(X146,3)&lt;=ROUNDUP($O$625,3),X146&gt;=0),X146,"")</f>
        <v/>
      </c>
      <c r="Y178" s="911" t="str">
        <f t="shared" si="167"/>
        <v/>
      </c>
      <c r="Z178" s="268" t="str">
        <f t="shared" si="168"/>
        <v/>
      </c>
      <c r="AA178" s="911" t="str">
        <f>IF(AND(ROUNDUP(AA146,3)&lt;=ROUNDUP($O$670,3),AA146&gt;=0),AA146,"")</f>
        <v/>
      </c>
      <c r="AB178" s="911" t="str">
        <f t="shared" si="169"/>
        <v/>
      </c>
    </row>
    <row r="179" spans="3:28">
      <c r="C179" s="491"/>
      <c r="F179" s="268" t="str">
        <f t="shared" si="156"/>
        <v/>
      </c>
      <c r="G179" s="912" t="str">
        <f>IF(OR(G178="",IFERROR(ROUNDUP(G178,3)=ROUNDUP($F$308,3),TRUE)),"",G147)</f>
        <v/>
      </c>
      <c r="H179" s="912" t="str">
        <f t="shared" si="157"/>
        <v/>
      </c>
      <c r="K179" s="268" t="str">
        <f t="shared" si="158"/>
        <v/>
      </c>
      <c r="L179" s="912" t="str">
        <f>IF(OR(L178="",IFERROR(ROUNDUP(L178,3)=ROUNDUP($D$5,3),TRUE)),"",L147)</f>
        <v/>
      </c>
      <c r="M179" s="912" t="str">
        <f t="shared" si="159"/>
        <v/>
      </c>
      <c r="N179" s="268">
        <f t="shared" si="160"/>
        <v>0</v>
      </c>
      <c r="O179" s="912">
        <f>IF(OR(O178="",IFERROR(ROUNDUP(O178,3)=ROUNDUP($AJ$567,3),TRUE)),"",O147)</f>
        <v>57.15999999595806</v>
      </c>
      <c r="P179" s="912">
        <f t="shared" si="161"/>
        <v>57.15999999595806</v>
      </c>
      <c r="Q179" s="268" t="str">
        <f t="shared" si="162"/>
        <v/>
      </c>
      <c r="R179" s="912" t="str">
        <f>IF(OR(R178="",IFERROR(ROUNDUP(R178,3)=ROUNDUP($F$313,3),TRUE)),"",R147)</f>
        <v/>
      </c>
      <c r="S179" s="912" t="str">
        <f t="shared" si="163"/>
        <v/>
      </c>
      <c r="T179" s="268" t="str">
        <f t="shared" si="164"/>
        <v/>
      </c>
      <c r="U179" s="912" t="str">
        <f>IF(OR(U178="",IFERROR(ROUNDUP(U178,3)=ROUNDUP($E$6,3),TRUE)),"",U147)</f>
        <v/>
      </c>
      <c r="V179" s="912" t="str">
        <f t="shared" si="165"/>
        <v/>
      </c>
      <c r="W179" s="268" t="str">
        <f t="shared" si="166"/>
        <v/>
      </c>
      <c r="X179" s="912" t="str">
        <f>IF(OR(X178="",IFERROR(ROUNDUP(X178,3)=ROUNDUP($O$625,3),TRUE)),"",X147)</f>
        <v/>
      </c>
      <c r="Y179" s="912" t="str">
        <f t="shared" si="167"/>
        <v/>
      </c>
      <c r="Z179" s="268" t="str">
        <f t="shared" si="168"/>
        <v/>
      </c>
      <c r="AA179" s="912" t="str">
        <f>IF(OR(AA178="",IFERROR(ROUNDUP(AA178,3)=ROUNDUP($O$670,3),TRUE)),"",AA147)</f>
        <v/>
      </c>
      <c r="AB179" s="912" t="str">
        <f t="shared" si="169"/>
        <v/>
      </c>
    </row>
    <row r="180" spans="3:28">
      <c r="C180" s="918" t="str">
        <f t="shared" si="170"/>
        <v>WC 7 - Right Limit</v>
      </c>
      <c r="F180" s="268" t="str">
        <f t="shared" si="156"/>
        <v/>
      </c>
      <c r="G180" s="911" t="str">
        <f>IF(AND(ROUNDUP(G148,3)&lt;=ROUNDUP($F$308,3),G148&gt;=0),G148,"")</f>
        <v/>
      </c>
      <c r="H180" s="911" t="str">
        <f t="shared" si="157"/>
        <v/>
      </c>
      <c r="K180" s="268" t="str">
        <f t="shared" si="158"/>
        <v/>
      </c>
      <c r="L180" s="911" t="str">
        <f>IF(AND(ROUNDUP(L148,3)&lt;=ROUNDUP($D$5,3),L148&gt;=0),L148,"")</f>
        <v/>
      </c>
      <c r="M180" s="911" t="str">
        <f t="shared" si="159"/>
        <v/>
      </c>
      <c r="N180" s="268" t="str">
        <f t="shared" si="160"/>
        <v>WC 7 - Right Limit</v>
      </c>
      <c r="O180" s="911">
        <f>IF(AND(ROUNDUP(O148,3)&lt;=ROUNDUP($AJ$567,3),O148&gt;=0),O148,"")</f>
        <v>57.15999999595806</v>
      </c>
      <c r="P180" s="911">
        <f t="shared" si="161"/>
        <v>0</v>
      </c>
      <c r="Q180" s="268" t="str">
        <f t="shared" si="162"/>
        <v/>
      </c>
      <c r="R180" s="911" t="str">
        <f>IF(AND(ROUNDUP(R148,3)&lt;=ROUNDUP($F$313,3),R148&gt;=0),R148,"")</f>
        <v/>
      </c>
      <c r="S180" s="911" t="str">
        <f t="shared" si="163"/>
        <v/>
      </c>
      <c r="T180" s="268" t="str">
        <f t="shared" si="164"/>
        <v/>
      </c>
      <c r="U180" s="911" t="str">
        <f>IF(AND(ROUNDUP(U148,3)&lt;=ROUNDUP($E$6,3),U148&gt;=0),U148,"")</f>
        <v/>
      </c>
      <c r="V180" s="911" t="str">
        <f t="shared" si="165"/>
        <v/>
      </c>
      <c r="W180" s="268" t="str">
        <f t="shared" si="166"/>
        <v/>
      </c>
      <c r="X180" s="911" t="str">
        <f>IF(AND(ROUNDUP(X148,3)&lt;=ROUNDUP($O$625,3),X148&gt;=0),X148,"")</f>
        <v/>
      </c>
      <c r="Y180" s="911" t="str">
        <f t="shared" si="167"/>
        <v/>
      </c>
      <c r="Z180" s="268" t="str">
        <f t="shared" si="168"/>
        <v/>
      </c>
      <c r="AA180" s="911" t="str">
        <f>IF(AND(ROUNDUP(AA148,3)&lt;=ROUNDUP($O$670,3),AA148&gt;=0),AA148,"")</f>
        <v/>
      </c>
      <c r="AB180" s="911" t="str">
        <f t="shared" si="169"/>
        <v/>
      </c>
    </row>
    <row r="181" spans="3:28">
      <c r="S181" s="268"/>
      <c r="T181" s="268"/>
      <c r="U181" s="268"/>
      <c r="V181" s="268"/>
      <c r="W181" s="268"/>
      <c r="X181" s="268"/>
      <c r="Y181" s="268"/>
    </row>
    <row r="183" spans="3:28">
      <c r="F183" s="928" cm="1">
        <f t="array" ref="F183">_xlfn.LET(
_xlpm.r,F152:F180,
_xlpm.p,_xlfn._xlws.FILTER(_xlfn.SEQUENCE(ROWS(_xlpm.r)),_xlpm.r&lt;&gt;""),
INDEX(_xlpm.p,2)-INDEX(_xlpm.p,1)
)</f>
        <v>12</v>
      </c>
      <c r="K183" s="928" cm="1">
        <f t="array" ref="K183">_xlfn.LET(
_xlpm.r,K152:K180,
_xlpm.p,_xlfn._xlws.FILTER(_xlfn.SEQUENCE(ROWS(_xlpm.r)),_xlpm.r&lt;&gt;""),
INDEX(_xlpm.p,2)-INDEX(_xlpm.p,1)
)</f>
        <v>4</v>
      </c>
      <c r="N183" s="928" cm="1">
        <f t="array" ref="N183">_xlfn.LET(
_xlpm.r,N152:N180,
_xlpm.p,_xlfn._xlws.FILTER(_xlfn.SEQUENCE(ROWS(_xlpm.r)),_xlpm.r&lt;&gt;""),
INDEX(_xlpm.p,2)-INDEX(_xlpm.p,1)
)</f>
        <v>1</v>
      </c>
      <c r="Q183" s="928" cm="1">
        <f t="array" ref="Q183">_xlfn.LET(
_xlpm.r,Q152:Q180,
_xlpm.p,_xlfn._xlws.FILTER(_xlfn.SEQUENCE(ROWS(_xlpm.r)),_xlpm.r&lt;&gt;""),
INDEX(_xlpm.p,2)-INDEX(_xlpm.p,1)
)</f>
        <v>16</v>
      </c>
      <c r="T183" s="928" cm="1">
        <f t="array" ref="T183">_xlfn.LET(
_xlpm.r,T152:T180,
_xlpm.p,_xlfn._xlws.FILTER(_xlfn.SEQUENCE(ROWS(_xlpm.r)),_xlpm.r&lt;&gt;""),
INDEX(_xlpm.p,2)-INDEX(_xlpm.p,1)
)</f>
        <v>20</v>
      </c>
      <c r="W183" s="928" cm="1">
        <f t="array" ref="W183">_xlfn.LET(
_xlpm.r,W152:W180,
_xlpm.p,_xlfn._xlws.FILTER(_xlfn.SEQUENCE(ROWS(_xlpm.r)),_xlpm.r&lt;&gt;""),
INDEX(_xlpm.p,2)-INDEX(_xlpm.p,1)
)</f>
        <v>8</v>
      </c>
      <c r="Z183" s="928" cm="1">
        <f t="array" ref="Z183">_xlfn.LET(
_xlpm.r,Z152:Z180,
_xlpm.p,_xlfn._xlws.FILTER(_xlfn.SEQUENCE(ROWS(_xlpm.r)),_xlpm.r&lt;&gt;""),
INDEX(_xlpm.p,2)-INDEX(_xlpm.p,1)
)</f>
        <v>8</v>
      </c>
    </row>
    <row r="191" spans="3:28">
      <c r="S191" s="268"/>
    </row>
    <row r="196" spans="6:26">
      <c r="X196" s="268"/>
    </row>
    <row r="197" spans="6:26">
      <c r="F197" s="594" cm="1">
        <f t="array" ref="F197:Z228">_xlfn.LET(
_xlpm.data,F151:AB183,
_xlpm.cnt,_xlfn.TAKE(_xlpm.data,-1),
_xlpm.body,_xlfn.DROP(_xlpm.data,-1),
_xlpm.p,_xlfn._xlws.FILTER(_xlfn.SEQUENCE(,COLUMNS(_xlpm.cnt)),ISNUMBER(_xlpm.cnt)),
_xlpm.o,_xlfn.SORTBY(_xlpm.p,_xlfn.CHOOSECOLS(_xlpm.cnt,_xlpm.p),1),
_xlfn.DROP(
_xlfn.REDUCE("",_xlpm.o,_xlfn.LAMBDA(_xlpm.x,_xlpm.c,
_xlfn.HSTACK(_xlpm.x,_xlfn.CHOOSECOLS(_xlpm.body,_xlpm.c,_xlpm.c+1,_xlpm.c+2))
)),
,1)
)</f>
        <v>0</v>
      </c>
      <c r="G197" s="594" t="str">
        <v>Limits</v>
      </c>
      <c r="H197" s="594">
        <v>0</v>
      </c>
      <c r="I197" s="594">
        <v>0</v>
      </c>
      <c r="J197" s="594" t="str">
        <v>Wrap Length 12"</v>
      </c>
      <c r="K197" s="594">
        <v>0</v>
      </c>
      <c r="L197" s="594">
        <v>0</v>
      </c>
      <c r="M197" s="594" t="str">
        <v>Repair 1</v>
      </c>
      <c r="N197" s="594">
        <v>0</v>
      </c>
      <c r="O197" s="594">
        <v>0</v>
      </c>
      <c r="P197" s="594" t="str">
        <v>Repair 2</v>
      </c>
      <c r="Q197" s="594">
        <v>0</v>
      </c>
      <c r="R197" s="594">
        <v>0</v>
      </c>
      <c r="S197" s="325" t="str">
        <v>Defect Locations</v>
      </c>
      <c r="T197" s="325">
        <v>0</v>
      </c>
      <c r="U197" s="325">
        <v>0</v>
      </c>
      <c r="V197" s="325" t="str">
        <v>Overall Defect Length</v>
      </c>
      <c r="W197" s="325">
        <v>0</v>
      </c>
      <c r="X197" s="594">
        <v>0</v>
      </c>
      <c r="Y197" s="325" t="str">
        <v>Actual Wrap Length</v>
      </c>
      <c r="Z197" s="325">
        <v>0</v>
      </c>
    </row>
    <row r="198" spans="6:26">
      <c r="F198" s="903" t="str">
        <v/>
      </c>
      <c r="G198" s="903" t="str">
        <v/>
      </c>
      <c r="H198" s="903" t="str">
        <v/>
      </c>
      <c r="I198" s="903" t="str">
        <v/>
      </c>
      <c r="J198" s="903" t="str">
        <v/>
      </c>
      <c r="K198" s="903" t="str">
        <v/>
      </c>
      <c r="L198" s="903" t="str">
        <v>WC 12 - Start of repair1</v>
      </c>
      <c r="M198" s="903">
        <v>0</v>
      </c>
      <c r="N198" s="903">
        <v>-24</v>
      </c>
      <c r="O198" s="903" t="str">
        <v/>
      </c>
      <c r="P198" s="903" t="str">
        <v/>
      </c>
      <c r="Q198" s="903" t="str">
        <v/>
      </c>
      <c r="R198" s="903" t="str">
        <v/>
      </c>
      <c r="S198" s="657" t="str">
        <v/>
      </c>
      <c r="T198" s="657" t="str">
        <v/>
      </c>
      <c r="U198" s="657" t="str">
        <v/>
      </c>
      <c r="V198" s="657" t="str">
        <v/>
      </c>
      <c r="W198" s="657" t="str">
        <v/>
      </c>
      <c r="X198" s="903" t="str">
        <v/>
      </c>
      <c r="Y198" s="657" t="str">
        <v/>
      </c>
      <c r="Z198" s="657" t="str">
        <v/>
      </c>
    </row>
    <row r="199" spans="6:26">
      <c r="F199" s="594" t="str">
        <v/>
      </c>
      <c r="G199" s="594" t="str">
        <v/>
      </c>
      <c r="H199" s="594" t="str">
        <v/>
      </c>
      <c r="I199" s="594" t="str">
        <v/>
      </c>
      <c r="J199" s="594" t="str">
        <v/>
      </c>
      <c r="K199" s="594" t="str">
        <v/>
      </c>
      <c r="L199" s="594" t="str">
        <v/>
      </c>
      <c r="M199" s="594">
        <v>5.7471529247704893</v>
      </c>
      <c r="N199" s="594">
        <v>5.7471529247704893</v>
      </c>
      <c r="O199" s="594" t="str">
        <v/>
      </c>
      <c r="P199" s="594" t="str">
        <v/>
      </c>
      <c r="Q199" s="594" t="str">
        <v/>
      </c>
      <c r="R199" s="594" t="str">
        <v/>
      </c>
      <c r="S199" s="325" t="str">
        <v/>
      </c>
      <c r="T199" s="325" t="str">
        <v/>
      </c>
      <c r="U199" s="325" t="str">
        <v/>
      </c>
      <c r="V199" s="325" t="str">
        <v/>
      </c>
      <c r="W199" s="325" t="str">
        <v/>
      </c>
      <c r="X199" s="594" t="str">
        <v/>
      </c>
      <c r="Y199" s="325" t="str">
        <v/>
      </c>
      <c r="Z199" s="325" t="str">
        <v/>
      </c>
    </row>
    <row r="200" spans="6:26">
      <c r="F200" s="903" t="str">
        <v/>
      </c>
      <c r="G200" s="903" t="str">
        <v/>
      </c>
      <c r="H200" s="903" t="str">
        <v/>
      </c>
      <c r="I200" s="903" t="str">
        <v/>
      </c>
      <c r="J200" s="903" t="str">
        <v/>
      </c>
      <c r="K200" s="903" t="str">
        <v/>
      </c>
      <c r="L200" s="903" t="str">
        <v/>
      </c>
      <c r="M200" s="903">
        <v>5.7471529247704893</v>
      </c>
      <c r="N200" s="903">
        <v>-18.252847075229511</v>
      </c>
      <c r="O200" s="903" t="str">
        <v/>
      </c>
      <c r="P200" s="903" t="str">
        <v/>
      </c>
      <c r="Q200" s="903" t="str">
        <v/>
      </c>
      <c r="R200" s="903" t="str">
        <v/>
      </c>
      <c r="S200" s="657" t="str">
        <v/>
      </c>
      <c r="T200" s="657" t="str">
        <v/>
      </c>
      <c r="U200" s="657" t="str">
        <v/>
      </c>
      <c r="V200" s="657" t="str">
        <v/>
      </c>
      <c r="W200" s="657" t="str">
        <v/>
      </c>
      <c r="X200" s="903" t="str">
        <v>WC 10 - Start of L_over1</v>
      </c>
      <c r="Y200" s="657">
        <v>0</v>
      </c>
      <c r="Z200" s="657">
        <v>-281.055694150622</v>
      </c>
    </row>
    <row r="201" spans="6:26">
      <c r="F201" s="594" t="str">
        <v/>
      </c>
      <c r="G201" s="594" t="str">
        <v/>
      </c>
      <c r="H201" s="594" t="str">
        <v/>
      </c>
      <c r="I201" s="594" t="str">
        <v/>
      </c>
      <c r="J201" s="594" t="str">
        <v/>
      </c>
      <c r="K201" s="594" t="str">
        <v/>
      </c>
      <c r="L201" s="594" t="str">
        <v/>
      </c>
      <c r="M201" s="594">
        <v>3.9528470752411522</v>
      </c>
      <c r="N201" s="594">
        <v>3.9528470752411522</v>
      </c>
      <c r="O201" s="594" t="str">
        <v/>
      </c>
      <c r="P201" s="594" t="str">
        <v/>
      </c>
      <c r="Q201" s="594" t="str">
        <v/>
      </c>
      <c r="R201" s="594" t="str">
        <v/>
      </c>
      <c r="S201" s="325" t="str">
        <v/>
      </c>
      <c r="T201" s="325" t="str">
        <v/>
      </c>
      <c r="U201" s="325" t="str">
        <v/>
      </c>
      <c r="V201" s="325" t="str">
        <v/>
      </c>
      <c r="W201" s="325" t="str">
        <v/>
      </c>
      <c r="X201" s="594" t="str">
        <v/>
      </c>
      <c r="Y201" s="325">
        <v>3.9528470752411522</v>
      </c>
      <c r="Z201" s="325">
        <v>3.9528470752411522</v>
      </c>
    </row>
    <row r="202" spans="6:26">
      <c r="F202" s="903" t="str">
        <v/>
      </c>
      <c r="G202" s="903" t="str">
        <v/>
      </c>
      <c r="H202" s="903" t="str">
        <v/>
      </c>
      <c r="I202" s="903" t="str">
        <v/>
      </c>
      <c r="J202" s="903" t="str">
        <v/>
      </c>
      <c r="K202" s="903" t="str">
        <v/>
      </c>
      <c r="L202" s="903" t="str">
        <v/>
      </c>
      <c r="M202" s="903">
        <v>9.7000000000116415</v>
      </c>
      <c r="N202" s="903">
        <v>-14.299999999988358</v>
      </c>
      <c r="O202" s="903" t="str">
        <v/>
      </c>
      <c r="P202" s="903" t="str">
        <v/>
      </c>
      <c r="Q202" s="903" t="str">
        <v/>
      </c>
      <c r="R202" s="903" t="str">
        <v/>
      </c>
      <c r="S202" s="657" t="str">
        <v/>
      </c>
      <c r="T202" s="657" t="str">
        <v/>
      </c>
      <c r="U202" s="657" t="str">
        <v>End of L_over1 - WC 8 - Start of Defect</v>
      </c>
      <c r="V202" s="657">
        <v>0</v>
      </c>
      <c r="W202" s="657">
        <v>-273.1500000001397</v>
      </c>
      <c r="X202" s="903" t="str">
        <v/>
      </c>
      <c r="Y202" s="657">
        <v>3.9528470752411522</v>
      </c>
      <c r="Z202" s="657">
        <v>-277.10284707538085</v>
      </c>
    </row>
    <row r="203" spans="6:26">
      <c r="F203" s="594" t="str">
        <v/>
      </c>
      <c r="G203" s="594" t="str">
        <v/>
      </c>
      <c r="H203" s="594" t="str">
        <v/>
      </c>
      <c r="I203" s="594" t="str">
        <v/>
      </c>
      <c r="J203" s="594" t="str">
        <v/>
      </c>
      <c r="K203" s="594" t="str">
        <v/>
      </c>
      <c r="L203" s="594" t="str">
        <v/>
      </c>
      <c r="M203" s="594">
        <v>2.2999999999883585</v>
      </c>
      <c r="N203" s="594">
        <v>2.2999999999883585</v>
      </c>
      <c r="O203" s="594" t="str">
        <v/>
      </c>
      <c r="P203" s="594" t="str">
        <v/>
      </c>
      <c r="Q203" s="594" t="str">
        <v/>
      </c>
      <c r="R203" s="594" t="str">
        <v/>
      </c>
      <c r="S203" s="325" t="str">
        <v/>
      </c>
      <c r="T203" s="325" t="str">
        <v/>
      </c>
      <c r="U203" s="325" t="str">
        <v/>
      </c>
      <c r="V203" s="325">
        <v>2.2999999999883585</v>
      </c>
      <c r="W203" s="325">
        <v>2.2999999999883585</v>
      </c>
      <c r="X203" s="594" t="str">
        <v/>
      </c>
      <c r="Y203" s="325">
        <v>2.2999999999883585</v>
      </c>
      <c r="Z203" s="325">
        <v>2.2999999999883585</v>
      </c>
    </row>
    <row r="204" spans="6:26">
      <c r="F204" s="903" t="str">
        <v/>
      </c>
      <c r="G204" s="903" t="str">
        <v/>
      </c>
      <c r="H204" s="903" t="str">
        <v/>
      </c>
      <c r="I204" s="903" t="str">
        <v/>
      </c>
      <c r="J204" s="903" t="str">
        <v/>
      </c>
      <c r="K204" s="903" t="str">
        <v/>
      </c>
      <c r="L204" s="903" t="str">
        <v/>
      </c>
      <c r="M204" s="903">
        <v>12</v>
      </c>
      <c r="N204" s="903">
        <v>-12</v>
      </c>
      <c r="O204" s="903" t="str">
        <v/>
      </c>
      <c r="P204" s="903" t="str">
        <v/>
      </c>
      <c r="Q204" s="903" t="str">
        <v/>
      </c>
      <c r="R204" s="903" t="str">
        <v>WC 1</v>
      </c>
      <c r="S204" s="657">
        <v>0</v>
      </c>
      <c r="T204" s="657">
        <v>-270.12000000011176</v>
      </c>
      <c r="U204" s="657" t="str">
        <v/>
      </c>
      <c r="V204" s="657">
        <v>2.2999999999883585</v>
      </c>
      <c r="W204" s="657">
        <v>-270.85000000015134</v>
      </c>
      <c r="X204" s="903" t="str">
        <v/>
      </c>
      <c r="Y204" s="657">
        <v>6.2528470752295107</v>
      </c>
      <c r="Z204" s="657">
        <v>-274.80284707539249</v>
      </c>
    </row>
    <row r="205" spans="6:26">
      <c r="F205" s="594" t="str">
        <v/>
      </c>
      <c r="G205" s="594" t="str">
        <v/>
      </c>
      <c r="H205" s="594" t="str">
        <v/>
      </c>
      <c r="I205" s="594" t="str">
        <v/>
      </c>
      <c r="J205" s="594" t="str">
        <v/>
      </c>
      <c r="K205" s="594" t="str">
        <v/>
      </c>
      <c r="L205" s="594" t="str">
        <v/>
      </c>
      <c r="M205" s="594">
        <v>12</v>
      </c>
      <c r="N205" s="594">
        <v>12</v>
      </c>
      <c r="O205" s="594" t="str">
        <v/>
      </c>
      <c r="P205" s="594" t="str">
        <v/>
      </c>
      <c r="Q205" s="594" t="str">
        <v/>
      </c>
      <c r="R205" s="594" t="str">
        <v/>
      </c>
      <c r="S205" s="325">
        <v>12</v>
      </c>
      <c r="T205" s="325">
        <v>12</v>
      </c>
      <c r="U205" s="325" t="str">
        <v/>
      </c>
      <c r="V205" s="325">
        <v>12</v>
      </c>
      <c r="W205" s="325">
        <v>12</v>
      </c>
      <c r="X205" s="594" t="str">
        <v/>
      </c>
      <c r="Y205" s="325">
        <v>12</v>
      </c>
      <c r="Z205" s="325">
        <v>12</v>
      </c>
    </row>
    <row r="206" spans="6:26">
      <c r="F206" s="903" t="str">
        <v/>
      </c>
      <c r="G206" s="903" t="str">
        <v/>
      </c>
      <c r="H206" s="903" t="str">
        <v/>
      </c>
      <c r="I206" s="903" t="str">
        <v/>
      </c>
      <c r="J206" s="903" t="str">
        <v/>
      </c>
      <c r="K206" s="903" t="str">
        <v/>
      </c>
      <c r="L206" s="903" t="str">
        <v>End of repair1 - WC 13</v>
      </c>
      <c r="M206" s="903">
        <v>24</v>
      </c>
      <c r="N206" s="903">
        <v>0</v>
      </c>
      <c r="O206" s="903" t="str">
        <v/>
      </c>
      <c r="P206" s="903" t="str">
        <v/>
      </c>
      <c r="Q206" s="903" t="str">
        <v/>
      </c>
      <c r="R206" s="903" t="str">
        <v/>
      </c>
      <c r="S206" s="657">
        <v>12</v>
      </c>
      <c r="T206" s="657">
        <v>-258.12000000011176</v>
      </c>
      <c r="U206" s="657" t="str">
        <v/>
      </c>
      <c r="V206" s="657">
        <v>14.299999999988358</v>
      </c>
      <c r="W206" s="657">
        <v>-258.85000000015134</v>
      </c>
      <c r="X206" s="903" t="str">
        <v/>
      </c>
      <c r="Y206" s="657">
        <v>18.252847075229511</v>
      </c>
      <c r="Z206" s="657">
        <v>-262.80284707539249</v>
      </c>
    </row>
    <row r="207" spans="6:26">
      <c r="F207" s="594" t="str">
        <v/>
      </c>
      <c r="G207" s="594" t="str">
        <v/>
      </c>
      <c r="H207" s="594" t="str">
        <v/>
      </c>
      <c r="I207" s="594" t="str">
        <v/>
      </c>
      <c r="J207" s="594" t="str">
        <v/>
      </c>
      <c r="K207" s="594" t="str">
        <v/>
      </c>
      <c r="L207" s="594" t="str">
        <v/>
      </c>
      <c r="M207" s="594" t="str">
        <v/>
      </c>
      <c r="N207" s="594" t="str">
        <v/>
      </c>
      <c r="O207" s="594" t="str">
        <v/>
      </c>
      <c r="P207" s="594" t="str">
        <v/>
      </c>
      <c r="Q207" s="594" t="str">
        <v/>
      </c>
      <c r="R207" s="594" t="str">
        <v/>
      </c>
      <c r="S207" s="325">
        <v>86.275000000081491</v>
      </c>
      <c r="T207" s="325">
        <v>86.275000000081491</v>
      </c>
      <c r="U207" s="325" t="str">
        <v/>
      </c>
      <c r="V207" s="325">
        <v>86.275000000081491</v>
      </c>
      <c r="W207" s="325">
        <v>86.275000000081491</v>
      </c>
      <c r="X207" s="594" t="str">
        <v/>
      </c>
      <c r="Y207" s="325">
        <v>86.275000000081491</v>
      </c>
      <c r="Z207" s="325">
        <v>86.275000000081491</v>
      </c>
    </row>
    <row r="208" spans="6:26">
      <c r="F208" s="903" t="str">
        <v/>
      </c>
      <c r="G208" s="903" t="str">
        <v/>
      </c>
      <c r="H208" s="903" t="str">
        <v/>
      </c>
      <c r="I208" s="903" t="str">
        <v>WC 4 - Start Wrap</v>
      </c>
      <c r="J208" s="903">
        <v>0</v>
      </c>
      <c r="K208" s="903">
        <v>-72</v>
      </c>
      <c r="L208" s="903" t="str">
        <v/>
      </c>
      <c r="M208" s="903" t="str">
        <v/>
      </c>
      <c r="N208" s="903" t="str">
        <v/>
      </c>
      <c r="O208" s="903" t="str">
        <v/>
      </c>
      <c r="P208" s="903" t="str">
        <v/>
      </c>
      <c r="Q208" s="903" t="str">
        <v/>
      </c>
      <c r="R208" s="903" t="str">
        <v/>
      </c>
      <c r="S208" s="657">
        <v>98.275000000081491</v>
      </c>
      <c r="T208" s="657">
        <v>-171.84500000003027</v>
      </c>
      <c r="U208" s="657" t="str">
        <v/>
      </c>
      <c r="V208" s="657">
        <v>100.57500000006985</v>
      </c>
      <c r="W208" s="657">
        <v>-172.57500000006985</v>
      </c>
      <c r="X208" s="903" t="str">
        <v/>
      </c>
      <c r="Y208" s="657">
        <v>104.527847075311</v>
      </c>
      <c r="Z208" s="657">
        <v>-176.527847075311</v>
      </c>
    </row>
    <row r="209" spans="6:26">
      <c r="F209" s="594" t="str">
        <v/>
      </c>
      <c r="G209" s="594" t="str">
        <v/>
      </c>
      <c r="H209" s="594" t="str">
        <v/>
      </c>
      <c r="I209" s="594" t="str">
        <v/>
      </c>
      <c r="J209" s="594">
        <v>36</v>
      </c>
      <c r="K209" s="594">
        <v>36</v>
      </c>
      <c r="L209" s="594" t="str">
        <v/>
      </c>
      <c r="M209" s="594" t="str">
        <v/>
      </c>
      <c r="N209" s="594" t="str">
        <v/>
      </c>
      <c r="O209" s="594" t="str">
        <v/>
      </c>
      <c r="P209" s="594" t="str">
        <v/>
      </c>
      <c r="Q209" s="594" t="str">
        <v/>
      </c>
      <c r="R209" s="594" t="str">
        <v/>
      </c>
      <c r="S209" s="325">
        <v>36</v>
      </c>
      <c r="T209" s="325">
        <v>36</v>
      </c>
      <c r="U209" s="325" t="str">
        <v/>
      </c>
      <c r="V209" s="325">
        <v>36</v>
      </c>
      <c r="W209" s="325">
        <v>36</v>
      </c>
      <c r="X209" s="594" t="str">
        <v/>
      </c>
      <c r="Y209" s="325">
        <v>36</v>
      </c>
      <c r="Z209" s="325">
        <v>36</v>
      </c>
    </row>
    <row r="210" spans="6:26">
      <c r="F210" s="903" t="str">
        <v/>
      </c>
      <c r="G210" s="903" t="str">
        <v/>
      </c>
      <c r="H210" s="903" t="str">
        <v/>
      </c>
      <c r="I210" s="903" t="str">
        <v/>
      </c>
      <c r="J210" s="903">
        <v>36</v>
      </c>
      <c r="K210" s="903">
        <v>-36</v>
      </c>
      <c r="L210" s="903" t="str">
        <v/>
      </c>
      <c r="M210" s="903" t="str">
        <v/>
      </c>
      <c r="N210" s="903" t="str">
        <v/>
      </c>
      <c r="O210" s="903" t="str">
        <v/>
      </c>
      <c r="P210" s="903" t="str">
        <v/>
      </c>
      <c r="Q210" s="903" t="str">
        <v/>
      </c>
      <c r="R210" s="903" t="str">
        <v/>
      </c>
      <c r="S210" s="657">
        <v>134.27500000008149</v>
      </c>
      <c r="T210" s="657">
        <v>-135.84500000003027</v>
      </c>
      <c r="U210" s="657" t="str">
        <v/>
      </c>
      <c r="V210" s="657">
        <v>136.57500000006985</v>
      </c>
      <c r="W210" s="657">
        <v>-136.57500000006985</v>
      </c>
      <c r="X210" s="903" t="str">
        <v/>
      </c>
      <c r="Y210" s="657">
        <v>140.527847075311</v>
      </c>
      <c r="Z210" s="657">
        <v>-140.527847075311</v>
      </c>
    </row>
    <row r="211" spans="6:26">
      <c r="F211" s="594" t="str">
        <v/>
      </c>
      <c r="G211" s="594" t="str">
        <v/>
      </c>
      <c r="H211" s="594" t="str">
        <v/>
      </c>
      <c r="I211" s="594" t="str">
        <v/>
      </c>
      <c r="J211" s="594">
        <v>36</v>
      </c>
      <c r="K211" s="594">
        <v>36</v>
      </c>
      <c r="L211" s="594" t="str">
        <v/>
      </c>
      <c r="M211" s="594" t="str">
        <v/>
      </c>
      <c r="N211" s="594" t="str">
        <v/>
      </c>
      <c r="O211" s="594" t="str">
        <v/>
      </c>
      <c r="P211" s="594" t="str">
        <v/>
      </c>
      <c r="Q211" s="594" t="str">
        <v/>
      </c>
      <c r="R211" s="594" t="str">
        <v/>
      </c>
      <c r="S211" s="325">
        <v>36</v>
      </c>
      <c r="T211" s="325">
        <v>36</v>
      </c>
      <c r="U211" s="325" t="str">
        <v/>
      </c>
      <c r="V211" s="325">
        <v>36</v>
      </c>
      <c r="W211" s="325">
        <v>36</v>
      </c>
      <c r="X211" s="594" t="str">
        <v/>
      </c>
      <c r="Y211" s="325">
        <v>36</v>
      </c>
      <c r="Z211" s="325">
        <v>36</v>
      </c>
    </row>
    <row r="212" spans="6:26">
      <c r="F212" s="903" t="str">
        <v/>
      </c>
      <c r="G212" s="903" t="str">
        <v/>
      </c>
      <c r="H212" s="903" t="str">
        <v/>
      </c>
      <c r="I212" s="903" t="str">
        <v>WC 5 - End Wrap</v>
      </c>
      <c r="J212" s="903">
        <v>72</v>
      </c>
      <c r="K212" s="903">
        <v>0</v>
      </c>
      <c r="L212" s="903" t="str">
        <v/>
      </c>
      <c r="M212" s="903" t="str">
        <v/>
      </c>
      <c r="N212" s="903" t="str">
        <v/>
      </c>
      <c r="O212" s="903" t="str">
        <v/>
      </c>
      <c r="P212" s="903" t="str">
        <v/>
      </c>
      <c r="Q212" s="903" t="str">
        <v/>
      </c>
      <c r="R212" s="903" t="str">
        <v/>
      </c>
      <c r="S212" s="657">
        <v>170.27500000008149</v>
      </c>
      <c r="T212" s="657">
        <v>-99.845000000030268</v>
      </c>
      <c r="U212" s="657" t="str">
        <v/>
      </c>
      <c r="V212" s="657">
        <v>172.57500000006985</v>
      </c>
      <c r="W212" s="657">
        <v>-100.57500000006985</v>
      </c>
      <c r="X212" s="903" t="str">
        <v/>
      </c>
      <c r="Y212" s="657">
        <v>176.527847075311</v>
      </c>
      <c r="Z212" s="657">
        <v>-104.527847075311</v>
      </c>
    </row>
    <row r="213" spans="6:26">
      <c r="F213" s="594" t="str">
        <v/>
      </c>
      <c r="G213" s="594" t="str">
        <v/>
      </c>
      <c r="H213" s="594" t="str">
        <v/>
      </c>
      <c r="I213" s="594" t="str">
        <v/>
      </c>
      <c r="J213" s="594" t="str">
        <v/>
      </c>
      <c r="K213" s="594" t="str">
        <v/>
      </c>
      <c r="L213" s="594" t="str">
        <v/>
      </c>
      <c r="M213" s="594" t="str">
        <v/>
      </c>
      <c r="N213" s="594" t="str">
        <v/>
      </c>
      <c r="O213" s="594" t="str">
        <v/>
      </c>
      <c r="P213" s="594" t="str">
        <v/>
      </c>
      <c r="Q213" s="594" t="str">
        <v/>
      </c>
      <c r="R213" s="594" t="str">
        <v/>
      </c>
      <c r="S213" s="325">
        <v>87.845000000030268</v>
      </c>
      <c r="T213" s="325">
        <v>87.845000000030268</v>
      </c>
      <c r="U213" s="325" t="str">
        <v/>
      </c>
      <c r="V213" s="325">
        <v>87.845000000030268</v>
      </c>
      <c r="W213" s="325">
        <v>87.845000000030268</v>
      </c>
      <c r="X213" s="594" t="str">
        <v/>
      </c>
      <c r="Y213" s="325">
        <v>87.845000000030268</v>
      </c>
      <c r="Z213" s="325">
        <v>87.845000000030268</v>
      </c>
    </row>
    <row r="214" spans="6:26">
      <c r="F214" s="903" t="str">
        <v/>
      </c>
      <c r="G214" s="903" t="str">
        <v/>
      </c>
      <c r="H214" s="903" t="str">
        <v/>
      </c>
      <c r="I214" s="903" t="str">
        <v/>
      </c>
      <c r="J214" s="903" t="str">
        <v/>
      </c>
      <c r="K214" s="903" t="str">
        <v/>
      </c>
      <c r="L214" s="903" t="str">
        <v/>
      </c>
      <c r="M214" s="903" t="str">
        <v/>
      </c>
      <c r="N214" s="903" t="str">
        <v/>
      </c>
      <c r="O214" s="903" t="str">
        <v>WC 14 - Start of repair2</v>
      </c>
      <c r="P214" s="903">
        <v>0</v>
      </c>
      <c r="Q214" s="903">
        <v>-24</v>
      </c>
      <c r="R214" s="903" t="str">
        <v/>
      </c>
      <c r="S214" s="657">
        <v>258.12000000011176</v>
      </c>
      <c r="T214" s="657">
        <v>-12</v>
      </c>
      <c r="U214" s="657" t="str">
        <v/>
      </c>
      <c r="V214" s="657">
        <v>260.42000000010012</v>
      </c>
      <c r="W214" s="657">
        <v>-12.730000000039581</v>
      </c>
      <c r="X214" s="903" t="str">
        <v/>
      </c>
      <c r="Y214" s="657">
        <v>264.37284707534127</v>
      </c>
      <c r="Z214" s="657">
        <v>-16.682847075280733</v>
      </c>
    </row>
    <row r="215" spans="6:26">
      <c r="F215" s="594" t="str">
        <v/>
      </c>
      <c r="G215" s="594" t="str">
        <v/>
      </c>
      <c r="H215" s="594" t="str">
        <v/>
      </c>
      <c r="I215" s="594" t="str">
        <v/>
      </c>
      <c r="J215" s="594" t="str">
        <v/>
      </c>
      <c r="K215" s="594" t="str">
        <v/>
      </c>
      <c r="L215" s="594" t="str">
        <v/>
      </c>
      <c r="M215" s="594" t="str">
        <v/>
      </c>
      <c r="N215" s="594" t="str">
        <v/>
      </c>
      <c r="O215" s="594" t="str">
        <v/>
      </c>
      <c r="P215" s="594">
        <v>12</v>
      </c>
      <c r="Q215" s="594">
        <v>12</v>
      </c>
      <c r="R215" s="594" t="str">
        <v/>
      </c>
      <c r="S215" s="325">
        <v>12</v>
      </c>
      <c r="T215" s="325">
        <v>12</v>
      </c>
      <c r="U215" s="325" t="str">
        <v/>
      </c>
      <c r="V215" s="325">
        <v>12</v>
      </c>
      <c r="W215" s="325">
        <v>12</v>
      </c>
      <c r="X215" s="594" t="str">
        <v/>
      </c>
      <c r="Y215" s="325">
        <v>12</v>
      </c>
      <c r="Z215" s="325">
        <v>12</v>
      </c>
    </row>
    <row r="216" spans="6:26">
      <c r="F216" s="903" t="str">
        <v/>
      </c>
      <c r="G216" s="903" t="str">
        <v/>
      </c>
      <c r="H216" s="903" t="str">
        <v/>
      </c>
      <c r="I216" s="903" t="str">
        <v/>
      </c>
      <c r="J216" s="903" t="str">
        <v/>
      </c>
      <c r="K216" s="903" t="str">
        <v/>
      </c>
      <c r="L216" s="903" t="str">
        <v/>
      </c>
      <c r="M216" s="903" t="str">
        <v/>
      </c>
      <c r="N216" s="903" t="str">
        <v/>
      </c>
      <c r="O216" s="903" t="str">
        <v/>
      </c>
      <c r="P216" s="903">
        <v>12</v>
      </c>
      <c r="Q216" s="903">
        <v>-12</v>
      </c>
      <c r="R216" s="903" t="str">
        <v>WC 2</v>
      </c>
      <c r="S216" s="657">
        <v>270.12000000011176</v>
      </c>
      <c r="T216" s="657">
        <v>0</v>
      </c>
      <c r="U216" s="657" t="str">
        <v/>
      </c>
      <c r="V216" s="657">
        <v>272.42000000010012</v>
      </c>
      <c r="W216" s="657">
        <v>-0.73000000003958121</v>
      </c>
      <c r="X216" s="903" t="str">
        <v/>
      </c>
      <c r="Y216" s="657">
        <v>276.37284707534127</v>
      </c>
      <c r="Z216" s="657">
        <v>-4.6828470752807334</v>
      </c>
    </row>
    <row r="217" spans="6:26">
      <c r="F217" s="594" t="str">
        <v/>
      </c>
      <c r="G217" s="594" t="str">
        <v/>
      </c>
      <c r="H217" s="594" t="str">
        <v/>
      </c>
      <c r="I217" s="594" t="str">
        <v/>
      </c>
      <c r="J217" s="594" t="str">
        <v/>
      </c>
      <c r="K217" s="594" t="str">
        <v/>
      </c>
      <c r="L217" s="594" t="str">
        <v/>
      </c>
      <c r="M217" s="594" t="str">
        <v/>
      </c>
      <c r="N217" s="594" t="str">
        <v/>
      </c>
      <c r="O217" s="594" t="str">
        <v/>
      </c>
      <c r="P217" s="594">
        <v>0.73000000003958121</v>
      </c>
      <c r="Q217" s="594">
        <v>0.73000000003958121</v>
      </c>
      <c r="R217" s="594" t="str">
        <v/>
      </c>
      <c r="S217" s="325" t="str">
        <v/>
      </c>
      <c r="T217" s="325" t="str">
        <v/>
      </c>
      <c r="U217" s="325" t="str">
        <v/>
      </c>
      <c r="V217" s="325">
        <v>0.73000000003958121</v>
      </c>
      <c r="W217" s="325">
        <v>0.73000000003958121</v>
      </c>
      <c r="X217" s="594" t="str">
        <v/>
      </c>
      <c r="Y217" s="325">
        <v>0.73000000003958121</v>
      </c>
      <c r="Z217" s="325">
        <v>0.73000000003958121</v>
      </c>
    </row>
    <row r="218" spans="6:26">
      <c r="F218" s="903" t="str">
        <v/>
      </c>
      <c r="G218" s="903" t="str">
        <v/>
      </c>
      <c r="H218" s="903" t="str">
        <v/>
      </c>
      <c r="I218" s="903" t="str">
        <v/>
      </c>
      <c r="J218" s="903" t="str">
        <v/>
      </c>
      <c r="K218" s="903" t="str">
        <v/>
      </c>
      <c r="L218" s="903" t="str">
        <v/>
      </c>
      <c r="M218" s="903" t="str">
        <v/>
      </c>
      <c r="N218" s="903" t="str">
        <v/>
      </c>
      <c r="O218" s="903" t="str">
        <v/>
      </c>
      <c r="P218" s="903">
        <v>12.730000000039581</v>
      </c>
      <c r="Q218" s="903">
        <v>-11.269999999960419</v>
      </c>
      <c r="R218" s="903" t="str">
        <v/>
      </c>
      <c r="S218" s="657" t="str">
        <v/>
      </c>
      <c r="T218" s="657" t="str">
        <v/>
      </c>
      <c r="U218" s="657" t="str">
        <v>End of Defect - WC 9 - Start L_over2</v>
      </c>
      <c r="V218" s="657">
        <v>273.1500000001397</v>
      </c>
      <c r="W218" s="657">
        <v>0</v>
      </c>
      <c r="X218" s="903" t="str">
        <v/>
      </c>
      <c r="Y218" s="657">
        <v>277.10284707538085</v>
      </c>
      <c r="Z218" s="657">
        <v>-3.9528470752411522</v>
      </c>
    </row>
    <row r="219" spans="6:26">
      <c r="F219" s="594" t="str">
        <v/>
      </c>
      <c r="G219" s="594" t="str">
        <v/>
      </c>
      <c r="H219" s="594" t="str">
        <v/>
      </c>
      <c r="I219" s="594" t="str">
        <v/>
      </c>
      <c r="J219" s="594" t="str">
        <v/>
      </c>
      <c r="K219" s="594" t="str">
        <v/>
      </c>
      <c r="L219" s="594" t="str">
        <v/>
      </c>
      <c r="M219" s="594" t="str">
        <v/>
      </c>
      <c r="N219" s="594" t="str">
        <v/>
      </c>
      <c r="O219" s="594" t="str">
        <v/>
      </c>
      <c r="P219" s="594">
        <v>3.9528470752411522</v>
      </c>
      <c r="Q219" s="594">
        <v>3.9528470752411522</v>
      </c>
      <c r="R219" s="594" t="str">
        <v/>
      </c>
      <c r="S219" s="325" t="str">
        <v/>
      </c>
      <c r="T219" s="325" t="str">
        <v/>
      </c>
      <c r="U219" s="325" t="str">
        <v/>
      </c>
      <c r="V219" s="325" t="str">
        <v/>
      </c>
      <c r="W219" s="325" t="str">
        <v/>
      </c>
      <c r="X219" s="325" t="str">
        <v/>
      </c>
      <c r="Y219" s="325">
        <v>3.9528470752411522</v>
      </c>
      <c r="Z219" s="325">
        <v>3.9528470752411522</v>
      </c>
    </row>
    <row r="220" spans="6:26">
      <c r="F220" s="903" t="str">
        <v/>
      </c>
      <c r="G220" s="903" t="str">
        <v/>
      </c>
      <c r="H220" s="903" t="str">
        <v/>
      </c>
      <c r="I220" s="903" t="str">
        <v/>
      </c>
      <c r="J220" s="903" t="str">
        <v/>
      </c>
      <c r="K220" s="903" t="str">
        <v/>
      </c>
      <c r="L220" s="903" t="str">
        <v/>
      </c>
      <c r="M220" s="903" t="str">
        <v/>
      </c>
      <c r="N220" s="903" t="str">
        <v/>
      </c>
      <c r="O220" s="903" t="str">
        <v/>
      </c>
      <c r="P220" s="903">
        <v>16.682847075280733</v>
      </c>
      <c r="Q220" s="903">
        <v>-7.3171529247192666</v>
      </c>
      <c r="R220" s="903" t="str">
        <v/>
      </c>
      <c r="S220" s="657" t="str">
        <v/>
      </c>
      <c r="T220" s="657" t="str">
        <v/>
      </c>
      <c r="U220" s="657" t="str">
        <v/>
      </c>
      <c r="V220" s="657" t="str">
        <v/>
      </c>
      <c r="W220" s="657" t="str">
        <v/>
      </c>
      <c r="X220" s="903" t="str">
        <v>End of L_over2 - WC 11</v>
      </c>
      <c r="Y220" s="657">
        <v>281.055694150622</v>
      </c>
      <c r="Z220" s="657">
        <v>0</v>
      </c>
    </row>
    <row r="221" spans="6:26">
      <c r="F221" s="594" t="str">
        <v/>
      </c>
      <c r="G221" s="594" t="str">
        <v/>
      </c>
      <c r="H221" s="594" t="str">
        <v/>
      </c>
      <c r="I221" s="594" t="str">
        <v/>
      </c>
      <c r="J221" s="594" t="str">
        <v/>
      </c>
      <c r="K221" s="594" t="str">
        <v/>
      </c>
      <c r="L221" s="594" t="str">
        <v/>
      </c>
      <c r="M221" s="594" t="str">
        <v/>
      </c>
      <c r="N221" s="594" t="str">
        <v/>
      </c>
      <c r="O221" s="594" t="str">
        <v/>
      </c>
      <c r="P221" s="594">
        <v>7.3171529247192666</v>
      </c>
      <c r="Q221" s="594">
        <v>7.3171529247192666</v>
      </c>
      <c r="R221" s="594" t="str">
        <v/>
      </c>
      <c r="S221" s="325" t="str">
        <v/>
      </c>
      <c r="T221" s="325" t="str">
        <v/>
      </c>
      <c r="U221" s="325" t="str">
        <v/>
      </c>
      <c r="V221" s="325" t="str">
        <v/>
      </c>
      <c r="W221" s="325" t="str">
        <v/>
      </c>
      <c r="X221" s="325" t="str">
        <v/>
      </c>
      <c r="Y221" s="325" t="str">
        <v/>
      </c>
      <c r="Z221" s="325" t="str">
        <v/>
      </c>
    </row>
    <row r="222" spans="6:26">
      <c r="F222" s="903" t="str">
        <v/>
      </c>
      <c r="G222" s="903" t="str">
        <v/>
      </c>
      <c r="H222" s="903" t="str">
        <v/>
      </c>
      <c r="I222" s="903" t="str">
        <v/>
      </c>
      <c r="J222" s="903" t="str">
        <v/>
      </c>
      <c r="K222" s="903" t="str">
        <v/>
      </c>
      <c r="L222" s="903" t="str">
        <v/>
      </c>
      <c r="M222" s="903" t="str">
        <v/>
      </c>
      <c r="N222" s="903" t="str">
        <v/>
      </c>
      <c r="O222" s="903" t="str">
        <v>End of repair2 - WC 15</v>
      </c>
      <c r="P222" s="903">
        <v>24</v>
      </c>
      <c r="Q222" s="903">
        <v>0</v>
      </c>
      <c r="R222" s="903" t="str">
        <v/>
      </c>
      <c r="S222" s="657" t="str">
        <v/>
      </c>
      <c r="T222" s="657" t="str">
        <v/>
      </c>
      <c r="U222" s="657" t="str">
        <v/>
      </c>
      <c r="V222" s="657" t="str">
        <v/>
      </c>
      <c r="W222" s="657" t="str">
        <v/>
      </c>
      <c r="X222" s="903" t="str">
        <v/>
      </c>
      <c r="Y222" s="657" t="str">
        <v/>
      </c>
      <c r="Z222" s="657" t="str">
        <v/>
      </c>
    </row>
    <row r="223" spans="6:26">
      <c r="F223" s="594" t="str">
        <v/>
      </c>
      <c r="G223" s="594" t="str">
        <v/>
      </c>
      <c r="H223" s="594" t="str">
        <v/>
      </c>
      <c r="I223" s="594" t="str">
        <v/>
      </c>
      <c r="J223" s="594" t="str">
        <v/>
      </c>
      <c r="K223" s="594" t="str">
        <v/>
      </c>
      <c r="L223" s="594" t="str">
        <v/>
      </c>
      <c r="M223" s="594" t="str">
        <v/>
      </c>
      <c r="N223" s="594" t="str">
        <v/>
      </c>
      <c r="O223" s="594" t="str">
        <v/>
      </c>
      <c r="P223" s="594" t="str">
        <v/>
      </c>
      <c r="Q223" s="594" t="str">
        <v/>
      </c>
      <c r="R223" s="594" t="str">
        <v/>
      </c>
      <c r="S223" s="325" t="str">
        <v/>
      </c>
      <c r="T223" s="325" t="str">
        <v/>
      </c>
      <c r="U223" s="325" t="str">
        <v/>
      </c>
      <c r="V223" s="325" t="str">
        <v/>
      </c>
      <c r="W223" s="325" t="str">
        <v/>
      </c>
      <c r="X223" s="325" t="str">
        <v/>
      </c>
      <c r="Y223" s="325" t="str">
        <v/>
      </c>
      <c r="Z223" s="325" t="str">
        <v/>
      </c>
    </row>
    <row r="224" spans="6:26">
      <c r="F224" s="903" t="str">
        <v>WC 6 - Left Limit</v>
      </c>
      <c r="G224" s="903">
        <v>0</v>
      </c>
      <c r="H224" s="903">
        <v>-57.15999999595806</v>
      </c>
      <c r="I224" s="903" t="str">
        <v/>
      </c>
      <c r="J224" s="903" t="str">
        <v/>
      </c>
      <c r="K224" s="903" t="str">
        <v/>
      </c>
      <c r="L224" s="903" t="str">
        <v/>
      </c>
      <c r="M224" s="903" t="str">
        <v/>
      </c>
      <c r="N224" s="903" t="str">
        <v/>
      </c>
      <c r="O224" s="903" t="str">
        <v/>
      </c>
      <c r="P224" s="903" t="str">
        <v/>
      </c>
      <c r="Q224" s="903" t="str">
        <v/>
      </c>
      <c r="R224" s="903" t="str">
        <v/>
      </c>
      <c r="S224" s="657" t="str">
        <v/>
      </c>
      <c r="T224" s="657" t="str">
        <v/>
      </c>
      <c r="U224" s="657" t="str">
        <v/>
      </c>
      <c r="V224" s="657" t="str">
        <v/>
      </c>
      <c r="W224" s="657" t="str">
        <v/>
      </c>
      <c r="X224" s="903" t="str">
        <v/>
      </c>
      <c r="Y224" s="657" t="str">
        <v/>
      </c>
      <c r="Z224" s="657" t="str">
        <v/>
      </c>
    </row>
    <row r="225" spans="6:26">
      <c r="F225" s="594">
        <v>0</v>
      </c>
      <c r="G225" s="594">
        <v>57.15999999595806</v>
      </c>
      <c r="H225" s="594">
        <v>57.15999999595806</v>
      </c>
      <c r="I225" s="594" t="str">
        <v/>
      </c>
      <c r="J225" s="594" t="str">
        <v/>
      </c>
      <c r="K225" s="594" t="str">
        <v/>
      </c>
      <c r="L225" s="594" t="str">
        <v/>
      </c>
      <c r="M225" s="594" t="str">
        <v/>
      </c>
      <c r="N225" s="594" t="str">
        <v/>
      </c>
      <c r="O225" s="594" t="str">
        <v/>
      </c>
      <c r="P225" s="594" t="str">
        <v/>
      </c>
      <c r="Q225" s="594" t="str">
        <v/>
      </c>
      <c r="R225" s="594" t="str">
        <v/>
      </c>
      <c r="S225" s="325" t="str">
        <v/>
      </c>
      <c r="T225" s="325" t="str">
        <v/>
      </c>
      <c r="U225" s="325" t="str">
        <v/>
      </c>
      <c r="V225" s="325" t="str">
        <v/>
      </c>
      <c r="W225" s="325" t="str">
        <v/>
      </c>
      <c r="X225" s="325" t="str">
        <v/>
      </c>
      <c r="Y225" s="325" t="str">
        <v/>
      </c>
      <c r="Z225" s="325" t="str">
        <v/>
      </c>
    </row>
    <row r="226" spans="6:26">
      <c r="F226" s="903" t="str">
        <v>WC 7 - Right Limit</v>
      </c>
      <c r="G226" s="903">
        <v>57.15999999595806</v>
      </c>
      <c r="H226" s="903">
        <v>0</v>
      </c>
      <c r="I226" s="903" t="str">
        <v/>
      </c>
      <c r="J226" s="903" t="str">
        <v/>
      </c>
      <c r="K226" s="903" t="str">
        <v/>
      </c>
      <c r="L226" s="903" t="str">
        <v/>
      </c>
      <c r="M226" s="903" t="str">
        <v/>
      </c>
      <c r="N226" s="903" t="str">
        <v/>
      </c>
      <c r="O226" s="903" t="str">
        <v/>
      </c>
      <c r="P226" s="903" t="str">
        <v/>
      </c>
      <c r="Q226" s="903" t="str">
        <v/>
      </c>
      <c r="R226" s="903" t="str">
        <v/>
      </c>
      <c r="S226" s="657" t="str">
        <v/>
      </c>
      <c r="T226" s="657" t="str">
        <v/>
      </c>
      <c r="U226" s="657" t="str">
        <v/>
      </c>
      <c r="V226" s="657" t="str">
        <v/>
      </c>
      <c r="W226" s="657" t="str">
        <v/>
      </c>
      <c r="X226" s="903" t="str">
        <v/>
      </c>
      <c r="Y226" s="657" t="str">
        <v/>
      </c>
      <c r="Z226" s="657" t="str">
        <v/>
      </c>
    </row>
    <row r="227" spans="6:26">
      <c r="F227" s="594">
        <v>0</v>
      </c>
      <c r="G227" s="594">
        <v>0</v>
      </c>
      <c r="H227" s="594">
        <v>0</v>
      </c>
      <c r="I227" s="594">
        <v>0</v>
      </c>
      <c r="J227" s="594">
        <v>0</v>
      </c>
      <c r="K227" s="594">
        <v>0</v>
      </c>
      <c r="L227" s="594">
        <v>0</v>
      </c>
      <c r="M227" s="594">
        <v>0</v>
      </c>
      <c r="N227" s="594">
        <v>0</v>
      </c>
      <c r="O227" s="594">
        <v>0</v>
      </c>
      <c r="P227" s="594">
        <v>0</v>
      </c>
      <c r="Q227" s="594">
        <v>0</v>
      </c>
      <c r="R227" s="594">
        <v>0</v>
      </c>
      <c r="S227" s="325">
        <v>0</v>
      </c>
      <c r="T227" s="325">
        <v>0</v>
      </c>
      <c r="U227" s="325">
        <v>0</v>
      </c>
      <c r="V227" s="325">
        <v>0</v>
      </c>
      <c r="W227" s="325">
        <v>0</v>
      </c>
      <c r="X227" s="325">
        <v>0</v>
      </c>
      <c r="Y227" s="325">
        <v>0</v>
      </c>
      <c r="Z227" s="325">
        <v>0</v>
      </c>
    </row>
    <row r="228" spans="6:26">
      <c r="F228" s="903">
        <v>0</v>
      </c>
      <c r="G228" s="903">
        <v>0</v>
      </c>
      <c r="H228" s="903">
        <v>0</v>
      </c>
      <c r="I228" s="903">
        <v>0</v>
      </c>
      <c r="J228" s="903">
        <v>0</v>
      </c>
      <c r="K228" s="903">
        <v>0</v>
      </c>
      <c r="L228" s="903">
        <v>0</v>
      </c>
      <c r="M228" s="903">
        <v>0</v>
      </c>
      <c r="N228" s="903">
        <v>0</v>
      </c>
      <c r="O228" s="903">
        <v>0</v>
      </c>
      <c r="P228" s="903">
        <v>0</v>
      </c>
      <c r="Q228" s="903">
        <v>0</v>
      </c>
      <c r="R228" s="903">
        <v>0</v>
      </c>
      <c r="S228" s="657">
        <v>0</v>
      </c>
      <c r="T228" s="657">
        <v>0</v>
      </c>
      <c r="U228" s="657">
        <v>0</v>
      </c>
      <c r="V228" s="657">
        <v>0</v>
      </c>
      <c r="W228" s="657">
        <v>0</v>
      </c>
      <c r="X228" s="903">
        <v>0</v>
      </c>
      <c r="Y228" s="657">
        <v>0</v>
      </c>
      <c r="Z228" s="657">
        <v>0</v>
      </c>
    </row>
    <row r="244" spans="4:26">
      <c r="D244" s="992"/>
      <c r="E244" s="992"/>
      <c r="G244" s="992" t="str">
        <f>G197</f>
        <v>Limits</v>
      </c>
      <c r="H244" s="992"/>
      <c r="J244" s="992" t="str">
        <f>J197</f>
        <v>Wrap Length 12"</v>
      </c>
      <c r="K244" s="992"/>
      <c r="M244" s="992" t="str">
        <f>M197</f>
        <v>Repair 1</v>
      </c>
      <c r="N244" s="992"/>
      <c r="P244" s="992" t="str">
        <f>P197</f>
        <v>Repair 2</v>
      </c>
      <c r="Q244" s="992"/>
      <c r="S244" s="992" t="str">
        <f>S197</f>
        <v>Defect Locations</v>
      </c>
      <c r="T244" s="992"/>
      <c r="V244" s="992" t="str">
        <f>V197</f>
        <v>Overall Defect Length</v>
      </c>
      <c r="W244" s="992"/>
      <c r="Y244" s="992" t="str">
        <f>Y197</f>
        <v>Actual Wrap Length</v>
      </c>
      <c r="Z244" s="992"/>
    </row>
    <row r="245" spans="4:26">
      <c r="D245" s="911"/>
      <c r="E245" s="911"/>
      <c r="F245" s="268" t="str">
        <f>IF(F198=0,"",F198)</f>
        <v/>
      </c>
      <c r="G245" s="911" t="str">
        <f>G198</f>
        <v/>
      </c>
      <c r="H245" s="911" t="str">
        <f>H198</f>
        <v/>
      </c>
      <c r="I245" s="268" t="str">
        <f>IF(I198=0,"",I198)</f>
        <v/>
      </c>
      <c r="J245" s="911" t="str">
        <f>J198</f>
        <v/>
      </c>
      <c r="K245" s="911" t="str">
        <f>K198</f>
        <v/>
      </c>
      <c r="L245" s="268" t="str">
        <f>IF(L198=0,"",L198)</f>
        <v>WC 12 - Start of repair1</v>
      </c>
      <c r="M245" s="911">
        <f>M198</f>
        <v>0</v>
      </c>
      <c r="N245" s="911">
        <f>N198</f>
        <v>-24</v>
      </c>
      <c r="O245" s="268" t="str">
        <f t="shared" ref="O245:O251" si="171">IF(O198=0,"",O198)</f>
        <v/>
      </c>
      <c r="P245" s="911" t="str">
        <f>P198</f>
        <v/>
      </c>
      <c r="Q245" s="911" t="str">
        <f>Q198</f>
        <v/>
      </c>
      <c r="R245" s="268" t="str">
        <f>IF(R198=0,"",R198)</f>
        <v/>
      </c>
      <c r="S245" s="911" t="str">
        <f>S198</f>
        <v/>
      </c>
      <c r="T245" s="911" t="str">
        <f>T198</f>
        <v/>
      </c>
      <c r="U245" s="268" t="str">
        <f>IF(U198=0,"",U198)</f>
        <v/>
      </c>
      <c r="V245" s="911" t="str">
        <f>V198</f>
        <v/>
      </c>
      <c r="W245" s="911" t="str">
        <f>W198</f>
        <v/>
      </c>
      <c r="X245" s="268" t="str">
        <f>IF(X198=0,"",X198)</f>
        <v/>
      </c>
      <c r="Y245" s="911" t="str">
        <f>Y198</f>
        <v/>
      </c>
      <c r="Z245" s="911" t="str">
        <f>Z198</f>
        <v/>
      </c>
    </row>
    <row r="246" spans="4:26">
      <c r="D246" s="912"/>
      <c r="E246" s="912"/>
      <c r="F246" s="268" t="str">
        <f>IF(F199=0,"",F199)</f>
        <v/>
      </c>
      <c r="G246" s="912" t="str">
        <f t="shared" ref="G246:H272" si="172">G199</f>
        <v/>
      </c>
      <c r="H246" s="912" t="str">
        <f t="shared" si="172"/>
        <v/>
      </c>
      <c r="I246" s="268" t="str">
        <f t="shared" ref="I246:I273" si="173">IF(I199=0,"",I199)</f>
        <v/>
      </c>
      <c r="J246" s="912" t="str">
        <f t="shared" ref="J246:K246" si="174">J199</f>
        <v/>
      </c>
      <c r="K246" s="912" t="str">
        <f t="shared" si="174"/>
        <v/>
      </c>
      <c r="L246" s="268" t="str">
        <f t="shared" ref="L246:L273" si="175">IF(L199=0,"",L199)</f>
        <v/>
      </c>
      <c r="M246" s="912">
        <f t="shared" ref="M246:N246" si="176">M199</f>
        <v>5.7471529247704893</v>
      </c>
      <c r="N246" s="912">
        <f t="shared" si="176"/>
        <v>5.7471529247704893</v>
      </c>
      <c r="O246" s="268" t="str">
        <f t="shared" si="171"/>
        <v/>
      </c>
      <c r="P246" s="912" t="str">
        <f t="shared" ref="P246:Q246" si="177">P199</f>
        <v/>
      </c>
      <c r="Q246" s="912" t="str">
        <f t="shared" si="177"/>
        <v/>
      </c>
      <c r="R246" s="268" t="str">
        <f t="shared" ref="R246:R273" si="178">IF(R199=0,"",R199)</f>
        <v/>
      </c>
      <c r="S246" s="912" t="str">
        <f t="shared" ref="S246:T246" si="179">S199</f>
        <v/>
      </c>
      <c r="T246" s="912" t="str">
        <f t="shared" si="179"/>
        <v/>
      </c>
      <c r="U246" s="268" t="str">
        <f>IF(U199=0,"",U199)</f>
        <v/>
      </c>
      <c r="V246" s="912" t="str">
        <f t="shared" ref="V246:W246" si="180">V199</f>
        <v/>
      </c>
      <c r="W246" s="912" t="str">
        <f t="shared" si="180"/>
        <v/>
      </c>
      <c r="X246" s="268" t="str">
        <f t="shared" ref="X246:X273" si="181">IF(X199=0,"",X199)</f>
        <v/>
      </c>
      <c r="Y246" s="912" t="str">
        <f t="shared" ref="Y246:Z246" si="182">Y199</f>
        <v/>
      </c>
      <c r="Z246" s="912" t="str">
        <f t="shared" si="182"/>
        <v/>
      </c>
    </row>
    <row r="247" spans="4:26">
      <c r="D247" s="911"/>
      <c r="E247" s="911"/>
      <c r="F247" s="268" t="str">
        <f t="shared" ref="F247:F273" si="183">IF(F200=0,"",F200)</f>
        <v/>
      </c>
      <c r="G247" s="911" t="str">
        <f t="shared" si="172"/>
        <v/>
      </c>
      <c r="H247" s="911" t="str">
        <f t="shared" si="172"/>
        <v/>
      </c>
      <c r="I247" s="268" t="str">
        <f t="shared" si="173"/>
        <v/>
      </c>
      <c r="J247" s="911" t="str">
        <f t="shared" ref="J247:K247" si="184">J200</f>
        <v/>
      </c>
      <c r="K247" s="911" t="str">
        <f t="shared" si="184"/>
        <v/>
      </c>
      <c r="L247" s="268" t="str">
        <f t="shared" si="175"/>
        <v/>
      </c>
      <c r="M247" s="911">
        <f t="shared" ref="M247:N247" si="185">M200</f>
        <v>5.7471529247704893</v>
      </c>
      <c r="N247" s="911">
        <f t="shared" si="185"/>
        <v>-18.252847075229511</v>
      </c>
      <c r="O247" s="268" t="str">
        <f t="shared" si="171"/>
        <v/>
      </c>
      <c r="P247" s="911" t="str">
        <f t="shared" ref="P247:Q247" si="186">P200</f>
        <v/>
      </c>
      <c r="Q247" s="911" t="str">
        <f t="shared" si="186"/>
        <v/>
      </c>
      <c r="R247" s="268" t="str">
        <f t="shared" si="178"/>
        <v/>
      </c>
      <c r="S247" s="911" t="str">
        <f t="shared" ref="S247:T247" si="187">S200</f>
        <v/>
      </c>
      <c r="T247" s="911" t="str">
        <f t="shared" si="187"/>
        <v/>
      </c>
      <c r="U247" s="268" t="str">
        <f>IF(U200=0,"",U200)</f>
        <v/>
      </c>
      <c r="V247" s="911" t="str">
        <f t="shared" ref="V247:W247" si="188">V200</f>
        <v/>
      </c>
      <c r="W247" s="911" t="str">
        <f t="shared" si="188"/>
        <v/>
      </c>
      <c r="X247" s="268" t="str">
        <f t="shared" si="181"/>
        <v>WC 10 - Start of L_over1</v>
      </c>
      <c r="Y247" s="911">
        <f t="shared" ref="Y247:Z247" si="189">Y200</f>
        <v>0</v>
      </c>
      <c r="Z247" s="911">
        <f t="shared" si="189"/>
        <v>-281.055694150622</v>
      </c>
    </row>
    <row r="248" spans="4:26">
      <c r="D248" s="912"/>
      <c r="E248" s="912"/>
      <c r="F248" s="268" t="str">
        <f t="shared" si="183"/>
        <v/>
      </c>
      <c r="G248" s="912" t="str">
        <f t="shared" si="172"/>
        <v/>
      </c>
      <c r="H248" s="912" t="str">
        <f t="shared" si="172"/>
        <v/>
      </c>
      <c r="I248" s="268" t="str">
        <f t="shared" si="173"/>
        <v/>
      </c>
      <c r="J248" s="912" t="str">
        <f t="shared" ref="J248:K248" si="190">J201</f>
        <v/>
      </c>
      <c r="K248" s="912" t="str">
        <f t="shared" si="190"/>
        <v/>
      </c>
      <c r="L248" s="268" t="str">
        <f t="shared" si="175"/>
        <v/>
      </c>
      <c r="M248" s="912">
        <f t="shared" ref="M248:N248" si="191">M201</f>
        <v>3.9528470752411522</v>
      </c>
      <c r="N248" s="912">
        <f t="shared" si="191"/>
        <v>3.9528470752411522</v>
      </c>
      <c r="O248" s="268" t="str">
        <f t="shared" si="171"/>
        <v/>
      </c>
      <c r="P248" s="912" t="str">
        <f t="shared" ref="P248:Q248" si="192">P201</f>
        <v/>
      </c>
      <c r="Q248" s="912" t="str">
        <f t="shared" si="192"/>
        <v/>
      </c>
      <c r="R248" s="268" t="str">
        <f t="shared" si="178"/>
        <v/>
      </c>
      <c r="S248" s="912" t="str">
        <f t="shared" ref="S248:T248" si="193">S201</f>
        <v/>
      </c>
      <c r="T248" s="912" t="str">
        <f t="shared" si="193"/>
        <v/>
      </c>
      <c r="U248" s="268" t="str">
        <f t="shared" ref="U248:U273" si="194">IF(U201=0,"",U201)</f>
        <v/>
      </c>
      <c r="V248" s="912" t="str">
        <f t="shared" ref="V248:W248" si="195">V201</f>
        <v/>
      </c>
      <c r="W248" s="912" t="str">
        <f t="shared" si="195"/>
        <v/>
      </c>
      <c r="X248" s="268" t="str">
        <f t="shared" si="181"/>
        <v/>
      </c>
      <c r="Y248" s="912">
        <f t="shared" ref="Y248:Z248" si="196">Y201</f>
        <v>3.9528470752411522</v>
      </c>
      <c r="Z248" s="912">
        <f t="shared" si="196"/>
        <v>3.9528470752411522</v>
      </c>
    </row>
    <row r="249" spans="4:26">
      <c r="D249" s="911"/>
      <c r="E249" s="911"/>
      <c r="F249" s="268" t="str">
        <f t="shared" si="183"/>
        <v/>
      </c>
      <c r="G249" s="911" t="str">
        <f t="shared" si="172"/>
        <v/>
      </c>
      <c r="H249" s="911" t="str">
        <f t="shared" si="172"/>
        <v/>
      </c>
      <c r="I249" s="268" t="str">
        <f t="shared" si="173"/>
        <v/>
      </c>
      <c r="J249" s="911" t="str">
        <f t="shared" ref="J249:K249" si="197">J202</f>
        <v/>
      </c>
      <c r="K249" s="911" t="str">
        <f t="shared" si="197"/>
        <v/>
      </c>
      <c r="L249" s="268" t="str">
        <f t="shared" si="175"/>
        <v/>
      </c>
      <c r="M249" s="911">
        <f t="shared" ref="M249:N249" si="198">M202</f>
        <v>9.7000000000116415</v>
      </c>
      <c r="N249" s="911">
        <f t="shared" si="198"/>
        <v>-14.299999999988358</v>
      </c>
      <c r="O249" s="268" t="str">
        <f t="shared" si="171"/>
        <v/>
      </c>
      <c r="P249" s="911" t="str">
        <f t="shared" ref="P249:Q249" si="199">P202</f>
        <v/>
      </c>
      <c r="Q249" s="911" t="str">
        <f t="shared" si="199"/>
        <v/>
      </c>
      <c r="R249" s="268" t="str">
        <f t="shared" si="178"/>
        <v/>
      </c>
      <c r="S249" s="911" t="str">
        <f t="shared" ref="S249:T249" si="200">S202</f>
        <v/>
      </c>
      <c r="T249" s="911" t="str">
        <f t="shared" si="200"/>
        <v/>
      </c>
      <c r="U249" s="268" t="str">
        <f t="shared" si="194"/>
        <v>End of L_over1 - WC 8 - Start of Defect</v>
      </c>
      <c r="V249" s="911">
        <f t="shared" ref="V249:W249" si="201">V202</f>
        <v>0</v>
      </c>
      <c r="W249" s="911">
        <f t="shared" si="201"/>
        <v>-273.1500000001397</v>
      </c>
      <c r="X249" s="268" t="str">
        <f t="shared" si="181"/>
        <v/>
      </c>
      <c r="Y249" s="911">
        <f t="shared" ref="Y249:Z249" si="202">Y202</f>
        <v>3.9528470752411522</v>
      </c>
      <c r="Z249" s="911">
        <f t="shared" si="202"/>
        <v>-277.10284707538085</v>
      </c>
    </row>
    <row r="250" spans="4:26">
      <c r="D250" s="912"/>
      <c r="E250" s="912"/>
      <c r="F250" s="268" t="str">
        <f t="shared" si="183"/>
        <v/>
      </c>
      <c r="G250" s="912" t="str">
        <f t="shared" si="172"/>
        <v/>
      </c>
      <c r="H250" s="912" t="str">
        <f t="shared" si="172"/>
        <v/>
      </c>
      <c r="I250" s="268" t="str">
        <f t="shared" si="173"/>
        <v/>
      </c>
      <c r="J250" s="912" t="str">
        <f t="shared" ref="J250:K250" si="203">J203</f>
        <v/>
      </c>
      <c r="K250" s="912" t="str">
        <f t="shared" si="203"/>
        <v/>
      </c>
      <c r="L250" s="268" t="str">
        <f t="shared" si="175"/>
        <v/>
      </c>
      <c r="M250" s="912">
        <f t="shared" ref="M250:N250" si="204">M203</f>
        <v>2.2999999999883585</v>
      </c>
      <c r="N250" s="912">
        <f t="shared" si="204"/>
        <v>2.2999999999883585</v>
      </c>
      <c r="O250" s="268" t="str">
        <f t="shared" si="171"/>
        <v/>
      </c>
      <c r="P250" s="912" t="str">
        <f t="shared" ref="P250:Q250" si="205">P203</f>
        <v/>
      </c>
      <c r="Q250" s="912" t="str">
        <f t="shared" si="205"/>
        <v/>
      </c>
      <c r="R250" s="268" t="str">
        <f t="shared" si="178"/>
        <v/>
      </c>
      <c r="S250" s="912" t="str">
        <f t="shared" ref="S250:T250" si="206">S203</f>
        <v/>
      </c>
      <c r="T250" s="912" t="str">
        <f t="shared" si="206"/>
        <v/>
      </c>
      <c r="U250" s="268" t="str">
        <f t="shared" si="194"/>
        <v/>
      </c>
      <c r="V250" s="912">
        <f t="shared" ref="V250:W250" si="207">V203</f>
        <v>2.2999999999883585</v>
      </c>
      <c r="W250" s="912">
        <f t="shared" si="207"/>
        <v>2.2999999999883585</v>
      </c>
      <c r="X250" s="268" t="str">
        <f t="shared" si="181"/>
        <v/>
      </c>
      <c r="Y250" s="912">
        <f t="shared" ref="Y250:Z250" si="208">Y203</f>
        <v>2.2999999999883585</v>
      </c>
      <c r="Z250" s="912">
        <f t="shared" si="208"/>
        <v>2.2999999999883585</v>
      </c>
    </row>
    <row r="251" spans="4:26">
      <c r="D251" s="911"/>
      <c r="E251" s="911"/>
      <c r="F251" s="268" t="str">
        <f t="shared" si="183"/>
        <v/>
      </c>
      <c r="G251" s="911" t="str">
        <f t="shared" si="172"/>
        <v/>
      </c>
      <c r="H251" s="911" t="str">
        <f t="shared" si="172"/>
        <v/>
      </c>
      <c r="I251" s="268" t="str">
        <f t="shared" si="173"/>
        <v/>
      </c>
      <c r="J251" s="911" t="str">
        <f t="shared" ref="J251:K251" si="209">J204</f>
        <v/>
      </c>
      <c r="K251" s="911" t="str">
        <f t="shared" si="209"/>
        <v/>
      </c>
      <c r="L251" s="268" t="str">
        <f t="shared" si="175"/>
        <v/>
      </c>
      <c r="M251" s="911">
        <f t="shared" ref="M251:N251" si="210">M204</f>
        <v>12</v>
      </c>
      <c r="N251" s="911">
        <f t="shared" si="210"/>
        <v>-12</v>
      </c>
      <c r="O251" s="268" t="str">
        <f t="shared" si="171"/>
        <v/>
      </c>
      <c r="P251" s="911" t="str">
        <f t="shared" ref="P251:Q251" si="211">P204</f>
        <v/>
      </c>
      <c r="Q251" s="911" t="str">
        <f t="shared" si="211"/>
        <v/>
      </c>
      <c r="R251" s="268" t="str">
        <f t="shared" si="178"/>
        <v>WC 1</v>
      </c>
      <c r="S251" s="911">
        <f t="shared" ref="S251:T251" si="212">S204</f>
        <v>0</v>
      </c>
      <c r="T251" s="911">
        <f t="shared" si="212"/>
        <v>-270.12000000011176</v>
      </c>
      <c r="U251" s="268" t="str">
        <f t="shared" si="194"/>
        <v/>
      </c>
      <c r="V251" s="911">
        <f t="shared" ref="V251:W251" si="213">V204</f>
        <v>2.2999999999883585</v>
      </c>
      <c r="W251" s="911">
        <f t="shared" si="213"/>
        <v>-270.85000000015134</v>
      </c>
      <c r="X251" s="268" t="str">
        <f t="shared" si="181"/>
        <v/>
      </c>
      <c r="Y251" s="911">
        <f t="shared" ref="Y251:Z251" si="214">Y204</f>
        <v>6.2528470752295107</v>
      </c>
      <c r="Z251" s="911">
        <f t="shared" si="214"/>
        <v>-274.80284707539249</v>
      </c>
    </row>
    <row r="252" spans="4:26">
      <c r="D252" s="912"/>
      <c r="E252" s="912"/>
      <c r="F252" s="268" t="str">
        <f t="shared" si="183"/>
        <v/>
      </c>
      <c r="G252" s="912" t="str">
        <f t="shared" si="172"/>
        <v/>
      </c>
      <c r="H252" s="912" t="str">
        <f t="shared" si="172"/>
        <v/>
      </c>
      <c r="I252" s="268" t="str">
        <f t="shared" si="173"/>
        <v/>
      </c>
      <c r="J252" s="912" t="str">
        <f t="shared" ref="J252:K252" si="215">J205</f>
        <v/>
      </c>
      <c r="K252" s="912" t="str">
        <f t="shared" si="215"/>
        <v/>
      </c>
      <c r="L252" s="268" t="str">
        <f t="shared" si="175"/>
        <v/>
      </c>
      <c r="M252" s="912">
        <f t="shared" ref="M252:N252" si="216">M205</f>
        <v>12</v>
      </c>
      <c r="N252" s="912">
        <f t="shared" si="216"/>
        <v>12</v>
      </c>
      <c r="O252" s="268" t="str">
        <f t="shared" ref="O252:O273" si="217">IF(O205=0,"",O205)</f>
        <v/>
      </c>
      <c r="P252" s="912" t="str">
        <f t="shared" ref="P252:Q252" si="218">P205</f>
        <v/>
      </c>
      <c r="Q252" s="912" t="str">
        <f t="shared" si="218"/>
        <v/>
      </c>
      <c r="R252" s="268" t="str">
        <f t="shared" si="178"/>
        <v/>
      </c>
      <c r="S252" s="912">
        <f t="shared" ref="S252:T252" si="219">S205</f>
        <v>12</v>
      </c>
      <c r="T252" s="912">
        <f t="shared" si="219"/>
        <v>12</v>
      </c>
      <c r="U252" s="268" t="str">
        <f t="shared" si="194"/>
        <v/>
      </c>
      <c r="V252" s="912">
        <f t="shared" ref="V252:W252" si="220">V205</f>
        <v>12</v>
      </c>
      <c r="W252" s="912">
        <f t="shared" si="220"/>
        <v>12</v>
      </c>
      <c r="X252" s="268" t="str">
        <f t="shared" si="181"/>
        <v/>
      </c>
      <c r="Y252" s="912">
        <f t="shared" ref="Y252:Z252" si="221">Y205</f>
        <v>12</v>
      </c>
      <c r="Z252" s="912">
        <f t="shared" si="221"/>
        <v>12</v>
      </c>
    </row>
    <row r="253" spans="4:26">
      <c r="D253" s="911"/>
      <c r="E253" s="911"/>
      <c r="F253" s="268" t="str">
        <f t="shared" si="183"/>
        <v/>
      </c>
      <c r="G253" s="911" t="str">
        <f t="shared" si="172"/>
        <v/>
      </c>
      <c r="H253" s="911" t="str">
        <f t="shared" si="172"/>
        <v/>
      </c>
      <c r="I253" s="268" t="str">
        <f t="shared" si="173"/>
        <v/>
      </c>
      <c r="J253" s="911" t="str">
        <f t="shared" ref="J253:K253" si="222">J206</f>
        <v/>
      </c>
      <c r="K253" s="911" t="str">
        <f t="shared" si="222"/>
        <v/>
      </c>
      <c r="L253" s="268" t="str">
        <f t="shared" si="175"/>
        <v>End of repair1 - WC 13</v>
      </c>
      <c r="M253" s="911">
        <f t="shared" ref="M253:N253" si="223">M206</f>
        <v>24</v>
      </c>
      <c r="N253" s="911">
        <f t="shared" si="223"/>
        <v>0</v>
      </c>
      <c r="O253" s="268" t="str">
        <f t="shared" si="217"/>
        <v/>
      </c>
      <c r="P253" s="911" t="str">
        <f t="shared" ref="P253:Q253" si="224">P206</f>
        <v/>
      </c>
      <c r="Q253" s="911" t="str">
        <f t="shared" si="224"/>
        <v/>
      </c>
      <c r="R253" s="268" t="str">
        <f t="shared" si="178"/>
        <v/>
      </c>
      <c r="S253" s="911">
        <f t="shared" ref="S253:T253" si="225">S206</f>
        <v>12</v>
      </c>
      <c r="T253" s="911">
        <f t="shared" si="225"/>
        <v>-258.12000000011176</v>
      </c>
      <c r="U253" s="268" t="str">
        <f t="shared" si="194"/>
        <v/>
      </c>
      <c r="V253" s="911">
        <f t="shared" ref="V253:W253" si="226">V206</f>
        <v>14.299999999988358</v>
      </c>
      <c r="W253" s="911">
        <f t="shared" si="226"/>
        <v>-258.85000000015134</v>
      </c>
      <c r="X253" s="268" t="str">
        <f t="shared" si="181"/>
        <v/>
      </c>
      <c r="Y253" s="911">
        <f t="shared" ref="Y253:Z253" si="227">Y206</f>
        <v>18.252847075229511</v>
      </c>
      <c r="Z253" s="911">
        <f t="shared" si="227"/>
        <v>-262.80284707539249</v>
      </c>
    </row>
    <row r="254" spans="4:26">
      <c r="D254" s="912"/>
      <c r="E254" s="912"/>
      <c r="F254" s="268" t="str">
        <f t="shared" si="183"/>
        <v/>
      </c>
      <c r="G254" s="912" t="str">
        <f t="shared" si="172"/>
        <v/>
      </c>
      <c r="H254" s="912" t="str">
        <f t="shared" si="172"/>
        <v/>
      </c>
      <c r="I254" s="268" t="str">
        <f t="shared" si="173"/>
        <v/>
      </c>
      <c r="J254" s="912" t="str">
        <f t="shared" ref="J254:K269" si="228">J207</f>
        <v/>
      </c>
      <c r="K254" s="912" t="str">
        <f t="shared" si="228"/>
        <v/>
      </c>
      <c r="L254" s="268" t="str">
        <f t="shared" si="175"/>
        <v/>
      </c>
      <c r="M254" s="912" t="str">
        <f t="shared" ref="M254:N269" si="229">M207</f>
        <v/>
      </c>
      <c r="N254" s="912" t="str">
        <f t="shared" si="229"/>
        <v/>
      </c>
      <c r="O254" s="268" t="str">
        <f>IF(O207=0,"",O207)</f>
        <v/>
      </c>
      <c r="P254" s="912" t="str">
        <f t="shared" ref="P254:Q269" si="230">P207</f>
        <v/>
      </c>
      <c r="Q254" s="912" t="str">
        <f t="shared" si="230"/>
        <v/>
      </c>
      <c r="R254" s="268" t="str">
        <f t="shared" si="178"/>
        <v/>
      </c>
      <c r="S254" s="912">
        <f t="shared" ref="S254:T269" si="231">S207</f>
        <v>86.275000000081491</v>
      </c>
      <c r="T254" s="912">
        <f t="shared" si="231"/>
        <v>86.275000000081491</v>
      </c>
      <c r="U254" s="268" t="str">
        <f t="shared" si="194"/>
        <v/>
      </c>
      <c r="V254" s="912">
        <f t="shared" ref="V254:W269" si="232">V207</f>
        <v>86.275000000081491</v>
      </c>
      <c r="W254" s="912">
        <f t="shared" si="232"/>
        <v>86.275000000081491</v>
      </c>
      <c r="X254" s="268" t="str">
        <f t="shared" si="181"/>
        <v/>
      </c>
      <c r="Y254" s="912">
        <f t="shared" ref="Y254:Z269" si="233">Y207</f>
        <v>86.275000000081491</v>
      </c>
      <c r="Z254" s="912">
        <f t="shared" si="233"/>
        <v>86.275000000081491</v>
      </c>
    </row>
    <row r="255" spans="4:26">
      <c r="D255" s="911"/>
      <c r="E255" s="911"/>
      <c r="F255" s="268" t="str">
        <f t="shared" si="183"/>
        <v/>
      </c>
      <c r="G255" s="911" t="str">
        <f t="shared" si="172"/>
        <v/>
      </c>
      <c r="H255" s="911" t="str">
        <f t="shared" ref="H255:H271" si="234">H208</f>
        <v/>
      </c>
      <c r="I255" s="268" t="str">
        <f t="shared" si="173"/>
        <v>WC 4 - Start Wrap</v>
      </c>
      <c r="J255" s="911">
        <f t="shared" ref="J255" si="235">J208</f>
        <v>0</v>
      </c>
      <c r="K255" s="911">
        <f t="shared" si="228"/>
        <v>-72</v>
      </c>
      <c r="L255" s="268" t="str">
        <f t="shared" si="175"/>
        <v/>
      </c>
      <c r="M255" s="911" t="str">
        <f t="shared" ref="M255" si="236">M208</f>
        <v/>
      </c>
      <c r="N255" s="911" t="str">
        <f t="shared" si="229"/>
        <v/>
      </c>
      <c r="O255" s="268" t="str">
        <f>IF(O208=0,"",O208)</f>
        <v/>
      </c>
      <c r="P255" s="911" t="str">
        <f t="shared" ref="P255" si="237">P208</f>
        <v/>
      </c>
      <c r="Q255" s="911" t="str">
        <f t="shared" si="230"/>
        <v/>
      </c>
      <c r="R255" s="268" t="str">
        <f t="shared" si="178"/>
        <v/>
      </c>
      <c r="S255" s="911">
        <f t="shared" ref="S255" si="238">S208</f>
        <v>98.275000000081491</v>
      </c>
      <c r="T255" s="911">
        <f t="shared" si="231"/>
        <v>-171.84500000003027</v>
      </c>
      <c r="U255" s="268" t="str">
        <f t="shared" si="194"/>
        <v/>
      </c>
      <c r="V255" s="911">
        <f t="shared" ref="V255" si="239">V208</f>
        <v>100.57500000006985</v>
      </c>
      <c r="W255" s="911">
        <f t="shared" si="232"/>
        <v>-172.57500000006985</v>
      </c>
      <c r="X255" s="268" t="str">
        <f t="shared" si="181"/>
        <v/>
      </c>
      <c r="Y255" s="911">
        <f t="shared" ref="Y255" si="240">Y208</f>
        <v>104.527847075311</v>
      </c>
      <c r="Z255" s="911">
        <f t="shared" si="233"/>
        <v>-176.527847075311</v>
      </c>
    </row>
    <row r="256" spans="4:26">
      <c r="D256" s="912"/>
      <c r="E256" s="912"/>
      <c r="F256" s="268" t="str">
        <f t="shared" si="183"/>
        <v/>
      </c>
      <c r="G256" s="912" t="str">
        <f t="shared" si="172"/>
        <v/>
      </c>
      <c r="H256" s="912" t="str">
        <f t="shared" si="172"/>
        <v/>
      </c>
      <c r="I256" s="268" t="str">
        <f t="shared" si="173"/>
        <v/>
      </c>
      <c r="J256" s="912">
        <f t="shared" ref="J256:K256" si="241">J209</f>
        <v>36</v>
      </c>
      <c r="K256" s="912">
        <f t="shared" si="241"/>
        <v>36</v>
      </c>
      <c r="L256" s="268" t="str">
        <f t="shared" si="175"/>
        <v/>
      </c>
      <c r="M256" s="912" t="str">
        <f t="shared" ref="M256:N256" si="242">M209</f>
        <v/>
      </c>
      <c r="N256" s="912" t="str">
        <f t="shared" si="242"/>
        <v/>
      </c>
      <c r="O256" s="268" t="str">
        <f>IF(O209=0,"",O209)</f>
        <v/>
      </c>
      <c r="P256" s="912" t="str">
        <f t="shared" ref="P256:Q256" si="243">P209</f>
        <v/>
      </c>
      <c r="Q256" s="912" t="str">
        <f t="shared" si="243"/>
        <v/>
      </c>
      <c r="R256" s="268" t="str">
        <f t="shared" si="178"/>
        <v/>
      </c>
      <c r="S256" s="912">
        <f t="shared" ref="S256:T256" si="244">S209</f>
        <v>36</v>
      </c>
      <c r="T256" s="912">
        <f t="shared" si="244"/>
        <v>36</v>
      </c>
      <c r="U256" s="268" t="str">
        <f t="shared" si="194"/>
        <v/>
      </c>
      <c r="V256" s="912">
        <f t="shared" ref="V256:W256" si="245">V209</f>
        <v>36</v>
      </c>
      <c r="W256" s="912">
        <f t="shared" si="245"/>
        <v>36</v>
      </c>
      <c r="X256" s="268" t="str">
        <f t="shared" si="181"/>
        <v/>
      </c>
      <c r="Y256" s="912">
        <f t="shared" ref="Y256:Z256" si="246">Y209</f>
        <v>36</v>
      </c>
      <c r="Z256" s="912">
        <f t="shared" si="246"/>
        <v>36</v>
      </c>
    </row>
    <row r="257" spans="3:26">
      <c r="D257" s="911"/>
      <c r="E257" s="911"/>
      <c r="F257" s="268" t="str">
        <f t="shared" si="183"/>
        <v/>
      </c>
      <c r="G257" s="911" t="str">
        <f t="shared" si="172"/>
        <v/>
      </c>
      <c r="H257" s="911" t="str">
        <f t="shared" si="234"/>
        <v/>
      </c>
      <c r="I257" s="268" t="str">
        <f t="shared" si="173"/>
        <v/>
      </c>
      <c r="J257" s="911">
        <f t="shared" ref="J257" si="247">J210</f>
        <v>36</v>
      </c>
      <c r="K257" s="911">
        <f t="shared" si="228"/>
        <v>-36</v>
      </c>
      <c r="L257" s="268" t="str">
        <f t="shared" si="175"/>
        <v/>
      </c>
      <c r="M257" s="911" t="str">
        <f t="shared" ref="M257" si="248">M210</f>
        <v/>
      </c>
      <c r="N257" s="911" t="str">
        <f t="shared" si="229"/>
        <v/>
      </c>
      <c r="O257" s="268" t="str">
        <f t="shared" si="217"/>
        <v/>
      </c>
      <c r="P257" s="911" t="str">
        <f t="shared" ref="P257" si="249">P210</f>
        <v/>
      </c>
      <c r="Q257" s="911" t="str">
        <f t="shared" si="230"/>
        <v/>
      </c>
      <c r="R257" s="268" t="str">
        <f t="shared" si="178"/>
        <v/>
      </c>
      <c r="S257" s="911">
        <f t="shared" ref="S257" si="250">S210</f>
        <v>134.27500000008149</v>
      </c>
      <c r="T257" s="911">
        <f t="shared" si="231"/>
        <v>-135.84500000003027</v>
      </c>
      <c r="U257" s="268" t="str">
        <f t="shared" si="194"/>
        <v/>
      </c>
      <c r="V257" s="911">
        <f t="shared" ref="V257" si="251">V210</f>
        <v>136.57500000006985</v>
      </c>
      <c r="W257" s="911">
        <f t="shared" si="232"/>
        <v>-136.57500000006985</v>
      </c>
      <c r="X257" s="268" t="str">
        <f t="shared" si="181"/>
        <v/>
      </c>
      <c r="Y257" s="911">
        <f t="shared" ref="Y257" si="252">Y210</f>
        <v>140.527847075311</v>
      </c>
      <c r="Z257" s="911">
        <f t="shared" si="233"/>
        <v>-140.527847075311</v>
      </c>
    </row>
    <row r="258" spans="3:26">
      <c r="D258" s="912"/>
      <c r="E258" s="912"/>
      <c r="F258" s="268" t="str">
        <f>IF(F211=0,"",F211)</f>
        <v/>
      </c>
      <c r="G258" s="912" t="str">
        <f t="shared" si="172"/>
        <v/>
      </c>
      <c r="H258" s="912" t="str">
        <f t="shared" si="172"/>
        <v/>
      </c>
      <c r="I258" s="268" t="str">
        <f t="shared" si="173"/>
        <v/>
      </c>
      <c r="J258" s="912">
        <f t="shared" ref="J258:K258" si="253">J211</f>
        <v>36</v>
      </c>
      <c r="K258" s="912">
        <f t="shared" si="253"/>
        <v>36</v>
      </c>
      <c r="L258" s="268" t="str">
        <f t="shared" si="175"/>
        <v/>
      </c>
      <c r="M258" s="912" t="str">
        <f t="shared" ref="M258:N258" si="254">M211</f>
        <v/>
      </c>
      <c r="N258" s="912" t="str">
        <f t="shared" si="254"/>
        <v/>
      </c>
      <c r="O258" s="268" t="str">
        <f t="shared" si="217"/>
        <v/>
      </c>
      <c r="P258" s="912" t="str">
        <f t="shared" ref="P258:Q258" si="255">P211</f>
        <v/>
      </c>
      <c r="Q258" s="912" t="str">
        <f t="shared" si="255"/>
        <v/>
      </c>
      <c r="R258" s="268" t="str">
        <f t="shared" si="178"/>
        <v/>
      </c>
      <c r="S258" s="912">
        <f t="shared" ref="S258:T258" si="256">S211</f>
        <v>36</v>
      </c>
      <c r="T258" s="912">
        <f t="shared" si="256"/>
        <v>36</v>
      </c>
      <c r="U258" s="268" t="str">
        <f t="shared" si="194"/>
        <v/>
      </c>
      <c r="V258" s="912">
        <f t="shared" ref="V258:W258" si="257">V211</f>
        <v>36</v>
      </c>
      <c r="W258" s="912">
        <f t="shared" si="257"/>
        <v>36</v>
      </c>
      <c r="X258" s="268" t="str">
        <f t="shared" si="181"/>
        <v/>
      </c>
      <c r="Y258" s="912">
        <f t="shared" ref="Y258:Z258" si="258">Y211</f>
        <v>36</v>
      </c>
      <c r="Z258" s="912">
        <f t="shared" si="258"/>
        <v>36</v>
      </c>
    </row>
    <row r="259" spans="3:26">
      <c r="C259" s="268" t="s">
        <v>389</v>
      </c>
      <c r="D259" s="911">
        <v>0</v>
      </c>
      <c r="E259" s="911">
        <v>0</v>
      </c>
      <c r="F259" s="268" t="str">
        <f>IF(F212=0,"",F212)</f>
        <v/>
      </c>
      <c r="G259" s="911" t="str">
        <f>G212</f>
        <v/>
      </c>
      <c r="H259" s="911" t="str">
        <f t="shared" si="234"/>
        <v/>
      </c>
      <c r="I259" s="268" t="str">
        <f t="shared" si="173"/>
        <v>WC 5 - End Wrap</v>
      </c>
      <c r="J259" s="911">
        <f t="shared" ref="J259" si="259">J212</f>
        <v>72</v>
      </c>
      <c r="K259" s="911">
        <f t="shared" si="228"/>
        <v>0</v>
      </c>
      <c r="L259" s="268" t="str">
        <f t="shared" si="175"/>
        <v/>
      </c>
      <c r="M259" s="911" t="str">
        <f t="shared" ref="M259" si="260">M212</f>
        <v/>
      </c>
      <c r="N259" s="911" t="str">
        <f t="shared" si="229"/>
        <v/>
      </c>
      <c r="O259" s="268" t="str">
        <f t="shared" si="217"/>
        <v/>
      </c>
      <c r="P259" s="911" t="str">
        <f t="shared" ref="P259" si="261">P212</f>
        <v/>
      </c>
      <c r="Q259" s="911" t="str">
        <f t="shared" si="230"/>
        <v/>
      </c>
      <c r="R259" s="268" t="str">
        <f t="shared" si="178"/>
        <v/>
      </c>
      <c r="S259" s="911">
        <f t="shared" ref="S259" si="262">S212</f>
        <v>170.27500000008149</v>
      </c>
      <c r="T259" s="911">
        <f t="shared" si="231"/>
        <v>-99.845000000030268</v>
      </c>
      <c r="U259" s="268" t="str">
        <f t="shared" si="194"/>
        <v/>
      </c>
      <c r="V259" s="911">
        <f t="shared" ref="V259" si="263">V212</f>
        <v>172.57500000006985</v>
      </c>
      <c r="W259" s="911">
        <f t="shared" si="232"/>
        <v>-100.57500000006985</v>
      </c>
      <c r="X259" s="268" t="str">
        <f t="shared" si="181"/>
        <v/>
      </c>
      <c r="Y259" s="911">
        <f t="shared" ref="Y259" si="264">Y212</f>
        <v>176.527847075311</v>
      </c>
      <c r="Z259" s="911">
        <f t="shared" si="233"/>
        <v>-104.527847075311</v>
      </c>
    </row>
    <row r="260" spans="3:26">
      <c r="D260" s="912"/>
      <c r="E260" s="912"/>
      <c r="F260" s="268" t="str">
        <f t="shared" si="183"/>
        <v/>
      </c>
      <c r="G260" s="912" t="str">
        <f t="shared" si="172"/>
        <v/>
      </c>
      <c r="H260" s="912" t="str">
        <f t="shared" si="172"/>
        <v/>
      </c>
      <c r="I260" s="268" t="str">
        <f t="shared" si="173"/>
        <v/>
      </c>
      <c r="J260" s="912" t="str">
        <f t="shared" ref="J260:K260" si="265">J213</f>
        <v/>
      </c>
      <c r="K260" s="912" t="str">
        <f t="shared" si="265"/>
        <v/>
      </c>
      <c r="L260" s="268" t="str">
        <f t="shared" si="175"/>
        <v/>
      </c>
      <c r="M260" s="912" t="str">
        <f t="shared" ref="M260:N260" si="266">M213</f>
        <v/>
      </c>
      <c r="N260" s="912" t="str">
        <f t="shared" si="266"/>
        <v/>
      </c>
      <c r="O260" s="268" t="str">
        <f t="shared" si="217"/>
        <v/>
      </c>
      <c r="P260" s="912" t="str">
        <f t="shared" ref="P260:Q260" si="267">P213</f>
        <v/>
      </c>
      <c r="Q260" s="912" t="str">
        <f t="shared" si="267"/>
        <v/>
      </c>
      <c r="R260" s="268" t="str">
        <f t="shared" si="178"/>
        <v/>
      </c>
      <c r="S260" s="912">
        <f t="shared" ref="S260:T260" si="268">S213</f>
        <v>87.845000000030268</v>
      </c>
      <c r="T260" s="912">
        <f t="shared" si="268"/>
        <v>87.845000000030268</v>
      </c>
      <c r="U260" s="268" t="str">
        <f t="shared" si="194"/>
        <v/>
      </c>
      <c r="V260" s="912">
        <f t="shared" ref="V260:W260" si="269">V213</f>
        <v>87.845000000030268</v>
      </c>
      <c r="W260" s="912">
        <f t="shared" si="269"/>
        <v>87.845000000030268</v>
      </c>
      <c r="X260" s="268" t="str">
        <f t="shared" si="181"/>
        <v/>
      </c>
      <c r="Y260" s="912">
        <f t="shared" ref="Y260:Z260" si="270">Y213</f>
        <v>87.845000000030268</v>
      </c>
      <c r="Z260" s="912">
        <f t="shared" si="270"/>
        <v>87.845000000030268</v>
      </c>
    </row>
    <row r="261" spans="3:26">
      <c r="D261" s="911"/>
      <c r="E261" s="911"/>
      <c r="F261" s="268" t="str">
        <f t="shared" si="183"/>
        <v/>
      </c>
      <c r="G261" s="911" t="str">
        <f t="shared" si="172"/>
        <v/>
      </c>
      <c r="H261" s="911" t="str">
        <f t="shared" si="234"/>
        <v/>
      </c>
      <c r="I261" s="268" t="str">
        <f t="shared" si="173"/>
        <v/>
      </c>
      <c r="J261" s="911" t="str">
        <f t="shared" ref="J261" si="271">J214</f>
        <v/>
      </c>
      <c r="K261" s="911" t="str">
        <f t="shared" si="228"/>
        <v/>
      </c>
      <c r="L261" s="268" t="str">
        <f t="shared" si="175"/>
        <v/>
      </c>
      <c r="M261" s="911" t="str">
        <f t="shared" ref="M261" si="272">M214</f>
        <v/>
      </c>
      <c r="N261" s="911" t="str">
        <f t="shared" si="229"/>
        <v/>
      </c>
      <c r="O261" s="268" t="str">
        <f t="shared" si="217"/>
        <v>WC 14 - Start of repair2</v>
      </c>
      <c r="P261" s="911">
        <f t="shared" ref="P261" si="273">P214</f>
        <v>0</v>
      </c>
      <c r="Q261" s="911">
        <f t="shared" si="230"/>
        <v>-24</v>
      </c>
      <c r="R261" s="268" t="str">
        <f t="shared" si="178"/>
        <v/>
      </c>
      <c r="S261" s="911">
        <f t="shared" ref="S261" si="274">S214</f>
        <v>258.12000000011176</v>
      </c>
      <c r="T261" s="911">
        <f t="shared" si="231"/>
        <v>-12</v>
      </c>
      <c r="U261" s="268" t="str">
        <f t="shared" si="194"/>
        <v/>
      </c>
      <c r="V261" s="911">
        <f t="shared" ref="V261" si="275">V214</f>
        <v>260.42000000010012</v>
      </c>
      <c r="W261" s="911">
        <f t="shared" si="232"/>
        <v>-12.730000000039581</v>
      </c>
      <c r="X261" s="268" t="str">
        <f t="shared" si="181"/>
        <v/>
      </c>
      <c r="Y261" s="911">
        <f t="shared" ref="Y261" si="276">Y214</f>
        <v>264.37284707534127</v>
      </c>
      <c r="Z261" s="911">
        <f t="shared" si="233"/>
        <v>-16.682847075280733</v>
      </c>
    </row>
    <row r="262" spans="3:26">
      <c r="D262" s="912"/>
      <c r="E262" s="912"/>
      <c r="F262" s="268" t="str">
        <f t="shared" si="183"/>
        <v/>
      </c>
      <c r="G262" s="912" t="str">
        <f t="shared" si="172"/>
        <v/>
      </c>
      <c r="H262" s="912" t="str">
        <f t="shared" si="172"/>
        <v/>
      </c>
      <c r="I262" s="268" t="str">
        <f t="shared" si="173"/>
        <v/>
      </c>
      <c r="J262" s="912" t="str">
        <f t="shared" ref="J262:K262" si="277">J215</f>
        <v/>
      </c>
      <c r="K262" s="912" t="str">
        <f t="shared" si="277"/>
        <v/>
      </c>
      <c r="L262" s="268" t="str">
        <f t="shared" si="175"/>
        <v/>
      </c>
      <c r="M262" s="912" t="str">
        <f t="shared" ref="M262:N262" si="278">M215</f>
        <v/>
      </c>
      <c r="N262" s="912" t="str">
        <f t="shared" si="278"/>
        <v/>
      </c>
      <c r="O262" s="268" t="str">
        <f t="shared" si="217"/>
        <v/>
      </c>
      <c r="P262" s="912">
        <f t="shared" ref="P262:Q262" si="279">P215</f>
        <v>12</v>
      </c>
      <c r="Q262" s="912">
        <f t="shared" si="279"/>
        <v>12</v>
      </c>
      <c r="R262" s="268" t="str">
        <f t="shared" si="178"/>
        <v/>
      </c>
      <c r="S262" s="912">
        <f t="shared" ref="S262:T262" si="280">S215</f>
        <v>12</v>
      </c>
      <c r="T262" s="912">
        <f t="shared" si="280"/>
        <v>12</v>
      </c>
      <c r="U262" s="268" t="str">
        <f t="shared" si="194"/>
        <v/>
      </c>
      <c r="V262" s="912">
        <f t="shared" ref="V262:W262" si="281">V215</f>
        <v>12</v>
      </c>
      <c r="W262" s="912">
        <f t="shared" si="281"/>
        <v>12</v>
      </c>
      <c r="X262" s="268" t="str">
        <f t="shared" si="181"/>
        <v/>
      </c>
      <c r="Y262" s="912">
        <f t="shared" ref="Y262:Z262" si="282">Y215</f>
        <v>12</v>
      </c>
      <c r="Z262" s="912">
        <f t="shared" si="282"/>
        <v>12</v>
      </c>
    </row>
    <row r="263" spans="3:26">
      <c r="D263" s="911"/>
      <c r="E263" s="911"/>
      <c r="F263" s="268" t="str">
        <f t="shared" si="183"/>
        <v/>
      </c>
      <c r="G263" s="911" t="str">
        <f t="shared" si="172"/>
        <v/>
      </c>
      <c r="H263" s="911" t="str">
        <f t="shared" si="234"/>
        <v/>
      </c>
      <c r="I263" s="268" t="str">
        <f t="shared" si="173"/>
        <v/>
      </c>
      <c r="J263" s="911" t="str">
        <f t="shared" ref="J263" si="283">J216</f>
        <v/>
      </c>
      <c r="K263" s="911" t="str">
        <f t="shared" si="228"/>
        <v/>
      </c>
      <c r="L263" s="268" t="str">
        <f t="shared" si="175"/>
        <v/>
      </c>
      <c r="M263" s="911" t="str">
        <f t="shared" ref="M263" si="284">M216</f>
        <v/>
      </c>
      <c r="N263" s="911" t="str">
        <f t="shared" si="229"/>
        <v/>
      </c>
      <c r="O263" s="268" t="str">
        <f t="shared" si="217"/>
        <v/>
      </c>
      <c r="P263" s="911">
        <f t="shared" ref="P263" si="285">P216</f>
        <v>12</v>
      </c>
      <c r="Q263" s="911">
        <f t="shared" si="230"/>
        <v>-12</v>
      </c>
      <c r="R263" s="268" t="str">
        <f t="shared" si="178"/>
        <v>WC 2</v>
      </c>
      <c r="S263" s="911">
        <f t="shared" ref="S263" si="286">S216</f>
        <v>270.12000000011176</v>
      </c>
      <c r="T263" s="911">
        <f t="shared" si="231"/>
        <v>0</v>
      </c>
      <c r="U263" s="268" t="str">
        <f t="shared" si="194"/>
        <v/>
      </c>
      <c r="V263" s="911">
        <f t="shared" ref="V263" si="287">V216</f>
        <v>272.42000000010012</v>
      </c>
      <c r="W263" s="911">
        <f t="shared" si="232"/>
        <v>-0.73000000003958121</v>
      </c>
      <c r="X263" s="268" t="str">
        <f t="shared" si="181"/>
        <v/>
      </c>
      <c r="Y263" s="911">
        <f t="shared" ref="Y263" si="288">Y216</f>
        <v>276.37284707534127</v>
      </c>
      <c r="Z263" s="911">
        <f t="shared" si="233"/>
        <v>-4.6828470752807334</v>
      </c>
    </row>
    <row r="264" spans="3:26">
      <c r="D264" s="912"/>
      <c r="E264" s="912"/>
      <c r="F264" s="268" t="str">
        <f t="shared" si="183"/>
        <v/>
      </c>
      <c r="G264" s="912" t="str">
        <f t="shared" si="172"/>
        <v/>
      </c>
      <c r="H264" s="912" t="str">
        <f t="shared" si="172"/>
        <v/>
      </c>
      <c r="I264" s="268" t="str">
        <f t="shared" si="173"/>
        <v/>
      </c>
      <c r="J264" s="912" t="str">
        <f t="shared" ref="J264:K264" si="289">J217</f>
        <v/>
      </c>
      <c r="K264" s="912" t="str">
        <f t="shared" si="289"/>
        <v/>
      </c>
      <c r="L264" s="268" t="str">
        <f t="shared" si="175"/>
        <v/>
      </c>
      <c r="M264" s="912" t="str">
        <f t="shared" ref="M264:N264" si="290">M217</f>
        <v/>
      </c>
      <c r="N264" s="912" t="str">
        <f t="shared" si="290"/>
        <v/>
      </c>
      <c r="O264" s="268" t="str">
        <f t="shared" si="217"/>
        <v/>
      </c>
      <c r="P264" s="912">
        <f t="shared" ref="P264:Q264" si="291">P217</f>
        <v>0.73000000003958121</v>
      </c>
      <c r="Q264" s="912">
        <f t="shared" si="291"/>
        <v>0.73000000003958121</v>
      </c>
      <c r="R264" s="268" t="str">
        <f t="shared" si="178"/>
        <v/>
      </c>
      <c r="S264" s="912" t="str">
        <f t="shared" ref="S264:T264" si="292">S217</f>
        <v/>
      </c>
      <c r="T264" s="912" t="str">
        <f t="shared" si="292"/>
        <v/>
      </c>
      <c r="U264" s="268" t="str">
        <f t="shared" si="194"/>
        <v/>
      </c>
      <c r="V264" s="912">
        <f t="shared" ref="V264:W264" si="293">V217</f>
        <v>0.73000000003958121</v>
      </c>
      <c r="W264" s="912">
        <f t="shared" si="293"/>
        <v>0.73000000003958121</v>
      </c>
      <c r="X264" s="268" t="str">
        <f t="shared" si="181"/>
        <v/>
      </c>
      <c r="Y264" s="912">
        <f t="shared" ref="Y264:Z264" si="294">Y217</f>
        <v>0.73000000003958121</v>
      </c>
      <c r="Z264" s="912">
        <f t="shared" si="294"/>
        <v>0.73000000003958121</v>
      </c>
    </row>
    <row r="265" spans="3:26">
      <c r="D265" s="911"/>
      <c r="E265" s="911"/>
      <c r="F265" s="268" t="str">
        <f t="shared" si="183"/>
        <v/>
      </c>
      <c r="G265" s="911" t="str">
        <f t="shared" si="172"/>
        <v/>
      </c>
      <c r="H265" s="911" t="str">
        <f t="shared" si="234"/>
        <v/>
      </c>
      <c r="I265" s="268" t="str">
        <f t="shared" si="173"/>
        <v/>
      </c>
      <c r="J265" s="911" t="str">
        <f t="shared" ref="J265" si="295">J218</f>
        <v/>
      </c>
      <c r="K265" s="911" t="str">
        <f t="shared" si="228"/>
        <v/>
      </c>
      <c r="L265" s="268" t="str">
        <f t="shared" si="175"/>
        <v/>
      </c>
      <c r="M265" s="911" t="str">
        <f t="shared" ref="M265" si="296">M218</f>
        <v/>
      </c>
      <c r="N265" s="911" t="str">
        <f t="shared" si="229"/>
        <v/>
      </c>
      <c r="O265" s="268" t="str">
        <f t="shared" si="217"/>
        <v/>
      </c>
      <c r="P265" s="911">
        <f t="shared" ref="P265" si="297">P218</f>
        <v>12.730000000039581</v>
      </c>
      <c r="Q265" s="911">
        <f t="shared" si="230"/>
        <v>-11.269999999960419</v>
      </c>
      <c r="R265" s="268" t="str">
        <f t="shared" si="178"/>
        <v/>
      </c>
      <c r="S265" s="911" t="str">
        <f t="shared" ref="S265" si="298">S218</f>
        <v/>
      </c>
      <c r="T265" s="911" t="str">
        <f t="shared" si="231"/>
        <v/>
      </c>
      <c r="U265" s="268" t="str">
        <f t="shared" si="194"/>
        <v>End of Defect - WC 9 - Start L_over2</v>
      </c>
      <c r="V265" s="911">
        <f t="shared" ref="V265" si="299">V218</f>
        <v>273.1500000001397</v>
      </c>
      <c r="W265" s="911">
        <f t="shared" si="232"/>
        <v>0</v>
      </c>
      <c r="X265" s="268" t="str">
        <f t="shared" si="181"/>
        <v/>
      </c>
      <c r="Y265" s="911">
        <f t="shared" ref="Y265" si="300">Y218</f>
        <v>277.10284707538085</v>
      </c>
      <c r="Z265" s="911">
        <f t="shared" si="233"/>
        <v>-3.9528470752411522</v>
      </c>
    </row>
    <row r="266" spans="3:26">
      <c r="D266" s="912"/>
      <c r="E266" s="912"/>
      <c r="F266" s="268" t="str">
        <f t="shared" si="183"/>
        <v/>
      </c>
      <c r="G266" s="912" t="str">
        <f t="shared" si="172"/>
        <v/>
      </c>
      <c r="H266" s="912" t="str">
        <f t="shared" si="172"/>
        <v/>
      </c>
      <c r="I266" s="268" t="str">
        <f t="shared" si="173"/>
        <v/>
      </c>
      <c r="J266" s="912" t="str">
        <f t="shared" ref="J266:K266" si="301">J219</f>
        <v/>
      </c>
      <c r="K266" s="912" t="str">
        <f t="shared" si="301"/>
        <v/>
      </c>
      <c r="L266" s="268" t="str">
        <f t="shared" si="175"/>
        <v/>
      </c>
      <c r="M266" s="912" t="str">
        <f t="shared" ref="M266:N266" si="302">M219</f>
        <v/>
      </c>
      <c r="N266" s="912" t="str">
        <f t="shared" si="302"/>
        <v/>
      </c>
      <c r="O266" s="268" t="str">
        <f t="shared" si="217"/>
        <v/>
      </c>
      <c r="P266" s="912">
        <f t="shared" ref="P266:Q266" si="303">P219</f>
        <v>3.9528470752411522</v>
      </c>
      <c r="Q266" s="912">
        <f t="shared" si="303"/>
        <v>3.9528470752411522</v>
      </c>
      <c r="R266" s="268" t="str">
        <f t="shared" si="178"/>
        <v/>
      </c>
      <c r="S266" s="912" t="str">
        <f t="shared" ref="S266:T266" si="304">S219</f>
        <v/>
      </c>
      <c r="T266" s="912" t="str">
        <f t="shared" si="304"/>
        <v/>
      </c>
      <c r="U266" s="268" t="str">
        <f t="shared" si="194"/>
        <v/>
      </c>
      <c r="V266" s="912" t="str">
        <f t="shared" ref="V266:W266" si="305">V219</f>
        <v/>
      </c>
      <c r="W266" s="912" t="str">
        <f t="shared" si="305"/>
        <v/>
      </c>
      <c r="X266" s="268" t="str">
        <f t="shared" si="181"/>
        <v/>
      </c>
      <c r="Y266" s="912">
        <f t="shared" ref="Y266:Z266" si="306">Y219</f>
        <v>3.9528470752411522</v>
      </c>
      <c r="Z266" s="912">
        <f t="shared" si="306"/>
        <v>3.9528470752411522</v>
      </c>
    </row>
    <row r="267" spans="3:26">
      <c r="D267" s="911"/>
      <c r="E267" s="911"/>
      <c r="F267" s="268" t="str">
        <f t="shared" si="183"/>
        <v/>
      </c>
      <c r="G267" s="911" t="str">
        <f t="shared" ref="G267" si="307">G220</f>
        <v/>
      </c>
      <c r="H267" s="911" t="str">
        <f t="shared" si="234"/>
        <v/>
      </c>
      <c r="I267" s="268" t="str">
        <f t="shared" si="173"/>
        <v/>
      </c>
      <c r="J267" s="911" t="str">
        <f t="shared" ref="J267" si="308">J220</f>
        <v/>
      </c>
      <c r="K267" s="911" t="str">
        <f t="shared" si="228"/>
        <v/>
      </c>
      <c r="L267" s="268" t="str">
        <f t="shared" si="175"/>
        <v/>
      </c>
      <c r="M267" s="911" t="str">
        <f t="shared" ref="M267" si="309">M220</f>
        <v/>
      </c>
      <c r="N267" s="911" t="str">
        <f t="shared" si="229"/>
        <v/>
      </c>
      <c r="O267" s="268" t="str">
        <f t="shared" si="217"/>
        <v/>
      </c>
      <c r="P267" s="911">
        <f t="shared" ref="P267" si="310">P220</f>
        <v>16.682847075280733</v>
      </c>
      <c r="Q267" s="911">
        <f t="shared" si="230"/>
        <v>-7.3171529247192666</v>
      </c>
      <c r="R267" s="268" t="str">
        <f t="shared" si="178"/>
        <v/>
      </c>
      <c r="S267" s="911" t="str">
        <f t="shared" ref="S267" si="311">S220</f>
        <v/>
      </c>
      <c r="T267" s="911" t="str">
        <f t="shared" si="231"/>
        <v/>
      </c>
      <c r="U267" s="268" t="str">
        <f t="shared" si="194"/>
        <v/>
      </c>
      <c r="V267" s="911" t="str">
        <f t="shared" ref="V267" si="312">V220</f>
        <v/>
      </c>
      <c r="W267" s="911" t="str">
        <f t="shared" si="232"/>
        <v/>
      </c>
      <c r="X267" s="268" t="str">
        <f t="shared" si="181"/>
        <v>End of L_over2 - WC 11</v>
      </c>
      <c r="Y267" s="911">
        <f t="shared" ref="Y267" si="313">Y220</f>
        <v>281.055694150622</v>
      </c>
      <c r="Z267" s="911">
        <f t="shared" si="233"/>
        <v>0</v>
      </c>
    </row>
    <row r="268" spans="3:26">
      <c r="D268" s="912"/>
      <c r="E268" s="912"/>
      <c r="F268" s="268" t="str">
        <f t="shared" si="183"/>
        <v/>
      </c>
      <c r="G268" s="912" t="str">
        <f t="shared" si="172"/>
        <v/>
      </c>
      <c r="H268" s="912" t="str">
        <f t="shared" si="172"/>
        <v/>
      </c>
      <c r="I268" s="268" t="str">
        <f t="shared" si="173"/>
        <v/>
      </c>
      <c r="J268" s="912" t="str">
        <f t="shared" ref="J268:K268" si="314">J221</f>
        <v/>
      </c>
      <c r="K268" s="912" t="str">
        <f t="shared" si="314"/>
        <v/>
      </c>
      <c r="L268" s="268" t="str">
        <f t="shared" si="175"/>
        <v/>
      </c>
      <c r="M268" s="912" t="str">
        <f t="shared" ref="M268:N268" si="315">M221</f>
        <v/>
      </c>
      <c r="N268" s="912" t="str">
        <f t="shared" si="315"/>
        <v/>
      </c>
      <c r="O268" s="268" t="str">
        <f t="shared" si="217"/>
        <v/>
      </c>
      <c r="P268" s="912">
        <f t="shared" ref="P268:Q268" si="316">P221</f>
        <v>7.3171529247192666</v>
      </c>
      <c r="Q268" s="912">
        <f t="shared" si="316"/>
        <v>7.3171529247192666</v>
      </c>
      <c r="R268" s="268" t="str">
        <f t="shared" si="178"/>
        <v/>
      </c>
      <c r="S268" s="912" t="str">
        <f t="shared" ref="S268:T268" si="317">S221</f>
        <v/>
      </c>
      <c r="T268" s="912" t="str">
        <f t="shared" si="317"/>
        <v/>
      </c>
      <c r="U268" s="268" t="str">
        <f t="shared" si="194"/>
        <v/>
      </c>
      <c r="V268" s="912" t="str">
        <f t="shared" ref="V268:W268" si="318">V221</f>
        <v/>
      </c>
      <c r="W268" s="912" t="str">
        <f t="shared" si="318"/>
        <v/>
      </c>
      <c r="X268" s="268" t="str">
        <f t="shared" si="181"/>
        <v/>
      </c>
      <c r="Y268" s="912" t="str">
        <f t="shared" ref="Y268:Z268" si="319">Y221</f>
        <v/>
      </c>
      <c r="Z268" s="912" t="str">
        <f t="shared" si="319"/>
        <v/>
      </c>
    </row>
    <row r="269" spans="3:26">
      <c r="D269" s="911"/>
      <c r="E269" s="911"/>
      <c r="F269" s="268" t="str">
        <f t="shared" si="183"/>
        <v/>
      </c>
      <c r="G269" s="911" t="str">
        <f t="shared" ref="G269" si="320">G222</f>
        <v/>
      </c>
      <c r="H269" s="911" t="str">
        <f t="shared" si="234"/>
        <v/>
      </c>
      <c r="I269" s="268" t="str">
        <f t="shared" si="173"/>
        <v/>
      </c>
      <c r="J269" s="911" t="str">
        <f t="shared" ref="J269" si="321">J222</f>
        <v/>
      </c>
      <c r="K269" s="911" t="str">
        <f t="shared" si="228"/>
        <v/>
      </c>
      <c r="L269" s="268" t="str">
        <f t="shared" si="175"/>
        <v/>
      </c>
      <c r="M269" s="911" t="str">
        <f t="shared" ref="M269" si="322">M222</f>
        <v/>
      </c>
      <c r="N269" s="911" t="str">
        <f t="shared" si="229"/>
        <v/>
      </c>
      <c r="O269" s="268" t="str">
        <f t="shared" si="217"/>
        <v>End of repair2 - WC 15</v>
      </c>
      <c r="P269" s="911">
        <f t="shared" ref="P269" si="323">P222</f>
        <v>24</v>
      </c>
      <c r="Q269" s="911">
        <f t="shared" si="230"/>
        <v>0</v>
      </c>
      <c r="R269" s="268" t="str">
        <f t="shared" si="178"/>
        <v/>
      </c>
      <c r="S269" s="911" t="str">
        <f t="shared" ref="S269" si="324">S222</f>
        <v/>
      </c>
      <c r="T269" s="911" t="str">
        <f t="shared" si="231"/>
        <v/>
      </c>
      <c r="U269" s="268" t="str">
        <f t="shared" si="194"/>
        <v/>
      </c>
      <c r="V269" s="911" t="str">
        <f t="shared" ref="V269" si="325">V222</f>
        <v/>
      </c>
      <c r="W269" s="911" t="str">
        <f t="shared" si="232"/>
        <v/>
      </c>
      <c r="X269" s="268" t="str">
        <f t="shared" si="181"/>
        <v/>
      </c>
      <c r="Y269" s="911" t="str">
        <f t="shared" ref="Y269" si="326">Y222</f>
        <v/>
      </c>
      <c r="Z269" s="911" t="str">
        <f t="shared" si="233"/>
        <v/>
      </c>
    </row>
    <row r="270" spans="3:26">
      <c r="D270" s="912"/>
      <c r="E270" s="912"/>
      <c r="F270" s="268" t="str">
        <f t="shared" si="183"/>
        <v/>
      </c>
      <c r="G270" s="912" t="str">
        <f t="shared" si="172"/>
        <v/>
      </c>
      <c r="H270" s="912" t="str">
        <f t="shared" si="172"/>
        <v/>
      </c>
      <c r="I270" s="268" t="str">
        <f t="shared" si="173"/>
        <v/>
      </c>
      <c r="J270" s="912" t="str">
        <f t="shared" ref="J270:K273" si="327">J223</f>
        <v/>
      </c>
      <c r="K270" s="912" t="str">
        <f t="shared" si="327"/>
        <v/>
      </c>
      <c r="L270" s="268" t="str">
        <f t="shared" si="175"/>
        <v/>
      </c>
      <c r="M270" s="912" t="str">
        <f t="shared" ref="M270:N273" si="328">M223</f>
        <v/>
      </c>
      <c r="N270" s="912" t="str">
        <f t="shared" si="328"/>
        <v/>
      </c>
      <c r="O270" s="268" t="str">
        <f t="shared" si="217"/>
        <v/>
      </c>
      <c r="P270" s="912" t="str">
        <f t="shared" ref="P270:Q273" si="329">P223</f>
        <v/>
      </c>
      <c r="Q270" s="912" t="str">
        <f t="shared" si="329"/>
        <v/>
      </c>
      <c r="R270" s="268" t="str">
        <f t="shared" si="178"/>
        <v/>
      </c>
      <c r="S270" s="912" t="str">
        <f t="shared" ref="S270:T273" si="330">S223</f>
        <v/>
      </c>
      <c r="T270" s="912" t="str">
        <f t="shared" si="330"/>
        <v/>
      </c>
      <c r="U270" s="268" t="str">
        <f t="shared" si="194"/>
        <v/>
      </c>
      <c r="V270" s="912" t="str">
        <f t="shared" ref="V270:W273" si="331">V223</f>
        <v/>
      </c>
      <c r="W270" s="912" t="str">
        <f t="shared" si="331"/>
        <v/>
      </c>
      <c r="X270" s="268" t="str">
        <f t="shared" si="181"/>
        <v/>
      </c>
      <c r="Y270" s="912" t="str">
        <f t="shared" ref="Y270:Z273" si="332">Y223</f>
        <v/>
      </c>
      <c r="Z270" s="912" t="str">
        <f t="shared" si="332"/>
        <v/>
      </c>
    </row>
    <row r="271" spans="3:26">
      <c r="D271" s="911"/>
      <c r="E271" s="911"/>
      <c r="F271" s="268" t="str">
        <f t="shared" si="183"/>
        <v>WC 6 - Left Limit</v>
      </c>
      <c r="G271" s="911">
        <f t="shared" ref="G271" si="333">G224</f>
        <v>0</v>
      </c>
      <c r="H271" s="911">
        <f t="shared" si="234"/>
        <v>-57.15999999595806</v>
      </c>
      <c r="I271" s="268" t="str">
        <f t="shared" si="173"/>
        <v/>
      </c>
      <c r="J271" s="911" t="str">
        <f t="shared" ref="J271" si="334">J224</f>
        <v/>
      </c>
      <c r="K271" s="911" t="str">
        <f t="shared" si="327"/>
        <v/>
      </c>
      <c r="L271" s="268" t="str">
        <f t="shared" si="175"/>
        <v/>
      </c>
      <c r="M271" s="911" t="str">
        <f t="shared" ref="M271" si="335">M224</f>
        <v/>
      </c>
      <c r="N271" s="911" t="str">
        <f t="shared" si="328"/>
        <v/>
      </c>
      <c r="O271" s="268" t="str">
        <f t="shared" si="217"/>
        <v/>
      </c>
      <c r="P271" s="911" t="str">
        <f t="shared" ref="P271" si="336">P224</f>
        <v/>
      </c>
      <c r="Q271" s="911" t="str">
        <f t="shared" si="329"/>
        <v/>
      </c>
      <c r="R271" s="268" t="str">
        <f t="shared" si="178"/>
        <v/>
      </c>
      <c r="S271" s="911" t="str">
        <f t="shared" ref="S271" si="337">S224</f>
        <v/>
      </c>
      <c r="T271" s="911" t="str">
        <f t="shared" si="330"/>
        <v/>
      </c>
      <c r="U271" s="268" t="str">
        <f t="shared" si="194"/>
        <v/>
      </c>
      <c r="V271" s="911" t="str">
        <f t="shared" ref="V271" si="338">V224</f>
        <v/>
      </c>
      <c r="W271" s="911" t="str">
        <f t="shared" si="331"/>
        <v/>
      </c>
      <c r="X271" s="268" t="str">
        <f t="shared" si="181"/>
        <v/>
      </c>
      <c r="Y271" s="911" t="str">
        <f t="shared" ref="Y271" si="339">Y224</f>
        <v/>
      </c>
      <c r="Z271" s="911" t="str">
        <f t="shared" si="332"/>
        <v/>
      </c>
    </row>
    <row r="272" spans="3:26">
      <c r="D272" s="912"/>
      <c r="E272" s="912"/>
      <c r="F272" s="268" t="str">
        <f t="shared" si="183"/>
        <v/>
      </c>
      <c r="G272" s="912">
        <f t="shared" si="172"/>
        <v>57.15999999595806</v>
      </c>
      <c r="H272" s="912">
        <f t="shared" si="172"/>
        <v>57.15999999595806</v>
      </c>
      <c r="I272" s="268" t="str">
        <f t="shared" si="173"/>
        <v/>
      </c>
      <c r="J272" s="912" t="str">
        <f t="shared" ref="J272:K272" si="340">J225</f>
        <v/>
      </c>
      <c r="K272" s="912" t="str">
        <f t="shared" si="340"/>
        <v/>
      </c>
      <c r="L272" s="268" t="str">
        <f t="shared" si="175"/>
        <v/>
      </c>
      <c r="M272" s="912" t="str">
        <f t="shared" ref="M272:N272" si="341">M225</f>
        <v/>
      </c>
      <c r="N272" s="912" t="str">
        <f t="shared" si="341"/>
        <v/>
      </c>
      <c r="O272" s="268" t="str">
        <f t="shared" si="217"/>
        <v/>
      </c>
      <c r="P272" s="912" t="str">
        <f t="shared" ref="P272:Q272" si="342">P225</f>
        <v/>
      </c>
      <c r="Q272" s="912" t="str">
        <f t="shared" si="342"/>
        <v/>
      </c>
      <c r="R272" s="268" t="str">
        <f t="shared" si="178"/>
        <v/>
      </c>
      <c r="S272" s="912" t="str">
        <f t="shared" ref="S272:T272" si="343">S225</f>
        <v/>
      </c>
      <c r="T272" s="912" t="str">
        <f t="shared" si="343"/>
        <v/>
      </c>
      <c r="U272" s="268" t="str">
        <f t="shared" si="194"/>
        <v/>
      </c>
      <c r="V272" s="912" t="str">
        <f t="shared" ref="V272:W272" si="344">V225</f>
        <v/>
      </c>
      <c r="W272" s="912" t="str">
        <f t="shared" si="344"/>
        <v/>
      </c>
      <c r="X272" s="268" t="str">
        <f t="shared" si="181"/>
        <v/>
      </c>
      <c r="Y272" s="912" t="str">
        <f t="shared" ref="Y272:Z272" si="345">Y225</f>
        <v/>
      </c>
      <c r="Z272" s="912" t="str">
        <f t="shared" si="345"/>
        <v/>
      </c>
    </row>
    <row r="273" spans="3:26">
      <c r="D273" s="911"/>
      <c r="E273" s="911"/>
      <c r="F273" s="268" t="str">
        <f t="shared" si="183"/>
        <v>WC 7 - Right Limit</v>
      </c>
      <c r="G273" s="911">
        <f t="shared" ref="G273" si="346">G226</f>
        <v>57.15999999595806</v>
      </c>
      <c r="H273" s="911">
        <f>H226</f>
        <v>0</v>
      </c>
      <c r="I273" s="268" t="str">
        <f t="shared" si="173"/>
        <v/>
      </c>
      <c r="J273" s="911" t="str">
        <f t="shared" ref="J273" si="347">J226</f>
        <v/>
      </c>
      <c r="K273" s="911" t="str">
        <f t="shared" si="327"/>
        <v/>
      </c>
      <c r="L273" s="268" t="str">
        <f t="shared" si="175"/>
        <v/>
      </c>
      <c r="M273" s="911" t="str">
        <f t="shared" ref="M273" si="348">M226</f>
        <v/>
      </c>
      <c r="N273" s="911" t="str">
        <f t="shared" si="328"/>
        <v/>
      </c>
      <c r="O273" s="268" t="str">
        <f t="shared" si="217"/>
        <v/>
      </c>
      <c r="P273" s="911" t="str">
        <f t="shared" ref="P273" si="349">P226</f>
        <v/>
      </c>
      <c r="Q273" s="911" t="str">
        <f t="shared" si="329"/>
        <v/>
      </c>
      <c r="R273" s="268" t="str">
        <f t="shared" si="178"/>
        <v/>
      </c>
      <c r="S273" s="911" t="str">
        <f t="shared" ref="S273" si="350">S226</f>
        <v/>
      </c>
      <c r="T273" s="911" t="str">
        <f t="shared" si="330"/>
        <v/>
      </c>
      <c r="U273" s="268" t="str">
        <f t="shared" si="194"/>
        <v/>
      </c>
      <c r="V273" s="911" t="str">
        <f t="shared" ref="V273" si="351">V226</f>
        <v/>
      </c>
      <c r="W273" s="911" t="str">
        <f t="shared" si="331"/>
        <v/>
      </c>
      <c r="X273" s="268" t="str">
        <f t="shared" si="181"/>
        <v/>
      </c>
      <c r="Y273" s="911" t="str">
        <f t="shared" ref="Y273" si="352">Y226</f>
        <v/>
      </c>
      <c r="Z273" s="911" t="str">
        <f t="shared" si="332"/>
        <v/>
      </c>
    </row>
    <row r="288" spans="3:26">
      <c r="C288"/>
      <c r="D288"/>
      <c r="E288"/>
      <c r="F288"/>
      <c r="G288"/>
      <c r="H288"/>
      <c r="I288"/>
      <c r="J288"/>
      <c r="K288"/>
      <c r="L288"/>
      <c r="M288"/>
      <c r="N288"/>
      <c r="O288"/>
      <c r="P288"/>
      <c r="Q288"/>
      <c r="R288"/>
    </row>
    <row r="289" spans="3:22">
      <c r="C289" s="268" t="s">
        <v>311</v>
      </c>
      <c r="D289" s="712">
        <f>D2</f>
        <v>121251.01</v>
      </c>
      <c r="G289" s="268" t="s">
        <v>311</v>
      </c>
      <c r="H289" s="712">
        <f>D3</f>
        <v>121273.52</v>
      </c>
      <c r="M289"/>
      <c r="N289"/>
      <c r="O289"/>
      <c r="P289"/>
      <c r="Q289"/>
      <c r="R289"/>
    </row>
    <row r="290" spans="3:22">
      <c r="D290" s="268"/>
      <c r="H290" s="292"/>
      <c r="M290"/>
      <c r="N290"/>
      <c r="O290"/>
      <c r="P290"/>
      <c r="Q290"/>
      <c r="R290"/>
    </row>
    <row r="291" spans="3:22">
      <c r="C291" s="268" t="s">
        <v>115</v>
      </c>
      <c r="D291" s="395">
        <f>D9</f>
        <v>4.5999999999999996</v>
      </c>
      <c r="G291" s="268" t="s">
        <v>115</v>
      </c>
      <c r="H291" s="712">
        <f>D10</f>
        <v>1.46</v>
      </c>
      <c r="M291"/>
      <c r="N291"/>
      <c r="O291"/>
      <c r="P291"/>
      <c r="Q291"/>
      <c r="R291"/>
    </row>
    <row r="292" spans="3:22">
      <c r="D292" s="268"/>
      <c r="H292" s="292"/>
      <c r="M292"/>
      <c r="N292"/>
      <c r="O292"/>
      <c r="P292"/>
      <c r="Q292"/>
      <c r="R292"/>
    </row>
    <row r="293" spans="3:22">
      <c r="D293" s="268"/>
      <c r="M293"/>
      <c r="N293"/>
      <c r="O293"/>
      <c r="P293"/>
      <c r="Q293"/>
      <c r="R293"/>
    </row>
    <row r="294" spans="3:22">
      <c r="D294" s="268"/>
      <c r="H294" s="292"/>
      <c r="M294"/>
      <c r="N294"/>
      <c r="O294"/>
      <c r="P294"/>
      <c r="Q294"/>
      <c r="R294"/>
    </row>
    <row r="295" spans="3:22">
      <c r="C295" s="268" t="s">
        <v>356</v>
      </c>
      <c r="D295" s="712">
        <f>ROUNDDOWN(D289,0)</f>
        <v>121251</v>
      </c>
      <c r="G295" s="268" t="s">
        <v>356</v>
      </c>
      <c r="H295" s="712">
        <f>ROUNDDOWN(H289,0)</f>
        <v>121273</v>
      </c>
      <c r="L295" s="268" t="s">
        <v>439</v>
      </c>
      <c r="M295" s="891" t="s">
        <v>440</v>
      </c>
      <c r="N295" s="268" t="s">
        <v>375</v>
      </c>
      <c r="O295" s="891" t="s">
        <v>441</v>
      </c>
      <c r="P295" s="268" t="s">
        <v>442</v>
      </c>
      <c r="Q295" s="268" t="s">
        <v>441</v>
      </c>
      <c r="R295" s="268" t="s">
        <v>443</v>
      </c>
      <c r="S295" s="268" t="s">
        <v>441</v>
      </c>
      <c r="T295" s="268" t="s">
        <v>376</v>
      </c>
      <c r="U295" s="268"/>
    </row>
    <row r="296" spans="3:22">
      <c r="D296" s="268"/>
      <c r="H296" s="292"/>
      <c r="L296" s="712">
        <f>F313</f>
        <v>273.15000000011179</v>
      </c>
      <c r="M296"/>
      <c r="N296" s="873">
        <f>D311</f>
        <v>2.2999999999999998</v>
      </c>
      <c r="O296"/>
      <c r="P296" s="697">
        <f>M309</f>
        <v>135.8450000000559</v>
      </c>
      <c r="Q296"/>
      <c r="R296" s="697">
        <f>M307</f>
        <v>134.27500000005588</v>
      </c>
      <c r="T296" s="697">
        <f>H311</f>
        <v>0.73</v>
      </c>
      <c r="V296" s="320">
        <f>SUM(N296,P296,R296,T296)</f>
        <v>273.15000000011185</v>
      </c>
    </row>
    <row r="297" spans="3:22">
      <c r="D297" s="268"/>
      <c r="G297" s="268" t="s">
        <v>364</v>
      </c>
      <c r="H297" s="712">
        <f>ABS(H295-D295)</f>
        <v>22</v>
      </c>
      <c r="N297" s="891"/>
      <c r="O297" s="292"/>
      <c r="P297" s="891"/>
      <c r="Q297" s="320"/>
      <c r="R297"/>
    </row>
    <row r="298" spans="3:22">
      <c r="D298" s="268"/>
      <c r="H298" s="292"/>
      <c r="L298" s="268" t="s">
        <v>320</v>
      </c>
      <c r="M298" s="891" t="s">
        <v>440</v>
      </c>
      <c r="N298" s="268" t="s">
        <v>319</v>
      </c>
      <c r="O298" s="891" t="s">
        <v>444</v>
      </c>
      <c r="P298" s="268" t="s">
        <v>442</v>
      </c>
      <c r="S298" s="268"/>
      <c r="T298" s="268"/>
    </row>
    <row r="299" spans="3:22">
      <c r="D299" s="268"/>
      <c r="G299" s="268" t="s">
        <v>367</v>
      </c>
      <c r="H299" s="712">
        <f>H297*12</f>
        <v>264</v>
      </c>
      <c r="L299" s="712">
        <f>M311</f>
        <v>134.39499999999299</v>
      </c>
      <c r="M299"/>
      <c r="N299" s="697">
        <f>H306</f>
        <v>270.24000000004889</v>
      </c>
      <c r="O299"/>
      <c r="P299" s="697">
        <f>M309</f>
        <v>135.8450000000559</v>
      </c>
      <c r="Q299"/>
      <c r="R299"/>
    </row>
    <row r="300" spans="3:22">
      <c r="D300" s="268"/>
      <c r="H300" s="292"/>
      <c r="M300"/>
      <c r="N300"/>
      <c r="O300"/>
      <c r="P300"/>
      <c r="Q300"/>
      <c r="R300"/>
    </row>
    <row r="301" spans="3:22">
      <c r="D301" s="268"/>
      <c r="H301" s="292"/>
      <c r="L301" s="268" t="s">
        <v>320</v>
      </c>
      <c r="M301" s="891" t="s">
        <v>440</v>
      </c>
      <c r="N301" s="268" t="s">
        <v>318</v>
      </c>
      <c r="O301" s="891" t="s">
        <v>441</v>
      </c>
      <c r="P301" s="268" t="s">
        <v>443</v>
      </c>
      <c r="Q301"/>
      <c r="R301"/>
    </row>
    <row r="302" spans="3:22">
      <c r="C302" s="268" t="s">
        <v>361</v>
      </c>
      <c r="D302" s="712">
        <f>MOD(D289,1)</f>
        <v>9.9999999947613105E-3</v>
      </c>
      <c r="G302" s="268" t="s">
        <v>361</v>
      </c>
      <c r="H302" s="712">
        <f>MOD(H289,1)</f>
        <v>0.52000000000407454</v>
      </c>
      <c r="L302" s="712">
        <f>M313</f>
        <v>134.39499999999302</v>
      </c>
      <c r="M302"/>
      <c r="N302" s="697">
        <f>D306</f>
        <v>0.11999999993713573</v>
      </c>
      <c r="O302"/>
      <c r="P302" s="697">
        <f>M307</f>
        <v>134.27500000005588</v>
      </c>
      <c r="Q302"/>
      <c r="R302"/>
    </row>
    <row r="303" spans="3:22">
      <c r="D303" s="268"/>
      <c r="H303" s="292"/>
      <c r="M303"/>
      <c r="N303"/>
      <c r="O303"/>
      <c r="P303"/>
      <c r="Q303"/>
      <c r="R303"/>
    </row>
    <row r="304" spans="3:22">
      <c r="C304" s="268" t="s">
        <v>362</v>
      </c>
      <c r="D304" s="395">
        <f>D302*12</f>
        <v>0.11999999993713573</v>
      </c>
      <c r="G304" s="268" t="s">
        <v>362</v>
      </c>
      <c r="H304" s="712">
        <f>H302*12</f>
        <v>6.2400000000488944</v>
      </c>
      <c r="M304"/>
      <c r="N304"/>
      <c r="O304"/>
      <c r="P304"/>
      <c r="Q304"/>
      <c r="R304"/>
    </row>
    <row r="305" spans="3:18">
      <c r="D305" s="268"/>
      <c r="H305" s="292"/>
      <c r="L305" s="268" t="s">
        <v>445</v>
      </c>
      <c r="M305" s="395">
        <f>F313/2</f>
        <v>136.57500000005589</v>
      </c>
      <c r="N305"/>
      <c r="O305"/>
      <c r="P305"/>
      <c r="Q305"/>
      <c r="R305"/>
    </row>
    <row r="306" spans="3:18">
      <c r="C306" s="268" t="s">
        <v>366</v>
      </c>
      <c r="D306" s="395">
        <f>D304</f>
        <v>0.11999999993713573</v>
      </c>
      <c r="G306" s="268" t="s">
        <v>366</v>
      </c>
      <c r="H306" s="712">
        <f>H304+H299</f>
        <v>270.24000000004889</v>
      </c>
      <c r="M306"/>
      <c r="N306"/>
      <c r="O306"/>
      <c r="P306"/>
      <c r="Q306"/>
      <c r="R306"/>
    </row>
    <row r="307" spans="3:18">
      <c r="D307" s="268"/>
      <c r="H307" s="292"/>
      <c r="L307" s="268" t="s">
        <v>443</v>
      </c>
      <c r="M307" s="697">
        <f>M305-D311</f>
        <v>134.27500000005588</v>
      </c>
      <c r="N307"/>
      <c r="O307"/>
      <c r="P307"/>
      <c r="Q307"/>
      <c r="R307"/>
    </row>
    <row r="308" spans="3:18">
      <c r="D308" s="268"/>
      <c r="E308" s="268" t="s">
        <v>374</v>
      </c>
      <c r="F308" s="712">
        <f>H306-D306</f>
        <v>270.12000000011176</v>
      </c>
      <c r="H308" s="292"/>
      <c r="M308"/>
      <c r="N308"/>
      <c r="O308"/>
      <c r="P308"/>
      <c r="Q308"/>
      <c r="R308"/>
    </row>
    <row r="309" spans="3:18">
      <c r="D309" s="268"/>
      <c r="H309" s="292"/>
      <c r="L309" s="268" t="s">
        <v>442</v>
      </c>
      <c r="M309" s="697">
        <f>M305-H311</f>
        <v>135.8450000000559</v>
      </c>
      <c r="N309"/>
      <c r="O309"/>
      <c r="P309"/>
      <c r="Q309"/>
      <c r="R309"/>
    </row>
    <row r="310" spans="3:18">
      <c r="D310" s="268"/>
      <c r="H310" s="292"/>
      <c r="M310"/>
      <c r="N310"/>
      <c r="O310"/>
      <c r="P310"/>
      <c r="Q310"/>
      <c r="R310"/>
    </row>
    <row r="311" spans="3:18">
      <c r="C311" s="268" t="s">
        <v>375</v>
      </c>
      <c r="D311" s="395">
        <f>D291/2</f>
        <v>2.2999999999999998</v>
      </c>
      <c r="G311" s="268" t="s">
        <v>376</v>
      </c>
      <c r="H311" s="712">
        <f>H291/2</f>
        <v>0.73</v>
      </c>
      <c r="L311" s="268" t="s">
        <v>320</v>
      </c>
      <c r="M311" s="697">
        <f>H306-M309</f>
        <v>134.39499999999299</v>
      </c>
      <c r="N311"/>
      <c r="O311"/>
      <c r="P311"/>
      <c r="Q311"/>
      <c r="R311"/>
    </row>
    <row r="312" spans="3:18">
      <c r="D312" s="268"/>
      <c r="H312" s="292"/>
      <c r="M312"/>
      <c r="N312"/>
      <c r="O312"/>
      <c r="P312"/>
      <c r="Q312"/>
      <c r="R312"/>
    </row>
    <row r="313" spans="3:18">
      <c r="D313" s="268"/>
      <c r="E313" s="961" t="s">
        <v>377</v>
      </c>
      <c r="F313" s="921">
        <f>D311+F308+H311</f>
        <v>273.15000000011179</v>
      </c>
      <c r="H313" s="292"/>
      <c r="L313" s="268" t="s">
        <v>320</v>
      </c>
      <c r="M313" s="697">
        <f>D306+M307</f>
        <v>134.39499999999302</v>
      </c>
      <c r="N313"/>
      <c r="O313"/>
      <c r="P313"/>
      <c r="Q313"/>
      <c r="R313"/>
    </row>
    <row r="314" spans="3:18">
      <c r="D314" s="268"/>
      <c r="H314" s="292"/>
      <c r="M314"/>
      <c r="N314"/>
      <c r="O314"/>
      <c r="P314"/>
      <c r="Q314"/>
      <c r="R314"/>
    </row>
    <row r="318" spans="3:18">
      <c r="H318" s="292"/>
      <c r="L318" s="268" t="s">
        <v>446</v>
      </c>
      <c r="M318" s="873">
        <f>M313/12</f>
        <v>11.199583333332752</v>
      </c>
      <c r="N318"/>
      <c r="O318"/>
      <c r="P318"/>
    </row>
    <row r="319" spans="3:18">
      <c r="H319" s="292"/>
      <c r="M319"/>
      <c r="N319"/>
      <c r="O319"/>
      <c r="P319"/>
    </row>
    <row r="320" spans="3:18">
      <c r="H320" s="292"/>
      <c r="L320" s="268" t="s">
        <v>447</v>
      </c>
      <c r="M320" s="873">
        <f>ROUNDDOWN(M318,0)</f>
        <v>11</v>
      </c>
      <c r="N320"/>
      <c r="O320"/>
      <c r="P320"/>
    </row>
    <row r="321" spans="8:16">
      <c r="H321" s="292"/>
      <c r="M321"/>
      <c r="N321"/>
      <c r="O321"/>
      <c r="P321"/>
    </row>
    <row r="322" spans="8:16">
      <c r="H322" s="292"/>
      <c r="M322">
        <f>M320*12</f>
        <v>132</v>
      </c>
      <c r="N322"/>
      <c r="O322"/>
      <c r="P322"/>
    </row>
    <row r="323" spans="8:16">
      <c r="H323" s="292"/>
      <c r="M323"/>
      <c r="N323"/>
      <c r="O323"/>
      <c r="P323"/>
    </row>
    <row r="324" spans="8:16">
      <c r="H324" s="292"/>
      <c r="L324" s="268" t="s">
        <v>362</v>
      </c>
      <c r="M324" s="320">
        <f>M313-M322</f>
        <v>2.3949999999930185</v>
      </c>
      <c r="N324"/>
      <c r="O324"/>
      <c r="P324"/>
    </row>
    <row r="325" spans="8:16">
      <c r="H325" s="292"/>
      <c r="M325"/>
      <c r="N325"/>
      <c r="O325"/>
      <c r="P325"/>
    </row>
    <row r="326" spans="8:16">
      <c r="H326" s="292"/>
      <c r="M326">
        <f>M324/12</f>
        <v>0.19958333333275155</v>
      </c>
      <c r="N326"/>
      <c r="O326"/>
      <c r="P326"/>
    </row>
    <row r="327" spans="8:16">
      <c r="H327" s="292"/>
      <c r="M327"/>
      <c r="N327"/>
      <c r="O327"/>
      <c r="P327"/>
    </row>
    <row r="328" spans="8:16">
      <c r="H328" s="292"/>
      <c r="M328">
        <f>M320+M326</f>
        <v>11.199583333332752</v>
      </c>
      <c r="N328"/>
      <c r="O328"/>
      <c r="P328"/>
    </row>
    <row r="329" spans="8:16">
      <c r="H329" s="292"/>
      <c r="M329"/>
      <c r="N329"/>
      <c r="O329"/>
      <c r="P329"/>
    </row>
    <row r="330" spans="8:16">
      <c r="H330" s="892" t="s">
        <v>318</v>
      </c>
      <c r="I330" s="893">
        <f>D289</f>
        <v>121251.01</v>
      </c>
      <c r="J330" s="266"/>
      <c r="K330" s="266"/>
      <c r="L330" s="892" t="s">
        <v>448</v>
      </c>
      <c r="M330" s="894">
        <f>M328+D295</f>
        <v>121262.19958333333</v>
      </c>
      <c r="N330" s="304"/>
      <c r="O330" s="892" t="s">
        <v>319</v>
      </c>
      <c r="P330" s="893">
        <f>H289</f>
        <v>121273.52</v>
      </c>
    </row>
    <row r="331" spans="8:16">
      <c r="H331" s="292"/>
      <c r="M331"/>
      <c r="N331"/>
      <c r="O331"/>
      <c r="P331"/>
    </row>
    <row r="332" spans="8:16">
      <c r="H332" s="292"/>
      <c r="M332"/>
      <c r="N332"/>
      <c r="O332"/>
      <c r="P332"/>
    </row>
    <row r="333" spans="8:16">
      <c r="H333" s="292"/>
      <c r="M333"/>
      <c r="N333"/>
      <c r="O333"/>
      <c r="P333"/>
    </row>
    <row r="334" spans="8:16">
      <c r="H334" s="292"/>
      <c r="M334"/>
      <c r="N334"/>
      <c r="O334"/>
      <c r="P334"/>
    </row>
    <row r="335" spans="8:16">
      <c r="H335" s="292"/>
      <c r="M335"/>
      <c r="N335"/>
      <c r="O335"/>
      <c r="P335"/>
    </row>
    <row r="336" spans="8:16">
      <c r="H336" s="268" t="s">
        <v>311</v>
      </c>
      <c r="I336" s="712">
        <f>I330</f>
        <v>121251.01</v>
      </c>
      <c r="L336" s="268" t="s">
        <v>311</v>
      </c>
      <c r="M336" s="712">
        <f>M330</f>
        <v>121262.19958333333</v>
      </c>
      <c r="O336" s="268" t="s">
        <v>311</v>
      </c>
      <c r="P336" s="292">
        <f>P330</f>
        <v>121273.52</v>
      </c>
    </row>
    <row r="337" spans="8:23">
      <c r="P337" s="292"/>
    </row>
    <row r="338" spans="8:23">
      <c r="H338"/>
      <c r="I338" s="320"/>
      <c r="J338"/>
      <c r="L338"/>
      <c r="M338"/>
      <c r="N338"/>
    </row>
    <row r="339" spans="8:23">
      <c r="P339" s="292"/>
    </row>
    <row r="341" spans="8:23">
      <c r="P341" s="292"/>
    </row>
    <row r="342" spans="8:23">
      <c r="H342" s="268" t="s">
        <v>356</v>
      </c>
      <c r="I342" s="712">
        <f>ROUNDDOWN(I336,0)</f>
        <v>121251</v>
      </c>
      <c r="L342" s="268" t="s">
        <v>356</v>
      </c>
      <c r="M342" s="712">
        <f>ROUNDDOWN(M336,0)</f>
        <v>121262</v>
      </c>
      <c r="O342" s="268" t="s">
        <v>356</v>
      </c>
      <c r="P342" s="712">
        <f>ROUNDDOWN(P336,0)</f>
        <v>121273</v>
      </c>
    </row>
    <row r="343" spans="8:23">
      <c r="P343" s="292"/>
    </row>
    <row r="344" spans="8:23">
      <c r="M344" s="712">
        <f>ABS(M342-I342)</f>
        <v>11</v>
      </c>
      <c r="O344" s="268" t="s">
        <v>364</v>
      </c>
      <c r="P344" s="712">
        <f>ABS(P342-M342)</f>
        <v>11</v>
      </c>
    </row>
    <row r="345" spans="8:23">
      <c r="M345" s="292"/>
      <c r="P345" s="292"/>
    </row>
    <row r="346" spans="8:23">
      <c r="M346" s="712">
        <f>M344*12</f>
        <v>132</v>
      </c>
      <c r="O346" s="268" t="s">
        <v>367</v>
      </c>
      <c r="P346" s="712">
        <f>P344*12</f>
        <v>132</v>
      </c>
    </row>
    <row r="347" spans="8:23">
      <c r="P347" s="292"/>
    </row>
    <row r="348" spans="8:23">
      <c r="P348" s="292"/>
      <c r="U348" s="268"/>
      <c r="V348" s="268"/>
      <c r="W348" s="268"/>
    </row>
    <row r="349" spans="8:23">
      <c r="H349" s="268" t="s">
        <v>361</v>
      </c>
      <c r="I349" s="712">
        <f>MOD(I336,1)</f>
        <v>9.9999999947613105E-3</v>
      </c>
      <c r="L349" s="268" t="s">
        <v>361</v>
      </c>
      <c r="M349" s="712">
        <f>MOD(M336,1)</f>
        <v>0.19958333333488554</v>
      </c>
      <c r="O349" s="268" t="s">
        <v>361</v>
      </c>
      <c r="P349" s="712">
        <f>MOD(P336,1)</f>
        <v>0.52000000000407454</v>
      </c>
      <c r="U349" s="268"/>
      <c r="V349" s="268"/>
      <c r="W349" s="268"/>
    </row>
    <row r="350" spans="8:23">
      <c r="P350" s="292"/>
      <c r="U350" s="268"/>
      <c r="V350" s="268"/>
      <c r="W350" s="268"/>
    </row>
    <row r="351" spans="8:23">
      <c r="H351" s="268" t="s">
        <v>362</v>
      </c>
      <c r="I351" s="395">
        <f>I349*12</f>
        <v>0.11999999993713573</v>
      </c>
      <c r="L351" s="268" t="s">
        <v>362</v>
      </c>
      <c r="M351" s="395">
        <f>M349*12</f>
        <v>2.3950000000186265</v>
      </c>
      <c r="O351" s="268" t="s">
        <v>362</v>
      </c>
      <c r="P351" s="712">
        <f>P349*12</f>
        <v>6.2400000000488944</v>
      </c>
      <c r="U351" s="268"/>
      <c r="V351" s="268"/>
      <c r="W351" s="268"/>
    </row>
    <row r="352" spans="8:23">
      <c r="P352" s="292"/>
      <c r="U352" s="268"/>
      <c r="V352" s="268"/>
      <c r="W352" s="268"/>
    </row>
    <row r="353" spans="8:23">
      <c r="H353" s="268" t="s">
        <v>366</v>
      </c>
      <c r="I353" s="395">
        <f>I351</f>
        <v>0.11999999993713573</v>
      </c>
      <c r="L353" s="268" t="s">
        <v>366</v>
      </c>
      <c r="M353" s="712">
        <f>M351+M346</f>
        <v>134.39500000001863</v>
      </c>
      <c r="O353" s="268" t="s">
        <v>366</v>
      </c>
      <c r="P353" s="712">
        <f>P351+P346</f>
        <v>138.24000000004889</v>
      </c>
      <c r="U353" s="268"/>
      <c r="V353" s="268"/>
      <c r="W353" s="268"/>
    </row>
    <row r="354" spans="8:23">
      <c r="H354"/>
      <c r="I354"/>
      <c r="J354"/>
      <c r="K354"/>
      <c r="L354"/>
      <c r="M354"/>
      <c r="N354"/>
      <c r="O354"/>
      <c r="P354"/>
      <c r="U354" s="268"/>
      <c r="V354" s="268"/>
      <c r="W354" s="268"/>
    </row>
    <row r="355" spans="8:23">
      <c r="J355" s="268" t="s">
        <v>374</v>
      </c>
      <c r="K355" s="712">
        <f>M353-I353</f>
        <v>134.27500000008149</v>
      </c>
      <c r="N355" s="268" t="s">
        <v>374</v>
      </c>
      <c r="O355" s="712">
        <f>P353-M351</f>
        <v>135.84500000003027</v>
      </c>
      <c r="U355" s="268"/>
      <c r="V355" s="268"/>
      <c r="W355" s="268"/>
    </row>
    <row r="356" spans="8:23">
      <c r="J356" s="268" t="s">
        <v>443</v>
      </c>
      <c r="K356" s="712">
        <f>M307</f>
        <v>134.27500000005588</v>
      </c>
      <c r="N356" s="268" t="s">
        <v>442</v>
      </c>
      <c r="O356" s="712">
        <f>P299</f>
        <v>135.8450000000559</v>
      </c>
      <c r="U356" s="268"/>
      <c r="V356" s="268"/>
      <c r="W356" s="268"/>
    </row>
    <row r="357" spans="8:23">
      <c r="H357" s="292"/>
      <c r="M357"/>
      <c r="N357"/>
      <c r="O357"/>
      <c r="U357" s="268"/>
      <c r="V357" s="268"/>
      <c r="W357" s="268"/>
    </row>
    <row r="358" spans="8:23">
      <c r="H358" s="292"/>
      <c r="M358"/>
      <c r="N358"/>
      <c r="O358"/>
      <c r="P358"/>
      <c r="U358" s="268"/>
      <c r="V358" s="268"/>
      <c r="W358" s="268"/>
    </row>
    <row r="359" spans="8:23">
      <c r="H359" s="292"/>
      <c r="L359" s="268" t="s">
        <v>449</v>
      </c>
      <c r="M359" s="697">
        <f>D5</f>
        <v>72</v>
      </c>
      <c r="N359"/>
      <c r="O359"/>
      <c r="U359" s="268"/>
      <c r="V359" s="268"/>
      <c r="W359" s="268"/>
    </row>
    <row r="360" spans="8:23">
      <c r="H360" s="292"/>
      <c r="M360"/>
      <c r="N360"/>
      <c r="O360"/>
      <c r="U360" s="268"/>
      <c r="V360" s="268"/>
      <c r="W360" s="268"/>
    </row>
    <row r="361" spans="8:23">
      <c r="H361" s="292"/>
      <c r="L361" s="268" t="s">
        <v>350</v>
      </c>
      <c r="M361" s="896">
        <f>IF(MechCarbonPrice!B4=1,'Mechanical Calculations'!C26,'Corrosion Calculations'!J51)</f>
        <v>3.9528470752104745</v>
      </c>
      <c r="N361"/>
      <c r="O361"/>
      <c r="P361"/>
      <c r="U361" s="268"/>
      <c r="V361" s="268"/>
      <c r="W361" s="268"/>
    </row>
    <row r="362" spans="8:23">
      <c r="H362" s="292"/>
      <c r="M362"/>
      <c r="N362"/>
      <c r="O362"/>
      <c r="P362"/>
      <c r="U362" s="268"/>
      <c r="V362" s="268"/>
      <c r="W362" s="268"/>
    </row>
    <row r="363" spans="8:23">
      <c r="H363" s="292"/>
      <c r="L363" s="268" t="s">
        <v>115</v>
      </c>
      <c r="M363" s="895">
        <f>F313</f>
        <v>273.15000000011179</v>
      </c>
      <c r="N363"/>
      <c r="O363"/>
      <c r="P363"/>
      <c r="U363" s="268"/>
      <c r="V363" s="268"/>
      <c r="W363" s="268"/>
    </row>
    <row r="364" spans="8:23">
      <c r="U364" s="268"/>
      <c r="V364" s="268"/>
      <c r="W364" s="268"/>
    </row>
    <row r="365" spans="8:23">
      <c r="U365" s="268"/>
      <c r="V365" s="268"/>
      <c r="W365" s="268"/>
    </row>
    <row r="366" spans="8:23">
      <c r="U366" s="268"/>
      <c r="V366" s="268"/>
      <c r="W366" s="268"/>
    </row>
    <row r="367" spans="8:23">
      <c r="U367" s="268"/>
      <c r="V367" s="268"/>
      <c r="W367" s="268"/>
    </row>
    <row r="368" spans="8:23">
      <c r="U368" s="268"/>
      <c r="V368" s="268"/>
      <c r="W368" s="268"/>
    </row>
    <row r="369" spans="5:23">
      <c r="U369" s="268"/>
      <c r="V369" s="268"/>
      <c r="W369" s="268"/>
    </row>
    <row r="370" spans="5:23">
      <c r="E370" s="320"/>
      <c r="F370" s="320"/>
      <c r="S370" s="268"/>
      <c r="T370" s="268"/>
      <c r="U370" s="268"/>
      <c r="V370" s="268"/>
      <c r="W370" s="268"/>
    </row>
    <row r="375" spans="5:23">
      <c r="L375" s="268">
        <f>M359/2</f>
        <v>36</v>
      </c>
      <c r="N375" s="268">
        <f>M359/2</f>
        <v>36</v>
      </c>
      <c r="O375"/>
      <c r="P375"/>
      <c r="Q375"/>
    </row>
    <row r="376" spans="5:23">
      <c r="M376"/>
      <c r="N376"/>
      <c r="O376"/>
      <c r="P376"/>
      <c r="Q376"/>
    </row>
    <row r="377" spans="5:23">
      <c r="I377" s="268" t="s">
        <v>450</v>
      </c>
      <c r="J377" s="712">
        <f>L375</f>
        <v>36</v>
      </c>
      <c r="M377"/>
      <c r="N377"/>
      <c r="O377"/>
      <c r="P377" s="268" t="s">
        <v>451</v>
      </c>
      <c r="Q377" s="712">
        <f>N375</f>
        <v>36</v>
      </c>
    </row>
    <row r="378" spans="5:23">
      <c r="M378"/>
      <c r="N378"/>
      <c r="O378"/>
      <c r="P378"/>
      <c r="Q378"/>
    </row>
    <row r="379" spans="5:23">
      <c r="I379" s="268" t="s">
        <v>321</v>
      </c>
      <c r="J379" s="292">
        <f>M353-J377</f>
        <v>98.395000000018626</v>
      </c>
      <c r="M379"/>
      <c r="N379"/>
      <c r="O379"/>
      <c r="P379" s="268" t="s">
        <v>322</v>
      </c>
      <c r="Q379" s="292">
        <f>Q377+M353</f>
        <v>170.39500000001863</v>
      </c>
    </row>
    <row r="380" spans="5:23">
      <c r="M380"/>
      <c r="N380"/>
      <c r="O380"/>
    </row>
    <row r="381" spans="5:23">
      <c r="I381" s="268" t="s">
        <v>321</v>
      </c>
      <c r="J381" s="697">
        <f>J379</f>
        <v>98.395000000018626</v>
      </c>
      <c r="M381"/>
      <c r="N381"/>
      <c r="O381"/>
      <c r="P381" s="268" t="s">
        <v>322</v>
      </c>
      <c r="Q381" s="697">
        <f>Q379</f>
        <v>170.39500000001863</v>
      </c>
    </row>
    <row r="382" spans="5:23">
      <c r="J382"/>
      <c r="M382"/>
      <c r="N382"/>
      <c r="O382"/>
      <c r="Q382"/>
    </row>
    <row r="383" spans="5:23">
      <c r="I383" s="268" t="s">
        <v>446</v>
      </c>
      <c r="J383" s="873">
        <f>J381/12</f>
        <v>8.1995833333348855</v>
      </c>
      <c r="M383"/>
      <c r="N383"/>
      <c r="O383"/>
      <c r="P383" s="268" t="s">
        <v>446</v>
      </c>
      <c r="Q383" s="873">
        <f>Q381/12</f>
        <v>14.199583333334886</v>
      </c>
    </row>
    <row r="384" spans="5:23">
      <c r="J384"/>
      <c r="M384"/>
      <c r="N384"/>
      <c r="O384"/>
      <c r="Q384"/>
    </row>
    <row r="385" spans="9:17">
      <c r="I385" s="268" t="s">
        <v>447</v>
      </c>
      <c r="J385" s="873">
        <f>ROUNDDOWN(J383,0)</f>
        <v>8</v>
      </c>
      <c r="M385"/>
      <c r="N385"/>
      <c r="O385"/>
      <c r="P385" s="268" t="s">
        <v>447</v>
      </c>
      <c r="Q385" s="873">
        <f>ROUNDDOWN(Q383,0)</f>
        <v>14</v>
      </c>
    </row>
    <row r="386" spans="9:17">
      <c r="J386"/>
      <c r="M386"/>
      <c r="N386"/>
      <c r="O386"/>
      <c r="Q386"/>
    </row>
    <row r="387" spans="9:17">
      <c r="J387">
        <f>J385*12</f>
        <v>96</v>
      </c>
      <c r="M387"/>
      <c r="N387"/>
      <c r="O387"/>
      <c r="Q387">
        <f>Q385*12</f>
        <v>168</v>
      </c>
    </row>
    <row r="388" spans="9:17">
      <c r="J388"/>
      <c r="M388"/>
      <c r="N388"/>
      <c r="O388"/>
      <c r="Q388"/>
    </row>
    <row r="389" spans="9:17">
      <c r="I389" s="268" t="s">
        <v>362</v>
      </c>
      <c r="J389" s="320">
        <f>J381-J387</f>
        <v>2.3950000000186265</v>
      </c>
      <c r="M389"/>
      <c r="N389"/>
      <c r="O389"/>
      <c r="P389" s="268" t="s">
        <v>362</v>
      </c>
      <c r="Q389" s="320">
        <f>Q381-Q387</f>
        <v>2.3950000000186265</v>
      </c>
    </row>
    <row r="390" spans="9:17">
      <c r="J390"/>
      <c r="M390"/>
      <c r="N390"/>
      <c r="O390"/>
      <c r="Q390"/>
    </row>
    <row r="391" spans="9:17">
      <c r="J391">
        <f>J389/12</f>
        <v>0.19958333333488554</v>
      </c>
      <c r="M391"/>
      <c r="N391"/>
      <c r="O391"/>
      <c r="Q391">
        <f>Q389/12</f>
        <v>0.19958333333488554</v>
      </c>
    </row>
    <row r="392" spans="9:17">
      <c r="J392"/>
      <c r="M392"/>
      <c r="N392"/>
      <c r="O392"/>
      <c r="Q392"/>
    </row>
    <row r="393" spans="9:17">
      <c r="J393">
        <f>J385+J391</f>
        <v>8.1995833333348855</v>
      </c>
      <c r="M393"/>
      <c r="N393"/>
      <c r="O393"/>
      <c r="Q393">
        <f>Q385+Q391</f>
        <v>14.199583333334886</v>
      </c>
    </row>
    <row r="394" spans="9:17">
      <c r="J394"/>
      <c r="M394"/>
      <c r="N394"/>
      <c r="O394"/>
      <c r="Q394"/>
    </row>
    <row r="395" spans="9:17">
      <c r="I395" s="892" t="s">
        <v>452</v>
      </c>
      <c r="J395" s="894">
        <f>J393+D295</f>
        <v>121259.19958333333</v>
      </c>
      <c r="M395"/>
      <c r="N395"/>
      <c r="O395"/>
      <c r="P395" s="892" t="s">
        <v>453</v>
      </c>
      <c r="Q395" s="894">
        <f>Q393+D295</f>
        <v>121265.19958333333</v>
      </c>
    </row>
    <row r="396" spans="9:17">
      <c r="I396"/>
      <c r="J396"/>
      <c r="K396"/>
      <c r="L396"/>
      <c r="M396"/>
      <c r="N396"/>
      <c r="O396"/>
      <c r="P396"/>
      <c r="Q396"/>
    </row>
    <row r="397" spans="9:17">
      <c r="M397"/>
      <c r="N397"/>
      <c r="O397"/>
    </row>
    <row r="398" spans="9:17">
      <c r="I398" s="268" t="s">
        <v>321</v>
      </c>
      <c r="J398" s="292">
        <f>J395</f>
        <v>121259.19958333333</v>
      </c>
      <c r="L398" s="268" t="s">
        <v>320</v>
      </c>
      <c r="M398" s="292">
        <f>M330</f>
        <v>121262.19958333333</v>
      </c>
      <c r="N398"/>
      <c r="O398"/>
      <c r="P398" s="268" t="s">
        <v>321</v>
      </c>
      <c r="Q398" s="292">
        <f>Q395</f>
        <v>121265.19958333333</v>
      </c>
    </row>
    <row r="399" spans="9:17">
      <c r="N399"/>
      <c r="O399"/>
    </row>
    <row r="400" spans="9:17">
      <c r="I400"/>
      <c r="J400"/>
      <c r="L400"/>
      <c r="M400"/>
      <c r="N400"/>
      <c r="O400"/>
      <c r="P400"/>
      <c r="Q400"/>
    </row>
    <row r="401" spans="9:17">
      <c r="N401"/>
      <c r="O401"/>
    </row>
    <row r="402" spans="9:17">
      <c r="N402"/>
      <c r="O402"/>
    </row>
    <row r="403" spans="9:17">
      <c r="N403"/>
      <c r="O403"/>
    </row>
    <row r="404" spans="9:17">
      <c r="I404" s="268" t="s">
        <v>356</v>
      </c>
      <c r="J404" s="712">
        <f>ROUNDDOWN(J398,0)</f>
        <v>121259</v>
      </c>
      <c r="L404" s="268" t="s">
        <v>356</v>
      </c>
      <c r="M404" s="712">
        <f>ROUNDDOWN(M398,0)</f>
        <v>121262</v>
      </c>
      <c r="N404"/>
      <c r="O404"/>
      <c r="P404" s="268" t="s">
        <v>356</v>
      </c>
      <c r="Q404" s="712">
        <f>ROUNDDOWN(Q398,0)</f>
        <v>121265</v>
      </c>
    </row>
    <row r="405" spans="9:17">
      <c r="N405"/>
      <c r="O405"/>
    </row>
    <row r="406" spans="9:17">
      <c r="M406" s="712">
        <f>ABS(M404-J404)</f>
        <v>3</v>
      </c>
      <c r="N406"/>
      <c r="O406"/>
      <c r="P406" s="268" t="s">
        <v>364</v>
      </c>
      <c r="Q406" s="712">
        <f>ABS(Q404-M404)</f>
        <v>3</v>
      </c>
    </row>
    <row r="407" spans="9:17">
      <c r="M407" s="292"/>
      <c r="N407"/>
      <c r="O407"/>
      <c r="Q407" s="292"/>
    </row>
    <row r="408" spans="9:17">
      <c r="M408" s="712">
        <f>M406*12</f>
        <v>36</v>
      </c>
      <c r="N408"/>
      <c r="O408"/>
      <c r="P408" s="268" t="s">
        <v>367</v>
      </c>
      <c r="Q408" s="712">
        <f>Q406*12</f>
        <v>36</v>
      </c>
    </row>
    <row r="409" spans="9:17">
      <c r="N409"/>
      <c r="O409"/>
    </row>
    <row r="410" spans="9:17">
      <c r="N410"/>
      <c r="O410"/>
    </row>
    <row r="411" spans="9:17">
      <c r="I411" s="268" t="s">
        <v>361</v>
      </c>
      <c r="J411" s="712">
        <f>MOD(J398,1)</f>
        <v>0.19958333333488554</v>
      </c>
      <c r="L411" s="268" t="s">
        <v>361</v>
      </c>
      <c r="M411" s="712">
        <f>MOD(M398,1)</f>
        <v>0.19958333333488554</v>
      </c>
      <c r="N411"/>
      <c r="O411"/>
      <c r="P411" s="268" t="s">
        <v>361</v>
      </c>
      <c r="Q411" s="712">
        <f>MOD(Q398,1)</f>
        <v>0.19958333333488554</v>
      </c>
    </row>
    <row r="412" spans="9:17">
      <c r="I412"/>
      <c r="J412"/>
      <c r="K412"/>
      <c r="L412"/>
      <c r="M412"/>
      <c r="N412"/>
      <c r="O412"/>
      <c r="P412"/>
      <c r="Q412"/>
    </row>
    <row r="413" spans="9:17">
      <c r="I413" s="268" t="s">
        <v>362</v>
      </c>
      <c r="J413" s="395">
        <f>J411*12</f>
        <v>2.3950000000186265</v>
      </c>
      <c r="L413" s="268" t="s">
        <v>362</v>
      </c>
      <c r="M413" s="395">
        <f>M411*12</f>
        <v>2.3950000000186265</v>
      </c>
      <c r="N413"/>
      <c r="O413"/>
      <c r="P413" s="268" t="s">
        <v>362</v>
      </c>
      <c r="Q413" s="395">
        <f>Q411*12</f>
        <v>2.3950000000186265</v>
      </c>
    </row>
    <row r="414" spans="9:17">
      <c r="N414"/>
      <c r="O414"/>
    </row>
    <row r="415" spans="9:17">
      <c r="I415" s="268" t="s">
        <v>366</v>
      </c>
      <c r="J415" s="395">
        <f>J413</f>
        <v>2.3950000000186265</v>
      </c>
      <c r="L415" s="268" t="s">
        <v>366</v>
      </c>
      <c r="M415" s="712">
        <f>M413+M408</f>
        <v>38.395000000018626</v>
      </c>
      <c r="N415"/>
      <c r="O415"/>
      <c r="P415" s="268" t="s">
        <v>366</v>
      </c>
      <c r="Q415" s="712">
        <f>Q413+Q408</f>
        <v>38.395000000018626</v>
      </c>
    </row>
    <row r="416" spans="9:17">
      <c r="O416"/>
      <c r="P416"/>
      <c r="Q416"/>
    </row>
    <row r="417" spans="9:17">
      <c r="K417" s="268" t="s">
        <v>374</v>
      </c>
      <c r="L417" s="712">
        <f>M415-J415</f>
        <v>36</v>
      </c>
      <c r="M417"/>
      <c r="N417" s="268" t="s">
        <v>374</v>
      </c>
      <c r="O417" s="712">
        <f>Q415-M413</f>
        <v>36</v>
      </c>
      <c r="P417"/>
      <c r="Q417"/>
    </row>
    <row r="418" spans="9:17">
      <c r="K418" s="268" t="s">
        <v>450</v>
      </c>
      <c r="L418" s="712">
        <f>J377</f>
        <v>36</v>
      </c>
      <c r="M418"/>
      <c r="N418" s="268" t="s">
        <v>451</v>
      </c>
      <c r="O418" s="712">
        <f>Q377</f>
        <v>36</v>
      </c>
      <c r="P418"/>
      <c r="Q418"/>
    </row>
    <row r="419" spans="9:17">
      <c r="M419"/>
      <c r="N419"/>
      <c r="O419"/>
      <c r="P419"/>
      <c r="Q419"/>
    </row>
    <row r="420" spans="9:17">
      <c r="M420"/>
      <c r="N420"/>
      <c r="O420"/>
      <c r="P420"/>
      <c r="Q420"/>
    </row>
    <row r="421" spans="9:17">
      <c r="M421"/>
      <c r="N421"/>
      <c r="O421"/>
      <c r="P421"/>
      <c r="Q421"/>
    </row>
    <row r="422" spans="9:17">
      <c r="M422" s="697">
        <f>F313</f>
        <v>273.15000000011179</v>
      </c>
      <c r="N422"/>
      <c r="O422"/>
      <c r="P422"/>
      <c r="Q422"/>
    </row>
    <row r="423" spans="9:17">
      <c r="M423"/>
      <c r="N423"/>
      <c r="O423"/>
      <c r="P423"/>
      <c r="Q423"/>
    </row>
    <row r="424" spans="9:17">
      <c r="M424"/>
      <c r="N424"/>
      <c r="O424"/>
      <c r="P424"/>
      <c r="Q424"/>
    </row>
    <row r="425" spans="9:17">
      <c r="M425"/>
      <c r="N425"/>
      <c r="O425"/>
      <c r="P425"/>
      <c r="Q425"/>
    </row>
    <row r="426" spans="9:17">
      <c r="M426"/>
      <c r="N426"/>
      <c r="O426"/>
      <c r="P426"/>
      <c r="Q426"/>
    </row>
    <row r="427" spans="9:17">
      <c r="M427"/>
      <c r="N427"/>
      <c r="O427"/>
      <c r="P427"/>
      <c r="Q427"/>
    </row>
    <row r="428" spans="9:17">
      <c r="L428" s="268">
        <f>M422/2</f>
        <v>136.57500000005589</v>
      </c>
      <c r="N428" s="268">
        <f>M422/2</f>
        <v>136.57500000005589</v>
      </c>
      <c r="O428"/>
      <c r="P428"/>
      <c r="Q428"/>
    </row>
    <row r="429" spans="9:17">
      <c r="M429"/>
      <c r="N429"/>
      <c r="O429"/>
      <c r="P429"/>
      <c r="Q429"/>
    </row>
    <row r="430" spans="9:17">
      <c r="I430" s="268" t="s">
        <v>450</v>
      </c>
      <c r="J430" s="712">
        <f>L428</f>
        <v>136.57500000005589</v>
      </c>
      <c r="M430"/>
      <c r="N430"/>
      <c r="O430"/>
      <c r="P430" s="268" t="s">
        <v>451</v>
      </c>
      <c r="Q430" s="712">
        <f>N428</f>
        <v>136.57500000005589</v>
      </c>
    </row>
    <row r="431" spans="9:17">
      <c r="M431"/>
      <c r="N431"/>
      <c r="O431"/>
      <c r="P431"/>
      <c r="Q431"/>
    </row>
    <row r="432" spans="9:17">
      <c r="I432" s="268" t="s">
        <v>321</v>
      </c>
      <c r="J432" s="292">
        <f>M353-J430</f>
        <v>-2.1800000000372677</v>
      </c>
      <c r="M432"/>
      <c r="N432"/>
      <c r="O432"/>
      <c r="P432" s="268" t="s">
        <v>322</v>
      </c>
      <c r="Q432" s="292">
        <f>Q430+M353</f>
        <v>270.97000000007449</v>
      </c>
    </row>
    <row r="433" spans="9:17">
      <c r="M433"/>
      <c r="N433"/>
      <c r="O433"/>
    </row>
    <row r="434" spans="9:17">
      <c r="I434" s="268" t="s">
        <v>321</v>
      </c>
      <c r="J434" s="697">
        <f>J432</f>
        <v>-2.1800000000372677</v>
      </c>
      <c r="M434"/>
      <c r="N434"/>
      <c r="O434"/>
      <c r="P434" s="268" t="s">
        <v>322</v>
      </c>
      <c r="Q434" s="697">
        <f>Q432</f>
        <v>270.97000000007449</v>
      </c>
    </row>
    <row r="435" spans="9:17">
      <c r="J435"/>
      <c r="M435"/>
      <c r="N435"/>
      <c r="O435"/>
      <c r="Q435"/>
    </row>
    <row r="436" spans="9:17">
      <c r="I436" s="268" t="s">
        <v>446</v>
      </c>
      <c r="J436" s="873">
        <f>J434/12</f>
        <v>-0.1816666666697723</v>
      </c>
      <c r="M436"/>
      <c r="N436"/>
      <c r="O436"/>
      <c r="P436" s="268" t="s">
        <v>446</v>
      </c>
      <c r="Q436" s="873">
        <f>Q434/12</f>
        <v>22.580833333339541</v>
      </c>
    </row>
    <row r="437" spans="9:17">
      <c r="J437"/>
      <c r="M437"/>
      <c r="N437"/>
      <c r="O437"/>
      <c r="Q437"/>
    </row>
    <row r="438" spans="9:17">
      <c r="I438" s="268" t="s">
        <v>447</v>
      </c>
      <c r="J438" s="873">
        <f>ROUNDDOWN(J436,0)</f>
        <v>0</v>
      </c>
      <c r="M438"/>
      <c r="N438"/>
      <c r="O438"/>
      <c r="P438" s="268" t="s">
        <v>447</v>
      </c>
      <c r="Q438" s="873">
        <f>ROUNDDOWN(Q436,0)</f>
        <v>22</v>
      </c>
    </row>
    <row r="439" spans="9:17">
      <c r="J439"/>
      <c r="M439"/>
      <c r="N439"/>
      <c r="O439"/>
      <c r="Q439"/>
    </row>
    <row r="440" spans="9:17">
      <c r="J440">
        <f>J438*12</f>
        <v>0</v>
      </c>
      <c r="M440"/>
      <c r="N440"/>
      <c r="O440"/>
      <c r="Q440">
        <f>Q438*12</f>
        <v>264</v>
      </c>
    </row>
    <row r="441" spans="9:17">
      <c r="J441"/>
      <c r="M441"/>
      <c r="N441"/>
      <c r="O441"/>
      <c r="Q441"/>
    </row>
    <row r="442" spans="9:17">
      <c r="I442" s="268" t="s">
        <v>362</v>
      </c>
      <c r="J442" s="320">
        <f>J434-J440</f>
        <v>-2.1800000000372677</v>
      </c>
      <c r="M442"/>
      <c r="N442"/>
      <c r="O442"/>
      <c r="P442" s="268" t="s">
        <v>362</v>
      </c>
      <c r="Q442" s="320">
        <f>Q434-Q440</f>
        <v>6.9700000000744922</v>
      </c>
    </row>
    <row r="443" spans="9:17">
      <c r="J443"/>
      <c r="M443"/>
      <c r="N443"/>
      <c r="O443"/>
      <c r="Q443"/>
    </row>
    <row r="444" spans="9:17">
      <c r="J444">
        <f>J442/12</f>
        <v>-0.1816666666697723</v>
      </c>
      <c r="M444"/>
      <c r="N444"/>
      <c r="O444"/>
      <c r="Q444">
        <f>Q442/12</f>
        <v>0.58083333333954101</v>
      </c>
    </row>
    <row r="445" spans="9:17">
      <c r="J445"/>
      <c r="M445"/>
      <c r="N445"/>
      <c r="O445"/>
      <c r="Q445"/>
    </row>
    <row r="446" spans="9:17">
      <c r="J446">
        <f>J438+J444</f>
        <v>-0.1816666666697723</v>
      </c>
      <c r="M446"/>
      <c r="N446"/>
      <c r="O446"/>
      <c r="Q446">
        <f>Q438+Q444</f>
        <v>22.580833333339541</v>
      </c>
    </row>
    <row r="447" spans="9:17">
      <c r="J447"/>
      <c r="M447"/>
      <c r="N447"/>
      <c r="O447"/>
      <c r="Q447"/>
    </row>
    <row r="448" spans="9:17">
      <c r="I448" s="892" t="s">
        <v>454</v>
      </c>
      <c r="J448" s="894">
        <f>J446+D295</f>
        <v>121250.81833333333</v>
      </c>
      <c r="M448"/>
      <c r="N448"/>
      <c r="O448"/>
      <c r="P448" s="892" t="s">
        <v>455</v>
      </c>
      <c r="Q448" s="894">
        <f>Q446+D295</f>
        <v>121273.58083333334</v>
      </c>
    </row>
    <row r="449" spans="9:17">
      <c r="M449"/>
      <c r="N449"/>
      <c r="O449"/>
    </row>
    <row r="450" spans="9:17">
      <c r="M450"/>
      <c r="N450"/>
      <c r="O450"/>
    </row>
    <row r="451" spans="9:17">
      <c r="I451" s="268" t="s">
        <v>325</v>
      </c>
      <c r="J451" s="292">
        <f>J448</f>
        <v>121250.81833333333</v>
      </c>
      <c r="L451" s="268" t="s">
        <v>320</v>
      </c>
      <c r="M451" s="292">
        <f>M398</f>
        <v>121262.19958333333</v>
      </c>
      <c r="N451"/>
      <c r="O451"/>
      <c r="P451" s="268" t="s">
        <v>326</v>
      </c>
      <c r="Q451" s="292">
        <f>Q448</f>
        <v>121273.58083333334</v>
      </c>
    </row>
    <row r="452" spans="9:17">
      <c r="N452"/>
      <c r="O452"/>
    </row>
    <row r="453" spans="9:17">
      <c r="I453"/>
      <c r="J453"/>
      <c r="L453"/>
      <c r="M453"/>
      <c r="N453"/>
      <c r="O453"/>
      <c r="P453"/>
      <c r="Q453"/>
    </row>
    <row r="454" spans="9:17">
      <c r="N454"/>
      <c r="O454"/>
    </row>
    <row r="455" spans="9:17">
      <c r="N455"/>
      <c r="O455"/>
    </row>
    <row r="456" spans="9:17">
      <c r="N456"/>
      <c r="O456"/>
    </row>
    <row r="457" spans="9:17">
      <c r="I457" s="268" t="s">
        <v>356</v>
      </c>
      <c r="J457" s="712">
        <f>ROUNDDOWN(J451,0)</f>
        <v>121250</v>
      </c>
      <c r="L457" s="268" t="s">
        <v>356</v>
      </c>
      <c r="M457" s="712">
        <f>ROUNDDOWN(M451,0)</f>
        <v>121262</v>
      </c>
      <c r="N457"/>
      <c r="O457"/>
      <c r="P457" s="268" t="s">
        <v>356</v>
      </c>
      <c r="Q457" s="712">
        <f>ROUNDDOWN(Q451,0)</f>
        <v>121273</v>
      </c>
    </row>
    <row r="458" spans="9:17">
      <c r="N458"/>
      <c r="O458"/>
    </row>
    <row r="459" spans="9:17">
      <c r="M459" s="712">
        <f>ABS(M457-J457)</f>
        <v>12</v>
      </c>
      <c r="N459"/>
      <c r="O459"/>
      <c r="P459" s="268" t="s">
        <v>364</v>
      </c>
      <c r="Q459" s="712">
        <f>ABS(Q457-M457)</f>
        <v>11</v>
      </c>
    </row>
    <row r="460" spans="9:17">
      <c r="M460" s="292"/>
      <c r="N460"/>
      <c r="O460"/>
      <c r="Q460" s="292"/>
    </row>
    <row r="461" spans="9:17">
      <c r="M461" s="712">
        <f>M459*12</f>
        <v>144</v>
      </c>
      <c r="N461"/>
      <c r="O461"/>
      <c r="P461" s="268" t="s">
        <v>367</v>
      </c>
      <c r="Q461" s="712">
        <f>Q459*12</f>
        <v>132</v>
      </c>
    </row>
    <row r="462" spans="9:17">
      <c r="N462"/>
      <c r="O462"/>
    </row>
    <row r="463" spans="9:17">
      <c r="N463"/>
      <c r="O463"/>
    </row>
    <row r="464" spans="9:17">
      <c r="I464" s="268" t="s">
        <v>361</v>
      </c>
      <c r="J464" s="712">
        <f>MOD(J451,1)</f>
        <v>0.81833333332906477</v>
      </c>
      <c r="L464" s="268" t="s">
        <v>361</v>
      </c>
      <c r="M464" s="712">
        <f>MOD(M451,1)</f>
        <v>0.19958333333488554</v>
      </c>
      <c r="N464"/>
      <c r="O464"/>
      <c r="P464" s="268" t="s">
        <v>361</v>
      </c>
      <c r="Q464" s="712">
        <f>MOD(Q451,1)</f>
        <v>0.5808333333407063</v>
      </c>
    </row>
    <row r="465" spans="9:17">
      <c r="N465"/>
      <c r="O465"/>
    </row>
    <row r="466" spans="9:17">
      <c r="I466" s="268" t="s">
        <v>362</v>
      </c>
      <c r="J466" s="395">
        <f>J464*12</f>
        <v>9.8199999999487773</v>
      </c>
      <c r="L466" s="268" t="s">
        <v>362</v>
      </c>
      <c r="M466" s="395">
        <f>M464*12</f>
        <v>2.3950000000186265</v>
      </c>
      <c r="N466"/>
      <c r="O466"/>
      <c r="P466" s="268" t="s">
        <v>362</v>
      </c>
      <c r="Q466" s="395">
        <f>Q464*12</f>
        <v>6.9700000000884756</v>
      </c>
    </row>
    <row r="467" spans="9:17">
      <c r="N467"/>
      <c r="O467"/>
    </row>
    <row r="468" spans="9:17">
      <c r="I468" s="268" t="s">
        <v>366</v>
      </c>
      <c r="J468" s="395">
        <f>J466</f>
        <v>9.8199999999487773</v>
      </c>
      <c r="L468" s="268" t="s">
        <v>366</v>
      </c>
      <c r="M468" s="712">
        <f>M466+M461</f>
        <v>146.39500000001863</v>
      </c>
      <c r="N468"/>
      <c r="O468"/>
      <c r="P468" s="268" t="s">
        <v>366</v>
      </c>
      <c r="Q468" s="712">
        <f>Q466+Q461</f>
        <v>138.97000000008848</v>
      </c>
    </row>
    <row r="469" spans="9:17">
      <c r="O469"/>
      <c r="P469"/>
      <c r="Q469"/>
    </row>
    <row r="470" spans="9:17">
      <c r="K470" s="268" t="s">
        <v>374</v>
      </c>
      <c r="L470" s="712">
        <f>M468-J468</f>
        <v>136.57500000006985</v>
      </c>
      <c r="M470"/>
      <c r="N470" s="268" t="s">
        <v>374</v>
      </c>
      <c r="O470" s="712">
        <f>Q468-M466</f>
        <v>136.57500000006985</v>
      </c>
      <c r="P470"/>
      <c r="Q470"/>
    </row>
    <row r="471" spans="9:17">
      <c r="K471" s="268" t="s">
        <v>450</v>
      </c>
      <c r="L471" s="712">
        <f>J430</f>
        <v>136.57500000005589</v>
      </c>
      <c r="M471"/>
      <c r="N471" s="268" t="s">
        <v>451</v>
      </c>
      <c r="O471" s="712">
        <f>Q430</f>
        <v>136.57500000005589</v>
      </c>
      <c r="P471"/>
      <c r="Q471"/>
    </row>
    <row r="472" spans="9:17">
      <c r="I472"/>
      <c r="J472"/>
      <c r="K472"/>
      <c r="L472"/>
      <c r="M472"/>
      <c r="N472"/>
      <c r="O472"/>
      <c r="P472"/>
      <c r="Q472"/>
    </row>
    <row r="473" spans="9:17">
      <c r="I473"/>
      <c r="J473"/>
      <c r="K473"/>
      <c r="L473"/>
      <c r="M473"/>
      <c r="N473"/>
      <c r="O473"/>
      <c r="P473"/>
      <c r="Q473"/>
    </row>
    <row r="474" spans="9:17">
      <c r="I474"/>
      <c r="J474"/>
      <c r="K474"/>
      <c r="L474"/>
      <c r="M474"/>
      <c r="N474"/>
      <c r="O474"/>
      <c r="P474"/>
      <c r="Q474"/>
    </row>
    <row r="475" spans="9:17">
      <c r="I475"/>
      <c r="J475"/>
      <c r="K475"/>
      <c r="L475"/>
      <c r="M475"/>
      <c r="N475"/>
      <c r="O475"/>
      <c r="P475"/>
      <c r="Q475"/>
    </row>
    <row r="476" spans="9:17">
      <c r="I476"/>
      <c r="J476"/>
      <c r="K476"/>
      <c r="L476"/>
      <c r="M476"/>
      <c r="N476"/>
      <c r="O476"/>
      <c r="P476"/>
      <c r="Q476"/>
    </row>
    <row r="477" spans="9:17">
      <c r="I477"/>
      <c r="J477"/>
      <c r="K477"/>
      <c r="L477"/>
      <c r="M477"/>
      <c r="N477"/>
      <c r="O477"/>
      <c r="P477"/>
      <c r="Q477"/>
    </row>
    <row r="478" spans="9:17">
      <c r="I478"/>
      <c r="J478"/>
      <c r="K478"/>
      <c r="L478"/>
      <c r="M478"/>
      <c r="N478"/>
      <c r="O478"/>
      <c r="P478"/>
      <c r="Q478"/>
    </row>
    <row r="479" spans="9:17">
      <c r="I479"/>
      <c r="J479"/>
      <c r="K479"/>
      <c r="L479"/>
      <c r="M479"/>
      <c r="N479"/>
      <c r="O479"/>
      <c r="P479"/>
      <c r="Q479"/>
    </row>
    <row r="480" spans="9:17">
      <c r="I480"/>
      <c r="J480"/>
      <c r="K480"/>
      <c r="L480"/>
      <c r="M480"/>
      <c r="N480"/>
      <c r="O480"/>
      <c r="P480"/>
      <c r="Q480"/>
    </row>
    <row r="481" spans="9:17">
      <c r="I481"/>
      <c r="J481"/>
      <c r="K481"/>
      <c r="L481"/>
      <c r="M481"/>
      <c r="N481"/>
      <c r="O481"/>
      <c r="P481"/>
      <c r="Q481"/>
    </row>
    <row r="482" spans="9:17">
      <c r="I482"/>
      <c r="J482"/>
      <c r="K482"/>
      <c r="L482"/>
      <c r="M482"/>
      <c r="N482"/>
      <c r="O482"/>
      <c r="P482"/>
      <c r="Q482"/>
    </row>
    <row r="483" spans="9:17">
      <c r="M483" s="268">
        <f>E6</f>
        <v>281.05569415053276</v>
      </c>
      <c r="O483"/>
      <c r="P483"/>
      <c r="Q483"/>
    </row>
    <row r="484" spans="9:17">
      <c r="M484"/>
      <c r="N484"/>
      <c r="O484"/>
      <c r="P484"/>
      <c r="Q484"/>
    </row>
    <row r="485" spans="9:17">
      <c r="M485"/>
      <c r="N485"/>
      <c r="O485"/>
      <c r="P485"/>
      <c r="Q485"/>
    </row>
    <row r="486" spans="9:17">
      <c r="M486"/>
      <c r="N486"/>
      <c r="O486"/>
      <c r="P486"/>
      <c r="Q486"/>
    </row>
    <row r="487" spans="9:17">
      <c r="M487"/>
      <c r="N487"/>
      <c r="O487"/>
      <c r="P487"/>
      <c r="Q487"/>
    </row>
    <row r="488" spans="9:17">
      <c r="M488"/>
      <c r="N488"/>
      <c r="O488"/>
      <c r="P488"/>
      <c r="Q488"/>
    </row>
    <row r="489" spans="9:17">
      <c r="L489" s="268">
        <f>M483/2</f>
        <v>140.52784707526638</v>
      </c>
      <c r="N489" s="268">
        <f>M483/2</f>
        <v>140.52784707526638</v>
      </c>
      <c r="O489"/>
      <c r="P489"/>
      <c r="Q489"/>
    </row>
    <row r="490" spans="9:17">
      <c r="M490"/>
      <c r="N490"/>
      <c r="O490"/>
      <c r="P490"/>
      <c r="Q490"/>
    </row>
    <row r="491" spans="9:17">
      <c r="I491" s="268" t="s">
        <v>450</v>
      </c>
      <c r="J491" s="712">
        <f>L489</f>
        <v>140.52784707526638</v>
      </c>
      <c r="M491"/>
      <c r="N491"/>
      <c r="O491"/>
      <c r="P491" s="268" t="s">
        <v>451</v>
      </c>
      <c r="Q491" s="712">
        <f>N489</f>
        <v>140.52784707526638</v>
      </c>
    </row>
    <row r="492" spans="9:17">
      <c r="I492"/>
      <c r="J492"/>
      <c r="K492"/>
      <c r="L492"/>
      <c r="M492"/>
      <c r="N492"/>
      <c r="O492"/>
      <c r="P492"/>
      <c r="Q492"/>
    </row>
    <row r="493" spans="9:17">
      <c r="I493" s="268" t="s">
        <v>321</v>
      </c>
      <c r="J493" s="292">
        <f>M353-J491</f>
        <v>-6.1328470752477529</v>
      </c>
      <c r="M493"/>
      <c r="N493"/>
      <c r="O493"/>
      <c r="P493" s="268" t="s">
        <v>322</v>
      </c>
      <c r="Q493" s="292">
        <f>Q491+M353</f>
        <v>274.92284707528501</v>
      </c>
    </row>
    <row r="494" spans="9:17">
      <c r="M494"/>
      <c r="N494"/>
      <c r="O494"/>
    </row>
    <row r="495" spans="9:17">
      <c r="I495" s="268" t="s">
        <v>321</v>
      </c>
      <c r="J495" s="697">
        <f>J493</f>
        <v>-6.1328470752477529</v>
      </c>
      <c r="M495"/>
      <c r="N495"/>
      <c r="O495"/>
      <c r="P495" s="268" t="s">
        <v>322</v>
      </c>
      <c r="Q495" s="697">
        <f>Q493</f>
        <v>274.92284707528501</v>
      </c>
    </row>
    <row r="496" spans="9:17">
      <c r="J496"/>
      <c r="M496"/>
      <c r="N496"/>
      <c r="O496"/>
      <c r="Q496"/>
    </row>
    <row r="497" spans="9:17">
      <c r="I497" s="268" t="s">
        <v>446</v>
      </c>
      <c r="J497" s="873">
        <f>J495/12</f>
        <v>-0.51107058960397944</v>
      </c>
      <c r="M497"/>
      <c r="N497"/>
      <c r="O497"/>
      <c r="P497" s="268" t="s">
        <v>446</v>
      </c>
      <c r="Q497" s="873">
        <f>Q495/12</f>
        <v>22.910237256273749</v>
      </c>
    </row>
    <row r="498" spans="9:17">
      <c r="J498"/>
      <c r="M498"/>
      <c r="N498"/>
      <c r="O498"/>
      <c r="Q498"/>
    </row>
    <row r="499" spans="9:17">
      <c r="I499" s="268" t="s">
        <v>447</v>
      </c>
      <c r="J499" s="873">
        <f>ROUNDDOWN(J497,0)</f>
        <v>0</v>
      </c>
      <c r="M499"/>
      <c r="N499"/>
      <c r="O499"/>
      <c r="P499" s="268" t="s">
        <v>447</v>
      </c>
      <c r="Q499" s="873">
        <f>ROUNDDOWN(Q497,0)</f>
        <v>22</v>
      </c>
    </row>
    <row r="500" spans="9:17">
      <c r="J500"/>
      <c r="M500"/>
      <c r="N500"/>
      <c r="O500"/>
      <c r="Q500"/>
    </row>
    <row r="501" spans="9:17">
      <c r="J501">
        <f>J499*12</f>
        <v>0</v>
      </c>
      <c r="M501"/>
      <c r="N501"/>
      <c r="O501"/>
      <c r="Q501">
        <f>Q499*12</f>
        <v>264</v>
      </c>
    </row>
    <row r="502" spans="9:17">
      <c r="J502"/>
      <c r="M502"/>
      <c r="N502"/>
      <c r="O502"/>
      <c r="Q502"/>
    </row>
    <row r="503" spans="9:17">
      <c r="I503" s="268" t="s">
        <v>362</v>
      </c>
      <c r="J503" s="320">
        <f>J495-J501</f>
        <v>-6.1328470752477529</v>
      </c>
      <c r="M503"/>
      <c r="N503"/>
      <c r="O503"/>
      <c r="P503" s="268" t="s">
        <v>362</v>
      </c>
      <c r="Q503" s="320">
        <f>Q495-Q501</f>
        <v>10.922847075285006</v>
      </c>
    </row>
    <row r="504" spans="9:17">
      <c r="J504"/>
      <c r="M504"/>
      <c r="N504"/>
      <c r="O504"/>
      <c r="Q504"/>
    </row>
    <row r="505" spans="9:17">
      <c r="J505">
        <f>J503/12</f>
        <v>-0.51107058960397944</v>
      </c>
      <c r="M505"/>
      <c r="N505"/>
      <c r="O505"/>
      <c r="Q505">
        <f>Q503/12</f>
        <v>0.91023725627375052</v>
      </c>
    </row>
    <row r="506" spans="9:17">
      <c r="J506"/>
      <c r="M506"/>
      <c r="N506"/>
      <c r="O506"/>
      <c r="Q506"/>
    </row>
    <row r="507" spans="9:17">
      <c r="J507">
        <f>J499+J505</f>
        <v>-0.51107058960397944</v>
      </c>
      <c r="M507"/>
      <c r="N507"/>
      <c r="O507"/>
      <c r="Q507">
        <f>Q499+Q505</f>
        <v>22.910237256273749</v>
      </c>
    </row>
    <row r="508" spans="9:17">
      <c r="J508"/>
      <c r="M508"/>
      <c r="N508"/>
      <c r="O508"/>
      <c r="Q508"/>
    </row>
    <row r="509" spans="9:17">
      <c r="I509" s="892" t="s">
        <v>456</v>
      </c>
      <c r="J509" s="894">
        <f>J507+D295</f>
        <v>121250.48892941039</v>
      </c>
      <c r="M509"/>
      <c r="N509"/>
      <c r="O509"/>
      <c r="P509" s="892" t="s">
        <v>457</v>
      </c>
      <c r="Q509" s="894">
        <f>Q507+D295</f>
        <v>121273.91023725628</v>
      </c>
    </row>
    <row r="510" spans="9:17">
      <c r="M510"/>
      <c r="N510"/>
      <c r="O510"/>
    </row>
    <row r="511" spans="9:17">
      <c r="M511"/>
      <c r="N511"/>
      <c r="O511"/>
    </row>
    <row r="512" spans="9:17">
      <c r="I512" s="268" t="s">
        <v>325</v>
      </c>
      <c r="J512" s="292">
        <f>J509</f>
        <v>121250.48892941039</v>
      </c>
      <c r="L512" s="268" t="s">
        <v>320</v>
      </c>
      <c r="M512" s="292">
        <f>M451</f>
        <v>121262.19958333333</v>
      </c>
      <c r="N512"/>
      <c r="O512"/>
      <c r="P512" s="268" t="s">
        <v>326</v>
      </c>
      <c r="Q512" s="292">
        <f>Q509</f>
        <v>121273.91023725628</v>
      </c>
    </row>
    <row r="513" spans="9:17">
      <c r="N513"/>
      <c r="O513"/>
    </row>
    <row r="514" spans="9:17">
      <c r="I514"/>
      <c r="J514"/>
      <c r="L514"/>
      <c r="M514"/>
      <c r="N514"/>
      <c r="O514"/>
      <c r="P514"/>
      <c r="Q514"/>
    </row>
    <row r="515" spans="9:17">
      <c r="N515"/>
      <c r="O515"/>
    </row>
    <row r="516" spans="9:17">
      <c r="N516"/>
      <c r="O516"/>
    </row>
    <row r="517" spans="9:17">
      <c r="N517"/>
      <c r="O517"/>
    </row>
    <row r="518" spans="9:17">
      <c r="I518" s="268" t="s">
        <v>356</v>
      </c>
      <c r="J518" s="712">
        <f>ROUNDDOWN(J512,0)</f>
        <v>121250</v>
      </c>
      <c r="L518" s="268" t="s">
        <v>356</v>
      </c>
      <c r="M518" s="712">
        <f>ROUNDDOWN(M512,0)</f>
        <v>121262</v>
      </c>
      <c r="N518"/>
      <c r="O518"/>
      <c r="P518" s="268" t="s">
        <v>356</v>
      </c>
      <c r="Q518" s="712">
        <f>ROUNDDOWN(Q512,0)</f>
        <v>121273</v>
      </c>
    </row>
    <row r="519" spans="9:17">
      <c r="N519"/>
      <c r="O519"/>
    </row>
    <row r="520" spans="9:17">
      <c r="M520" s="712">
        <f>ABS(M518-J518)</f>
        <v>12</v>
      </c>
      <c r="N520"/>
      <c r="O520"/>
      <c r="P520" s="268" t="s">
        <v>364</v>
      </c>
      <c r="Q520" s="712">
        <f>ABS(Q518-M518)</f>
        <v>11</v>
      </c>
    </row>
    <row r="521" spans="9:17">
      <c r="M521" s="292"/>
      <c r="N521"/>
      <c r="O521"/>
      <c r="Q521" s="292"/>
    </row>
    <row r="522" spans="9:17">
      <c r="M522" s="712">
        <f>M520*12</f>
        <v>144</v>
      </c>
      <c r="N522"/>
      <c r="O522"/>
      <c r="P522" s="268" t="s">
        <v>367</v>
      </c>
      <c r="Q522" s="712">
        <f>Q520*12</f>
        <v>132</v>
      </c>
    </row>
    <row r="523" spans="9:17">
      <c r="I523"/>
      <c r="J523"/>
      <c r="K523"/>
      <c r="L523"/>
      <c r="M523"/>
      <c r="N523"/>
      <c r="O523"/>
      <c r="P523"/>
      <c r="Q523"/>
    </row>
    <row r="524" spans="9:17">
      <c r="I524"/>
      <c r="J524"/>
      <c r="K524"/>
      <c r="L524"/>
      <c r="M524"/>
      <c r="N524"/>
      <c r="O524"/>
      <c r="P524"/>
      <c r="Q524"/>
    </row>
    <row r="525" spans="9:17">
      <c r="I525" s="268" t="s">
        <v>361</v>
      </c>
      <c r="J525" s="712">
        <f>MOD(J512,1)</f>
        <v>0.48892941039230209</v>
      </c>
      <c r="L525" s="268" t="s">
        <v>361</v>
      </c>
      <c r="M525" s="712">
        <f>MOD(M512,1)</f>
        <v>0.19958333333488554</v>
      </c>
      <c r="N525"/>
      <c r="O525"/>
      <c r="P525" s="268" t="s">
        <v>361</v>
      </c>
      <c r="Q525" s="712">
        <f>MOD(Q512,1)</f>
        <v>0.91023725627746899</v>
      </c>
    </row>
    <row r="526" spans="9:17">
      <c r="N526"/>
      <c r="O526"/>
    </row>
    <row r="527" spans="9:17">
      <c r="I527" s="268" t="s">
        <v>362</v>
      </c>
      <c r="J527" s="395">
        <f>J525*12</f>
        <v>5.8671529247076251</v>
      </c>
      <c r="L527" s="268" t="s">
        <v>362</v>
      </c>
      <c r="M527" s="395">
        <f>M525*12</f>
        <v>2.3950000000186265</v>
      </c>
      <c r="N527"/>
      <c r="O527"/>
      <c r="P527" s="268" t="s">
        <v>362</v>
      </c>
      <c r="Q527" s="395">
        <f>Q525*12</f>
        <v>10.922847075329628</v>
      </c>
    </row>
    <row r="528" spans="9:17">
      <c r="N528"/>
      <c r="O528"/>
    </row>
    <row r="529" spans="9:17">
      <c r="I529" s="268" t="s">
        <v>366</v>
      </c>
      <c r="J529" s="395">
        <f>J527</f>
        <v>5.8671529247076251</v>
      </c>
      <c r="L529" s="268" t="s">
        <v>366</v>
      </c>
      <c r="M529" s="712">
        <f>M527+M522</f>
        <v>146.39500000001863</v>
      </c>
      <c r="N529"/>
      <c r="O529"/>
      <c r="P529" s="268" t="s">
        <v>366</v>
      </c>
      <c r="Q529" s="712">
        <f>Q527+Q522</f>
        <v>142.92284707532963</v>
      </c>
    </row>
    <row r="530" spans="9:17">
      <c r="O530"/>
      <c r="P530"/>
      <c r="Q530"/>
    </row>
    <row r="531" spans="9:17">
      <c r="K531" s="268" t="s">
        <v>374</v>
      </c>
      <c r="L531" s="712">
        <f>M529-J529</f>
        <v>140.527847075311</v>
      </c>
      <c r="M531"/>
      <c r="N531" s="268" t="s">
        <v>374</v>
      </c>
      <c r="O531" s="712">
        <f>Q529-M527</f>
        <v>140.527847075311</v>
      </c>
      <c r="P531"/>
      <c r="Q531"/>
    </row>
    <row r="532" spans="9:17">
      <c r="K532" s="268" t="s">
        <v>450</v>
      </c>
      <c r="L532" s="712">
        <f>J491</f>
        <v>140.52784707526638</v>
      </c>
      <c r="M532"/>
      <c r="N532" s="268" t="s">
        <v>451</v>
      </c>
      <c r="O532" s="712">
        <f>Q491</f>
        <v>140.52784707526638</v>
      </c>
      <c r="P532"/>
      <c r="Q532"/>
    </row>
    <row r="533" spans="9:17">
      <c r="I533"/>
      <c r="J533"/>
      <c r="K533"/>
      <c r="L533"/>
      <c r="M533"/>
      <c r="N533"/>
      <c r="O533"/>
      <c r="P533"/>
      <c r="Q533"/>
    </row>
    <row r="534" spans="9:17">
      <c r="I534"/>
      <c r="J534"/>
      <c r="K534"/>
      <c r="L534"/>
      <c r="M534"/>
      <c r="N534"/>
      <c r="O534"/>
      <c r="P534"/>
      <c r="Q534"/>
    </row>
    <row r="535" spans="9:17">
      <c r="I535"/>
      <c r="J535"/>
      <c r="K535"/>
      <c r="L535"/>
      <c r="M535"/>
      <c r="N535"/>
      <c r="O535"/>
      <c r="P535"/>
      <c r="Q535"/>
    </row>
    <row r="548" spans="3:38">
      <c r="C548" s="395" t="str">
        <f>I91</f>
        <v>WC 6 - Left Limit</v>
      </c>
      <c r="D548" s="712">
        <f>G7</f>
        <v>211444.45666666701</v>
      </c>
      <c r="G548" s="395" t="str">
        <f>IF(D2&lt;=G95,"WC 1","WC 4")</f>
        <v>WC 1</v>
      </c>
      <c r="H548" s="712">
        <f>IF(D2&lt;=G95,D2,G95)</f>
        <v>121251.01</v>
      </c>
      <c r="I548"/>
      <c r="J548"/>
      <c r="K548"/>
      <c r="L548" s="562" t="str">
        <f>E712</f>
        <v>WC 2</v>
      </c>
      <c r="M548" s="930">
        <f>F712</f>
        <v>121273.52</v>
      </c>
      <c r="P548" s="268" t="s">
        <v>359</v>
      </c>
      <c r="Q548" s="292">
        <f>D8</f>
        <v>211449.22</v>
      </c>
      <c r="R548"/>
      <c r="U548" s="268" t="str">
        <f>E704</f>
        <v>WC 1</v>
      </c>
      <c r="V548" s="292">
        <f>F704</f>
        <v>121251.01</v>
      </c>
      <c r="W548" s="268"/>
      <c r="X548" s="268"/>
      <c r="Y548" s="268" t="str">
        <f>E706</f>
        <v>WC 4</v>
      </c>
      <c r="Z548" s="292">
        <f>F706</f>
        <v>121259.19958333333</v>
      </c>
      <c r="AG548" s="268" t="s">
        <v>355</v>
      </c>
      <c r="AH548" s="292">
        <f>D7</f>
        <v>211444.45666666701</v>
      </c>
      <c r="AI548" s="268"/>
      <c r="AJ548" s="268"/>
      <c r="AK548" s="268" t="s">
        <v>359</v>
      </c>
      <c r="AL548" s="292">
        <f>D8</f>
        <v>211449.22</v>
      </c>
    </row>
    <row r="549" spans="3:38">
      <c r="D549" s="268"/>
      <c r="H549" s="292"/>
      <c r="I549"/>
      <c r="J549"/>
      <c r="K549"/>
      <c r="Q549" s="292"/>
      <c r="R549"/>
      <c r="U549" s="268"/>
      <c r="V549" s="268"/>
      <c r="W549" s="268"/>
      <c r="X549" s="268"/>
      <c r="Y549" s="268"/>
      <c r="Z549" s="292"/>
      <c r="AG549" s="268"/>
      <c r="AH549" s="268"/>
      <c r="AI549" s="268"/>
      <c r="AJ549" s="268"/>
      <c r="AK549" s="268"/>
      <c r="AL549" s="292"/>
    </row>
    <row r="550" spans="3:38">
      <c r="C550"/>
      <c r="D550"/>
      <c r="E550"/>
      <c r="F550"/>
      <c r="G550"/>
      <c r="H550"/>
      <c r="I550"/>
      <c r="J550"/>
      <c r="K550"/>
      <c r="L550"/>
      <c r="M550"/>
      <c r="N550"/>
      <c r="O550"/>
      <c r="P550"/>
      <c r="Q550"/>
      <c r="R550"/>
    </row>
    <row r="551" spans="3:38">
      <c r="D551" s="268"/>
      <c r="H551" s="292"/>
      <c r="I551"/>
      <c r="J551"/>
      <c r="K551"/>
      <c r="Q551" s="292"/>
      <c r="R551"/>
      <c r="U551" s="268"/>
      <c r="V551" s="268"/>
      <c r="W551" s="268"/>
      <c r="X551" s="268"/>
      <c r="Y551" s="268"/>
      <c r="Z551" s="292"/>
      <c r="AG551" s="268"/>
      <c r="AH551" s="268"/>
      <c r="AI551" s="268"/>
      <c r="AJ551" s="268"/>
      <c r="AK551" s="268"/>
      <c r="AL551" s="292"/>
    </row>
    <row r="552" spans="3:38">
      <c r="D552" s="268"/>
      <c r="I552"/>
      <c r="J552"/>
      <c r="K552"/>
      <c r="R552"/>
      <c r="U552" s="268"/>
      <c r="V552" s="268"/>
      <c r="W552" s="268"/>
      <c r="X552" s="268"/>
      <c r="Y552" s="268"/>
      <c r="Z552" s="268"/>
      <c r="AG552" s="268"/>
      <c r="AH552" s="268"/>
      <c r="AI552" s="268"/>
      <c r="AJ552" s="268"/>
      <c r="AK552" s="268"/>
      <c r="AL552" s="268"/>
    </row>
    <row r="553" spans="3:38">
      <c r="D553" s="268"/>
      <c r="H553" s="292"/>
      <c r="I553"/>
      <c r="J553"/>
      <c r="K553"/>
      <c r="Q553" s="292"/>
      <c r="R553"/>
      <c r="U553" s="268"/>
      <c r="V553" s="268"/>
      <c r="W553" s="268"/>
      <c r="X553" s="268"/>
      <c r="Y553" s="268"/>
      <c r="Z553" s="292"/>
      <c r="AG553" s="268"/>
      <c r="AH553" s="268"/>
      <c r="AI553" s="268"/>
      <c r="AJ553" s="268"/>
      <c r="AK553" s="268"/>
      <c r="AL553" s="292"/>
    </row>
    <row r="554" spans="3:38">
      <c r="C554" s="268" t="s">
        <v>356</v>
      </c>
      <c r="D554" s="712">
        <f>ROUNDDOWN(D548,0)</f>
        <v>211444</v>
      </c>
      <c r="G554" s="268" t="s">
        <v>356</v>
      </c>
      <c r="H554" s="712">
        <f>ROUNDDOWN(H548,0)</f>
        <v>121251</v>
      </c>
      <c r="I554"/>
      <c r="J554"/>
      <c r="K554"/>
      <c r="L554" s="268" t="s">
        <v>356</v>
      </c>
      <c r="M554" s="712">
        <f>ROUNDDOWN(M548,0)</f>
        <v>121273</v>
      </c>
      <c r="P554" s="268" t="s">
        <v>356</v>
      </c>
      <c r="Q554" s="712">
        <f>ROUNDDOWN(Q548,0)</f>
        <v>211449</v>
      </c>
      <c r="R554"/>
      <c r="U554" s="268" t="s">
        <v>356</v>
      </c>
      <c r="V554" s="712">
        <f>ROUNDDOWN(V548,0)</f>
        <v>121251</v>
      </c>
      <c r="W554" s="268"/>
      <c r="X554" s="268"/>
      <c r="Y554" s="268" t="s">
        <v>356</v>
      </c>
      <c r="Z554" s="712">
        <f>ROUNDDOWN(Z548,0)</f>
        <v>121259</v>
      </c>
      <c r="AG554" s="268" t="s">
        <v>356</v>
      </c>
      <c r="AH554" s="712">
        <f>ROUNDDOWN(AH548,0)</f>
        <v>211444</v>
      </c>
      <c r="AI554" s="268"/>
      <c r="AJ554" s="268"/>
      <c r="AK554" s="268" t="s">
        <v>356</v>
      </c>
      <c r="AL554" s="712">
        <f>ROUNDDOWN(AL548,0)</f>
        <v>211449</v>
      </c>
    </row>
    <row r="555" spans="3:38">
      <c r="D555" s="268"/>
      <c r="H555" s="292"/>
      <c r="I555"/>
      <c r="J555"/>
      <c r="K555"/>
      <c r="Q555" s="292"/>
      <c r="R555"/>
      <c r="U555" s="268"/>
      <c r="V555" s="268"/>
      <c r="W555" s="268"/>
      <c r="X555" s="268"/>
      <c r="Y555" s="268"/>
      <c r="Z555" s="292"/>
      <c r="AG555" s="268"/>
      <c r="AH555" s="268"/>
      <c r="AI555" s="268"/>
      <c r="AJ555" s="268"/>
      <c r="AK555" s="268"/>
      <c r="AL555" s="292"/>
    </row>
    <row r="556" spans="3:38">
      <c r="D556" s="268"/>
      <c r="G556" s="268" t="s">
        <v>364</v>
      </c>
      <c r="H556" s="712">
        <f>H554-D554</f>
        <v>-90193</v>
      </c>
      <c r="I556"/>
      <c r="J556"/>
      <c r="K556"/>
      <c r="P556" s="268" t="s">
        <v>364</v>
      </c>
      <c r="Q556" s="712">
        <f>Q554-M554</f>
        <v>90176</v>
      </c>
      <c r="R556"/>
      <c r="U556" s="268"/>
      <c r="V556" s="268"/>
      <c r="W556" s="268"/>
      <c r="X556" s="268"/>
      <c r="Y556" s="268" t="s">
        <v>364</v>
      </c>
      <c r="Z556" s="712">
        <f>Z554-V554</f>
        <v>8</v>
      </c>
      <c r="AG556" s="268"/>
      <c r="AH556" s="268"/>
      <c r="AI556" s="268"/>
      <c r="AJ556" s="268"/>
      <c r="AK556" s="268" t="s">
        <v>364</v>
      </c>
      <c r="AL556" s="712">
        <f>ABS(AL554-AH554)</f>
        <v>5</v>
      </c>
    </row>
    <row r="557" spans="3:38">
      <c r="D557" s="268"/>
      <c r="H557" s="292"/>
      <c r="I557"/>
      <c r="J557"/>
      <c r="K557"/>
      <c r="Q557" s="292"/>
      <c r="R557"/>
      <c r="U557" s="268"/>
      <c r="V557" s="268"/>
      <c r="W557" s="268"/>
      <c r="X557" s="268"/>
      <c r="Y557" s="268"/>
      <c r="Z557" s="292"/>
      <c r="AG557" s="268"/>
      <c r="AH557" s="268"/>
      <c r="AI557" s="268"/>
      <c r="AJ557" s="268"/>
      <c r="AK557" s="268"/>
      <c r="AL557" s="292"/>
    </row>
    <row r="558" spans="3:38">
      <c r="D558" s="268"/>
      <c r="G558" s="268" t="s">
        <v>367</v>
      </c>
      <c r="H558" s="712">
        <f>H556*12</f>
        <v>-1082316</v>
      </c>
      <c r="I558"/>
      <c r="J558"/>
      <c r="K558"/>
      <c r="P558" s="268" t="s">
        <v>367</v>
      </c>
      <c r="Q558" s="712">
        <f>Q556*12</f>
        <v>1082112</v>
      </c>
      <c r="R558"/>
      <c r="U558" s="268"/>
      <c r="V558" s="268"/>
      <c r="W558" s="268"/>
      <c r="X558" s="268"/>
      <c r="Y558" s="268" t="s">
        <v>367</v>
      </c>
      <c r="Z558" s="712">
        <f>Z556*12</f>
        <v>96</v>
      </c>
      <c r="AG558" s="268"/>
      <c r="AH558" s="268"/>
      <c r="AI558" s="268"/>
      <c r="AJ558" s="268"/>
      <c r="AK558" s="268" t="s">
        <v>367</v>
      </c>
      <c r="AL558" s="712">
        <f>AL556*12</f>
        <v>60</v>
      </c>
    </row>
    <row r="559" spans="3:38">
      <c r="D559" s="268"/>
      <c r="H559" s="292"/>
      <c r="I559"/>
      <c r="J559"/>
      <c r="K559"/>
      <c r="Q559" s="292"/>
      <c r="R559"/>
      <c r="U559" s="268"/>
      <c r="V559" s="268"/>
      <c r="W559" s="268"/>
      <c r="X559" s="268"/>
      <c r="Y559" s="268"/>
      <c r="Z559" s="292"/>
      <c r="AG559" s="268"/>
      <c r="AH559" s="268"/>
      <c r="AI559" s="268"/>
      <c r="AJ559" s="268"/>
      <c r="AK559" s="268"/>
      <c r="AL559" s="292"/>
    </row>
    <row r="560" spans="3:38">
      <c r="D560" s="268"/>
      <c r="H560" s="292"/>
      <c r="I560"/>
      <c r="J560"/>
      <c r="K560"/>
      <c r="Q560" s="292"/>
      <c r="R560"/>
      <c r="U560" s="268"/>
      <c r="V560" s="268"/>
      <c r="W560" s="268"/>
      <c r="X560" s="268"/>
      <c r="Y560" s="268"/>
      <c r="Z560" s="292"/>
      <c r="AG560" s="268"/>
      <c r="AH560" s="268"/>
      <c r="AI560" s="268"/>
      <c r="AJ560" s="268"/>
      <c r="AK560" s="268"/>
      <c r="AL560" s="292"/>
    </row>
    <row r="561" spans="3:38">
      <c r="C561" s="268" t="s">
        <v>361</v>
      </c>
      <c r="D561" s="712">
        <f>MOD(D548,1)</f>
        <v>0.45666666701436043</v>
      </c>
      <c r="G561" s="268" t="s">
        <v>361</v>
      </c>
      <c r="H561" s="712">
        <f>MOD(H548,1)</f>
        <v>9.9999999947613105E-3</v>
      </c>
      <c r="I561"/>
      <c r="J561"/>
      <c r="K561"/>
      <c r="L561" s="268" t="s">
        <v>361</v>
      </c>
      <c r="M561" s="712">
        <f>MOD(M548,1)</f>
        <v>0.52000000000407454</v>
      </c>
      <c r="P561" s="268" t="s">
        <v>361</v>
      </c>
      <c r="Q561" s="712">
        <f>MOD(Q548,1)</f>
        <v>0.22000000000116415</v>
      </c>
      <c r="R561"/>
      <c r="U561" s="268" t="s">
        <v>361</v>
      </c>
      <c r="V561" s="712">
        <f>MOD(V548,1)</f>
        <v>9.9999999947613105E-3</v>
      </c>
      <c r="W561" s="268"/>
      <c r="X561" s="268"/>
      <c r="Y561" s="268" t="s">
        <v>361</v>
      </c>
      <c r="Z561" s="712">
        <f>MOD(Z548,1)</f>
        <v>0.19958333333488554</v>
      </c>
      <c r="AG561" s="268" t="s">
        <v>361</v>
      </c>
      <c r="AH561" s="712">
        <f>MOD(AH548,1)</f>
        <v>0.45666666701436043</v>
      </c>
      <c r="AI561" s="268"/>
      <c r="AJ561" s="268"/>
      <c r="AK561" s="268" t="s">
        <v>361</v>
      </c>
      <c r="AL561" s="712">
        <f>MOD(AL548,1)</f>
        <v>0.22000000000116415</v>
      </c>
    </row>
    <row r="562" spans="3:38">
      <c r="D562" s="268"/>
      <c r="H562" s="292"/>
      <c r="I562"/>
      <c r="J562"/>
      <c r="K562"/>
      <c r="Q562" s="292"/>
      <c r="R562"/>
      <c r="U562" s="268"/>
      <c r="V562" s="268"/>
      <c r="W562" s="268"/>
      <c r="X562" s="268"/>
      <c r="Y562" s="268"/>
      <c r="Z562" s="292"/>
      <c r="AG562" s="268"/>
      <c r="AH562" s="268"/>
      <c r="AI562" s="268"/>
      <c r="AJ562" s="268"/>
      <c r="AK562" s="268"/>
      <c r="AL562" s="292"/>
    </row>
    <row r="563" spans="3:38">
      <c r="C563" s="268" t="s">
        <v>362</v>
      </c>
      <c r="D563" s="395">
        <f>D561*12</f>
        <v>5.4800000041723251</v>
      </c>
      <c r="G563" s="268" t="s">
        <v>362</v>
      </c>
      <c r="H563" s="712">
        <f>H561*12</f>
        <v>0.11999999993713573</v>
      </c>
      <c r="I563"/>
      <c r="J563"/>
      <c r="K563"/>
      <c r="L563" s="268" t="s">
        <v>362</v>
      </c>
      <c r="M563" s="395">
        <f>M561*12</f>
        <v>6.2400000000488944</v>
      </c>
      <c r="P563" s="268" t="s">
        <v>362</v>
      </c>
      <c r="Q563" s="712">
        <f>Q561*12</f>
        <v>2.6400000000139698</v>
      </c>
      <c r="R563"/>
      <c r="U563" s="268" t="s">
        <v>362</v>
      </c>
      <c r="V563" s="395">
        <f>V561*12</f>
        <v>0.11999999993713573</v>
      </c>
      <c r="W563" s="268"/>
      <c r="X563" s="268"/>
      <c r="Y563" s="268" t="s">
        <v>362</v>
      </c>
      <c r="Z563" s="712">
        <f>Z561*12</f>
        <v>2.3950000000186265</v>
      </c>
      <c r="AG563" s="268" t="s">
        <v>362</v>
      </c>
      <c r="AH563" s="395">
        <f>AH561*12</f>
        <v>5.4800000041723251</v>
      </c>
      <c r="AI563" s="268"/>
      <c r="AJ563" s="268"/>
      <c r="AK563" s="268" t="s">
        <v>362</v>
      </c>
      <c r="AL563" s="712">
        <f>AL561*12</f>
        <v>2.6400000000139698</v>
      </c>
    </row>
    <row r="564" spans="3:38">
      <c r="D564" s="268"/>
      <c r="H564" s="292"/>
      <c r="I564"/>
      <c r="J564"/>
      <c r="K564"/>
      <c r="Q564" s="292"/>
      <c r="R564"/>
      <c r="U564" s="268"/>
      <c r="V564" s="268"/>
      <c r="W564" s="268"/>
      <c r="X564" s="268"/>
      <c r="Y564" s="268"/>
      <c r="Z564" s="292"/>
      <c r="AG564" s="268"/>
      <c r="AH564" s="268"/>
      <c r="AI564" s="268"/>
      <c r="AJ564" s="268"/>
      <c r="AK564" s="268"/>
      <c r="AL564" s="292"/>
    </row>
    <row r="565" spans="3:38">
      <c r="C565" s="268" t="s">
        <v>366</v>
      </c>
      <c r="D565" s="395">
        <f>D563</f>
        <v>5.4800000041723251</v>
      </c>
      <c r="G565" s="268" t="s">
        <v>366</v>
      </c>
      <c r="H565" s="712">
        <f>H563+H558</f>
        <v>-1082315.8800000001</v>
      </c>
      <c r="I565"/>
      <c r="J565"/>
      <c r="K565"/>
      <c r="L565" s="268" t="s">
        <v>366</v>
      </c>
      <c r="M565" s="395">
        <f>M563</f>
        <v>6.2400000000488944</v>
      </c>
      <c r="P565" s="268" t="s">
        <v>366</v>
      </c>
      <c r="Q565" s="712">
        <f>Q563+Q558</f>
        <v>1082114.6400000001</v>
      </c>
      <c r="R565"/>
      <c r="U565" s="268" t="s">
        <v>366</v>
      </c>
      <c r="V565" s="395">
        <f>V563</f>
        <v>0.11999999993713573</v>
      </c>
      <c r="W565" s="268"/>
      <c r="X565" s="268"/>
      <c r="Y565" s="268" t="s">
        <v>366</v>
      </c>
      <c r="Z565" s="712">
        <f>Z563+Z558</f>
        <v>98.395000000018626</v>
      </c>
      <c r="AG565" s="268" t="s">
        <v>366</v>
      </c>
      <c r="AH565" s="395">
        <f>AH563</f>
        <v>5.4800000041723251</v>
      </c>
      <c r="AI565" s="268"/>
      <c r="AJ565" s="268"/>
      <c r="AK565" s="268" t="s">
        <v>366</v>
      </c>
      <c r="AL565" s="712">
        <f>AL563+AL558</f>
        <v>62.64000000001397</v>
      </c>
    </row>
    <row r="566" spans="3:38">
      <c r="D566" s="268"/>
      <c r="H566" s="292"/>
      <c r="I566"/>
      <c r="J566"/>
      <c r="K566"/>
      <c r="Q566" s="292"/>
      <c r="R566"/>
      <c r="U566" s="268"/>
      <c r="V566" s="268"/>
      <c r="W566" s="268"/>
      <c r="X566" s="268"/>
      <c r="Y566" s="268"/>
      <c r="Z566" s="292"/>
      <c r="AG566" s="268"/>
      <c r="AH566" s="268"/>
      <c r="AI566" s="268"/>
      <c r="AJ566" s="268"/>
      <c r="AK566" s="268"/>
      <c r="AL566" s="292"/>
    </row>
    <row r="567" spans="3:38">
      <c r="D567" s="268"/>
      <c r="E567" s="268" t="s">
        <v>374</v>
      </c>
      <c r="F567" s="712">
        <f>IF(G7="N/A","N/A",H565-D565)</f>
        <v>-1082321.3600000043</v>
      </c>
      <c r="H567" s="292"/>
      <c r="I567"/>
      <c r="J567"/>
      <c r="K567"/>
      <c r="N567" s="268" t="s">
        <v>374</v>
      </c>
      <c r="O567" s="712">
        <f>IF(G8="N/A","N/A",Q565-M565)</f>
        <v>1082108.4000000001</v>
      </c>
      <c r="Q567" s="292"/>
      <c r="R567"/>
      <c r="U567" s="268"/>
      <c r="V567" s="268"/>
      <c r="W567" s="268" t="s">
        <v>374</v>
      </c>
      <c r="X567" s="712">
        <f>IF(Z548=0,"",Z565-V565)</f>
        <v>98.275000000081491</v>
      </c>
      <c r="Y567" s="268"/>
      <c r="Z567" s="292"/>
      <c r="AG567" s="268"/>
      <c r="AH567" s="268"/>
      <c r="AI567" s="268" t="s">
        <v>374</v>
      </c>
      <c r="AJ567" s="712">
        <f>AL565-AH565</f>
        <v>57.159999995841645</v>
      </c>
      <c r="AK567" s="268"/>
      <c r="AL567" s="292"/>
    </row>
    <row r="568" spans="3:38">
      <c r="C568"/>
      <c r="D568"/>
      <c r="E568"/>
      <c r="F568"/>
      <c r="G568"/>
      <c r="H568"/>
      <c r="I568"/>
      <c r="J568"/>
      <c r="K568"/>
      <c r="L568"/>
      <c r="M568"/>
      <c r="N568"/>
      <c r="O568"/>
      <c r="P568"/>
      <c r="Q568"/>
      <c r="R568"/>
    </row>
    <row r="569" spans="3:38">
      <c r="C569"/>
      <c r="D569"/>
      <c r="E569"/>
      <c r="F569"/>
      <c r="G569"/>
      <c r="H569"/>
      <c r="I569"/>
      <c r="J569"/>
      <c r="K569"/>
      <c r="L569"/>
      <c r="M569"/>
      <c r="N569"/>
      <c r="O569"/>
      <c r="P569"/>
      <c r="Q569"/>
      <c r="R569"/>
    </row>
    <row r="570" spans="3:38">
      <c r="C570"/>
      <c r="D570"/>
      <c r="E570"/>
      <c r="F570"/>
      <c r="G570"/>
      <c r="H570"/>
      <c r="I570"/>
      <c r="J570"/>
      <c r="K570"/>
      <c r="L570"/>
      <c r="M570"/>
      <c r="N570"/>
      <c r="O570"/>
      <c r="P570"/>
      <c r="Q570"/>
      <c r="R570"/>
    </row>
    <row r="571" spans="3:38">
      <c r="C571"/>
      <c r="D571"/>
      <c r="E571"/>
      <c r="F571"/>
      <c r="G571"/>
      <c r="H571"/>
      <c r="I571"/>
      <c r="J571"/>
      <c r="K571"/>
      <c r="L571"/>
      <c r="M571"/>
      <c r="N571"/>
      <c r="O571"/>
      <c r="P571"/>
      <c r="Q571"/>
      <c r="R571"/>
    </row>
    <row r="572" spans="3:38">
      <c r="C572" s="268" t="str">
        <f>C548</f>
        <v>WC 6 - Left Limit</v>
      </c>
      <c r="D572" s="292">
        <f>D548</f>
        <v>211444.45666666701</v>
      </c>
      <c r="G572" s="268" t="s">
        <v>311</v>
      </c>
      <c r="H572" s="292">
        <f>F706</f>
        <v>121259.19958333333</v>
      </c>
      <c r="I572"/>
      <c r="J572"/>
      <c r="K572"/>
      <c r="L572" s="268" t="str">
        <f>E710</f>
        <v>WC 5</v>
      </c>
      <c r="M572" s="292">
        <f>F710</f>
        <v>121265.19958333333</v>
      </c>
      <c r="P572" s="268" t="str">
        <f>P548</f>
        <v>WC 7</v>
      </c>
      <c r="Q572" s="292">
        <f>Q548</f>
        <v>211449.22</v>
      </c>
      <c r="R572"/>
      <c r="U572" s="268" t="str">
        <f>E710</f>
        <v>WC 5</v>
      </c>
      <c r="V572" s="292">
        <f>F710</f>
        <v>121265.19958333333</v>
      </c>
      <c r="W572" s="268"/>
      <c r="X572" s="268"/>
      <c r="Y572" s="268" t="str">
        <f>E712</f>
        <v>WC 2</v>
      </c>
      <c r="Z572" s="292">
        <f>F712</f>
        <v>121273.52</v>
      </c>
    </row>
    <row r="573" spans="3:38">
      <c r="D573" s="268"/>
      <c r="H573" s="292"/>
      <c r="I573"/>
      <c r="J573"/>
      <c r="K573"/>
      <c r="Q573" s="292"/>
      <c r="R573"/>
      <c r="U573" s="268"/>
      <c r="V573" s="268"/>
      <c r="W573" s="268"/>
      <c r="X573" s="268"/>
      <c r="Y573" s="268"/>
      <c r="Z573" s="292"/>
    </row>
    <row r="574" spans="3:38">
      <c r="C574"/>
      <c r="D574"/>
      <c r="E574"/>
      <c r="F574"/>
      <c r="G574"/>
      <c r="H574"/>
      <c r="I574"/>
      <c r="J574"/>
      <c r="K574"/>
      <c r="L574"/>
      <c r="M574"/>
      <c r="N574"/>
      <c r="O574"/>
      <c r="P574"/>
      <c r="Q574"/>
      <c r="R574"/>
    </row>
    <row r="575" spans="3:38">
      <c r="D575" s="268"/>
      <c r="H575" s="292"/>
      <c r="I575"/>
      <c r="J575"/>
      <c r="K575"/>
      <c r="Q575" s="292"/>
      <c r="R575"/>
      <c r="U575" s="268"/>
      <c r="V575" s="268"/>
      <c r="W575" s="268"/>
      <c r="X575" s="268"/>
      <c r="Y575" s="268"/>
      <c r="Z575" s="292"/>
    </row>
    <row r="576" spans="3:38">
      <c r="D576" s="268"/>
      <c r="I576"/>
      <c r="J576"/>
      <c r="K576"/>
      <c r="R576"/>
      <c r="U576" s="268"/>
      <c r="V576" s="268"/>
      <c r="W576" s="268"/>
      <c r="X576" s="268"/>
      <c r="Y576" s="268"/>
      <c r="Z576" s="268"/>
    </row>
    <row r="577" spans="3:26">
      <c r="D577" s="268"/>
      <c r="H577" s="292"/>
      <c r="I577"/>
      <c r="J577"/>
      <c r="K577"/>
      <c r="Q577" s="292"/>
      <c r="R577"/>
      <c r="U577" s="268"/>
      <c r="V577" s="268"/>
      <c r="W577" s="268"/>
      <c r="X577" s="268"/>
      <c r="Y577" s="268"/>
      <c r="Z577" s="292"/>
    </row>
    <row r="578" spans="3:26">
      <c r="C578" s="268" t="s">
        <v>356</v>
      </c>
      <c r="D578" s="712">
        <f>ROUNDDOWN(D572,0)</f>
        <v>211444</v>
      </c>
      <c r="G578" s="268" t="s">
        <v>356</v>
      </c>
      <c r="H578" s="712">
        <f>ROUNDDOWN(H572,0)</f>
        <v>121259</v>
      </c>
      <c r="I578"/>
      <c r="J578"/>
      <c r="K578"/>
      <c r="L578" s="268" t="s">
        <v>356</v>
      </c>
      <c r="M578" s="712">
        <f>ROUNDDOWN(M572,0)</f>
        <v>121265</v>
      </c>
      <c r="P578" s="268" t="s">
        <v>356</v>
      </c>
      <c r="Q578" s="712">
        <f>ROUNDDOWN(Q572,0)</f>
        <v>211449</v>
      </c>
      <c r="R578"/>
      <c r="U578" s="268" t="s">
        <v>356</v>
      </c>
      <c r="V578" s="712">
        <f>ROUNDDOWN(V572,0)</f>
        <v>121265</v>
      </c>
      <c r="W578" s="268"/>
      <c r="X578" s="268"/>
      <c r="Y578" s="268" t="s">
        <v>356</v>
      </c>
      <c r="Z578" s="712">
        <f>ROUNDDOWN(Z572,0)</f>
        <v>121273</v>
      </c>
    </row>
    <row r="579" spans="3:26">
      <c r="D579" s="268"/>
      <c r="H579" s="292"/>
      <c r="I579"/>
      <c r="J579"/>
      <c r="K579"/>
      <c r="Q579" s="292"/>
      <c r="R579"/>
      <c r="U579" s="268"/>
      <c r="V579" s="268"/>
      <c r="W579" s="268"/>
      <c r="X579" s="268"/>
      <c r="Y579" s="268"/>
      <c r="Z579" s="292"/>
    </row>
    <row r="580" spans="3:26">
      <c r="D580" s="268"/>
      <c r="G580" s="268" t="s">
        <v>364</v>
      </c>
      <c r="H580" s="712">
        <f>H578-D578</f>
        <v>-90185</v>
      </c>
      <c r="I580"/>
      <c r="J580"/>
      <c r="K580"/>
      <c r="P580" s="268" t="s">
        <v>364</v>
      </c>
      <c r="Q580" s="712">
        <f>Q578-M578</f>
        <v>90184</v>
      </c>
      <c r="R580"/>
      <c r="U580" s="268"/>
      <c r="V580" s="268"/>
      <c r="W580" s="268"/>
      <c r="X580" s="268"/>
      <c r="Y580" s="268" t="s">
        <v>364</v>
      </c>
      <c r="Z580" s="712">
        <f>Z578-V578</f>
        <v>8</v>
      </c>
    </row>
    <row r="581" spans="3:26">
      <c r="D581" s="268"/>
      <c r="H581" s="292"/>
      <c r="I581"/>
      <c r="J581"/>
      <c r="K581"/>
      <c r="Q581" s="292"/>
      <c r="R581"/>
      <c r="U581" s="268"/>
      <c r="V581" s="268"/>
      <c r="W581" s="268"/>
      <c r="X581" s="268"/>
      <c r="Y581" s="268"/>
      <c r="Z581" s="292"/>
    </row>
    <row r="582" spans="3:26">
      <c r="D582" s="268"/>
      <c r="G582" s="268" t="s">
        <v>367</v>
      </c>
      <c r="H582" s="712">
        <f>H580*12</f>
        <v>-1082220</v>
      </c>
      <c r="I582"/>
      <c r="J582"/>
      <c r="K582"/>
      <c r="P582" s="268" t="s">
        <v>367</v>
      </c>
      <c r="Q582" s="712">
        <f>Q580*12</f>
        <v>1082208</v>
      </c>
      <c r="R582"/>
      <c r="U582" s="268"/>
      <c r="V582" s="268"/>
      <c r="W582" s="268"/>
      <c r="X582" s="268"/>
      <c r="Y582" s="268" t="s">
        <v>367</v>
      </c>
      <c r="Z582" s="712">
        <f>Z580*12</f>
        <v>96</v>
      </c>
    </row>
    <row r="583" spans="3:26">
      <c r="D583" s="268"/>
      <c r="H583" s="292"/>
      <c r="I583"/>
      <c r="J583"/>
      <c r="K583"/>
      <c r="Q583" s="292"/>
      <c r="R583"/>
      <c r="U583" s="268"/>
      <c r="V583" s="268"/>
      <c r="W583" s="268"/>
      <c r="X583" s="268"/>
      <c r="Y583" s="268"/>
      <c r="Z583" s="292"/>
    </row>
    <row r="584" spans="3:26">
      <c r="D584" s="268"/>
      <c r="H584" s="292"/>
      <c r="I584"/>
      <c r="J584"/>
      <c r="K584"/>
      <c r="Q584" s="292"/>
      <c r="R584"/>
      <c r="U584" s="268"/>
      <c r="V584" s="268"/>
      <c r="W584" s="268"/>
      <c r="X584" s="268"/>
      <c r="Y584" s="268"/>
      <c r="Z584" s="292"/>
    </row>
    <row r="585" spans="3:26">
      <c r="C585" s="268" t="s">
        <v>361</v>
      </c>
      <c r="D585" s="712">
        <f>MOD(D572,1)</f>
        <v>0.45666666701436043</v>
      </c>
      <c r="G585" s="268" t="s">
        <v>361</v>
      </c>
      <c r="H585" s="712">
        <f>MOD(H572,1)</f>
        <v>0.19958333333488554</v>
      </c>
      <c r="I585"/>
      <c r="J585"/>
      <c r="K585"/>
      <c r="L585" s="268" t="s">
        <v>361</v>
      </c>
      <c r="M585" s="712">
        <f>MOD(M572,1)</f>
        <v>0.19958333333488554</v>
      </c>
      <c r="P585" s="268" t="s">
        <v>361</v>
      </c>
      <c r="Q585" s="712">
        <f>MOD(Q572,1)</f>
        <v>0.22000000000116415</v>
      </c>
      <c r="R585"/>
      <c r="U585" s="268" t="s">
        <v>361</v>
      </c>
      <c r="V585" s="712">
        <f>MOD(V572,1)</f>
        <v>0.19958333333488554</v>
      </c>
      <c r="W585" s="268"/>
      <c r="X585" s="268"/>
      <c r="Y585" s="268" t="s">
        <v>361</v>
      </c>
      <c r="Z585" s="712">
        <f>MOD(Z572,1)</f>
        <v>0.52000000000407454</v>
      </c>
    </row>
    <row r="586" spans="3:26">
      <c r="D586" s="268"/>
      <c r="H586" s="292"/>
      <c r="I586"/>
      <c r="J586"/>
      <c r="K586"/>
      <c r="Q586" s="292"/>
      <c r="R586"/>
      <c r="U586" s="268"/>
      <c r="V586" s="268"/>
      <c r="W586" s="268"/>
      <c r="X586" s="268"/>
      <c r="Y586" s="268"/>
      <c r="Z586" s="292"/>
    </row>
    <row r="587" spans="3:26">
      <c r="C587" s="268" t="s">
        <v>362</v>
      </c>
      <c r="D587" s="395">
        <f>D585*12</f>
        <v>5.4800000041723251</v>
      </c>
      <c r="G587" s="268" t="s">
        <v>362</v>
      </c>
      <c r="H587" s="712">
        <f>H585*12</f>
        <v>2.3950000000186265</v>
      </c>
      <c r="I587"/>
      <c r="J587"/>
      <c r="K587"/>
      <c r="L587" s="268" t="s">
        <v>362</v>
      </c>
      <c r="M587" s="395">
        <f>M585*12</f>
        <v>2.3950000000186265</v>
      </c>
      <c r="P587" s="268" t="s">
        <v>362</v>
      </c>
      <c r="Q587" s="712">
        <f>Q585*12</f>
        <v>2.6400000000139698</v>
      </c>
      <c r="R587"/>
      <c r="U587" s="268" t="s">
        <v>362</v>
      </c>
      <c r="V587" s="395">
        <f>V585*12</f>
        <v>2.3950000000186265</v>
      </c>
      <c r="W587" s="268"/>
      <c r="X587" s="268"/>
      <c r="Y587" s="268" t="s">
        <v>362</v>
      </c>
      <c r="Z587" s="712">
        <f>Z585*12</f>
        <v>6.2400000000488944</v>
      </c>
    </row>
    <row r="588" spans="3:26">
      <c r="D588" s="268"/>
      <c r="H588" s="292"/>
      <c r="I588"/>
      <c r="J588"/>
      <c r="K588"/>
      <c r="Q588" s="292"/>
      <c r="R588"/>
      <c r="U588" s="268"/>
      <c r="V588" s="268"/>
      <c r="W588" s="268"/>
      <c r="X588" s="268"/>
      <c r="Y588" s="268"/>
      <c r="Z588" s="292"/>
    </row>
    <row r="589" spans="3:26">
      <c r="C589" s="268" t="s">
        <v>366</v>
      </c>
      <c r="D589" s="395">
        <f>D587</f>
        <v>5.4800000041723251</v>
      </c>
      <c r="G589" s="268" t="s">
        <v>366</v>
      </c>
      <c r="H589" s="712">
        <f>H587+H582</f>
        <v>-1082217.605</v>
      </c>
      <c r="I589"/>
      <c r="J589"/>
      <c r="K589"/>
      <c r="L589" s="268" t="s">
        <v>366</v>
      </c>
      <c r="M589" s="395">
        <f>M587</f>
        <v>2.3950000000186265</v>
      </c>
      <c r="P589" s="268" t="s">
        <v>366</v>
      </c>
      <c r="Q589" s="712">
        <f>Q587+Q582</f>
        <v>1082210.6400000001</v>
      </c>
      <c r="R589"/>
      <c r="U589" s="268" t="s">
        <v>366</v>
      </c>
      <c r="V589" s="395">
        <f>V587</f>
        <v>2.3950000000186265</v>
      </c>
      <c r="W589" s="268"/>
      <c r="X589" s="268"/>
      <c r="Y589" s="268" t="s">
        <v>366</v>
      </c>
      <c r="Z589" s="712">
        <f>Z587+Z582</f>
        <v>102.24000000004889</v>
      </c>
    </row>
    <row r="590" spans="3:26">
      <c r="D590" s="268"/>
      <c r="H590" s="292"/>
      <c r="I590"/>
      <c r="J590"/>
      <c r="K590"/>
      <c r="Q590" s="292"/>
      <c r="R590"/>
      <c r="U590" s="268"/>
      <c r="V590" s="268"/>
      <c r="W590" s="268"/>
      <c r="X590" s="268"/>
    </row>
    <row r="591" spans="3:26">
      <c r="D591" s="268"/>
      <c r="E591" s="268" t="s">
        <v>374</v>
      </c>
      <c r="F591" s="712">
        <f>IF(G7="N/A","N/A",H589-D589)</f>
        <v>-1082223.0850000042</v>
      </c>
      <c r="H591" s="292"/>
      <c r="I591"/>
      <c r="J591"/>
      <c r="K591"/>
      <c r="N591" s="268" t="s">
        <v>374</v>
      </c>
      <c r="O591" s="712">
        <f>IF(G8="N/A","N/A",Q589-M589)</f>
        <v>1082208.2450000001</v>
      </c>
      <c r="Q591" s="292"/>
      <c r="R591"/>
      <c r="U591" s="268"/>
      <c r="V591" s="268"/>
      <c r="W591" s="268" t="s">
        <v>374</v>
      </c>
      <c r="X591" s="712">
        <f>IF(Z572=0,"",Z589-V589)</f>
        <v>99.845000000030268</v>
      </c>
    </row>
    <row r="604" spans="3:19">
      <c r="C604"/>
      <c r="D604" s="268" t="s">
        <v>396</v>
      </c>
      <c r="E604" s="268" t="s">
        <v>387</v>
      </c>
      <c r="F604" s="268" t="s">
        <v>397</v>
      </c>
      <c r="J604" s="268" t="s">
        <v>396</v>
      </c>
      <c r="K604" s="292">
        <f>D605</f>
        <v>121250.01</v>
      </c>
      <c r="N604" s="268" t="s">
        <v>387</v>
      </c>
      <c r="O604" s="292">
        <f>E605</f>
        <v>121251.01</v>
      </c>
      <c r="R604" s="268" t="s">
        <v>397</v>
      </c>
      <c r="S604" s="292">
        <f>F605</f>
        <v>121252.01</v>
      </c>
    </row>
    <row r="605" spans="3:19">
      <c r="C605"/>
      <c r="D605" s="712">
        <f>E632</f>
        <v>121250.01</v>
      </c>
      <c r="E605" s="962">
        <f>D95</f>
        <v>121251.01</v>
      </c>
      <c r="F605" s="712">
        <f>E634</f>
        <v>121252.01</v>
      </c>
      <c r="O605" s="292"/>
      <c r="S605" s="292"/>
    </row>
    <row r="606" spans="3:19">
      <c r="C606"/>
      <c r="D606" s="268"/>
      <c r="J606" s="320"/>
      <c r="K606" s="320"/>
      <c r="L606" s="320"/>
      <c r="M606" s="320"/>
      <c r="N606" s="320"/>
      <c r="O606" s="320"/>
      <c r="Q606" s="320"/>
      <c r="R606" s="320"/>
      <c r="S606" s="320"/>
    </row>
    <row r="607" spans="3:19">
      <c r="C607"/>
      <c r="D607" s="268"/>
      <c r="G607" s="268">
        <v>1</v>
      </c>
      <c r="H607" s="268" t="s">
        <v>75</v>
      </c>
      <c r="O607" s="292"/>
      <c r="S607" s="292"/>
    </row>
    <row r="608" spans="3:19">
      <c r="C608"/>
      <c r="D608" s="268"/>
      <c r="G608" s="268">
        <v>0</v>
      </c>
      <c r="H608" s="268" t="s">
        <v>362</v>
      </c>
      <c r="S608" s="268"/>
    </row>
    <row r="609" spans="3:19">
      <c r="C609"/>
      <c r="D609" s="268" t="s">
        <v>356</v>
      </c>
      <c r="E609" s="712">
        <f>ROUNDDOWN(E605,0)</f>
        <v>121251</v>
      </c>
      <c r="O609" s="292"/>
      <c r="S609" s="292"/>
    </row>
    <row r="610" spans="3:19">
      <c r="C610"/>
      <c r="D610" s="268"/>
      <c r="J610" s="268" t="s">
        <v>356</v>
      </c>
      <c r="K610" s="712">
        <f>ROUNDDOWN(K604,0)</f>
        <v>121250</v>
      </c>
      <c r="N610" s="268" t="s">
        <v>356</v>
      </c>
      <c r="O610" s="712">
        <f>ROUNDDOWN(O604,0)</f>
        <v>121251</v>
      </c>
      <c r="R610" s="268" t="s">
        <v>356</v>
      </c>
      <c r="S610" s="712">
        <f>ROUNDDOWN(S604,0)</f>
        <v>121252</v>
      </c>
    </row>
    <row r="611" spans="3:19">
      <c r="C611"/>
      <c r="D611" s="268" t="s">
        <v>361</v>
      </c>
      <c r="E611" s="712">
        <f>MOD(E605,1)</f>
        <v>9.9999999947613105E-3</v>
      </c>
      <c r="O611" s="292"/>
      <c r="S611" s="292"/>
    </row>
    <row r="612" spans="3:19">
      <c r="C612"/>
      <c r="D612" s="268"/>
      <c r="N612" s="268" t="s">
        <v>364</v>
      </c>
      <c r="O612" s="712">
        <f>ABS(O610-K610)</f>
        <v>1</v>
      </c>
      <c r="R612" s="268" t="s">
        <v>364</v>
      </c>
      <c r="S612" s="712">
        <f>ABS(S610-O610)</f>
        <v>1</v>
      </c>
    </row>
    <row r="613" spans="3:19">
      <c r="C613"/>
      <c r="D613" s="268" t="s">
        <v>362</v>
      </c>
      <c r="E613" s="395">
        <f>E611*12</f>
        <v>0.11999999993713573</v>
      </c>
      <c r="G613" s="268" t="s">
        <v>363</v>
      </c>
      <c r="H613" s="268">
        <f>G607*12</f>
        <v>12</v>
      </c>
      <c r="O613" s="292"/>
      <c r="S613" s="292"/>
    </row>
    <row r="614" spans="3:19">
      <c r="C614"/>
      <c r="D614" s="268"/>
      <c r="N614" s="268" t="s">
        <v>367</v>
      </c>
      <c r="O614" s="712">
        <f>O612*12</f>
        <v>12</v>
      </c>
      <c r="R614" s="268" t="s">
        <v>367</v>
      </c>
      <c r="S614" s="712">
        <f>S612*12</f>
        <v>12</v>
      </c>
    </row>
    <row r="615" spans="3:19">
      <c r="C615"/>
      <c r="D615" s="268" t="s">
        <v>366</v>
      </c>
      <c r="E615" s="395">
        <f>E613</f>
        <v>0.11999999993713573</v>
      </c>
      <c r="G615" s="268" t="s">
        <v>366</v>
      </c>
      <c r="H615" s="395">
        <f>G608</f>
        <v>0</v>
      </c>
      <c r="O615" s="292"/>
      <c r="S615" s="292"/>
    </row>
    <row r="616" spans="3:19">
      <c r="C616"/>
      <c r="D616" s="268"/>
      <c r="H616" s="268">
        <f>H615+H613</f>
        <v>12</v>
      </c>
      <c r="O616" s="292"/>
      <c r="S616" s="292"/>
    </row>
    <row r="617" spans="3:19">
      <c r="C617"/>
      <c r="D617" s="268"/>
      <c r="J617" s="268" t="s">
        <v>361</v>
      </c>
      <c r="K617" s="712">
        <f>MOD(K604,1)</f>
        <v>9.9999999947613105E-3</v>
      </c>
      <c r="N617" s="268" t="s">
        <v>361</v>
      </c>
      <c r="O617" s="712">
        <f>MOD(O604,1)</f>
        <v>9.9999999947613105E-3</v>
      </c>
      <c r="R617" s="268" t="s">
        <v>361</v>
      </c>
      <c r="S617" s="712">
        <f>MOD(S604,1)</f>
        <v>9.9999999947613105E-3</v>
      </c>
    </row>
    <row r="618" spans="3:19">
      <c r="C618"/>
      <c r="D618" s="268" t="s">
        <v>370</v>
      </c>
      <c r="E618" s="268">
        <f>H615+H613</f>
        <v>12</v>
      </c>
      <c r="O618" s="292"/>
      <c r="S618" s="292"/>
    </row>
    <row r="619" spans="3:19">
      <c r="C619"/>
      <c r="D619" s="268"/>
      <c r="J619" s="268" t="s">
        <v>362</v>
      </c>
      <c r="K619" s="395">
        <f>K617*12</f>
        <v>0.11999999993713573</v>
      </c>
      <c r="N619" s="268" t="s">
        <v>362</v>
      </c>
      <c r="O619" s="712">
        <f>O617*12</f>
        <v>0.11999999993713573</v>
      </c>
      <c r="R619" s="268" t="s">
        <v>362</v>
      </c>
      <c r="S619" s="712">
        <f>S617*12</f>
        <v>0.11999999993713573</v>
      </c>
    </row>
    <row r="620" spans="3:19">
      <c r="C620"/>
      <c r="D620" s="594" t="s">
        <v>372</v>
      </c>
      <c r="E620" s="589">
        <f>E618/12</f>
        <v>1</v>
      </c>
      <c r="H620" s="292">
        <f>MOD(E632,1)</f>
        <v>9.9999999947613105E-3</v>
      </c>
      <c r="O620" s="292"/>
      <c r="S620" s="292"/>
    </row>
    <row r="621" spans="3:19">
      <c r="C621"/>
      <c r="D621" s="268"/>
      <c r="J621" s="268" t="s">
        <v>366</v>
      </c>
      <c r="K621" s="395">
        <f>K619</f>
        <v>0.11999999993713573</v>
      </c>
      <c r="N621" s="268" t="s">
        <v>366</v>
      </c>
      <c r="O621" s="712">
        <f>O619+O614</f>
        <v>12.119999999937136</v>
      </c>
      <c r="R621" s="268" t="s">
        <v>366</v>
      </c>
      <c r="S621" s="712">
        <f>S619+S614</f>
        <v>12.119999999937136</v>
      </c>
    </row>
    <row r="622" spans="3:19">
      <c r="C622"/>
      <c r="D622" s="268" t="s">
        <v>356</v>
      </c>
      <c r="E622" s="712">
        <f>ROUNDDOWN(E620,0)</f>
        <v>1</v>
      </c>
      <c r="H622" s="268">
        <f>H620*12</f>
        <v>0.11999999993713573</v>
      </c>
      <c r="O622" s="292"/>
      <c r="S622" s="292"/>
    </row>
    <row r="623" spans="3:19">
      <c r="C623"/>
      <c r="D623" s="268"/>
      <c r="L623" s="268" t="s">
        <v>374</v>
      </c>
      <c r="M623" s="712">
        <f>O621-K621</f>
        <v>12</v>
      </c>
      <c r="O623" s="292"/>
      <c r="Q623" s="712">
        <f>S621-O619</f>
        <v>12</v>
      </c>
      <c r="S623" s="292"/>
    </row>
    <row r="624" spans="3:19">
      <c r="C624"/>
      <c r="D624" s="268" t="s">
        <v>361</v>
      </c>
      <c r="E624" s="712">
        <f>MOD(E620,1)</f>
        <v>0</v>
      </c>
      <c r="H624" s="268">
        <f>E615-H622</f>
        <v>0</v>
      </c>
    </row>
    <row r="625" spans="3:15">
      <c r="C625"/>
      <c r="D625" s="268"/>
      <c r="O625" s="292">
        <f>M623+Q623</f>
        <v>24</v>
      </c>
    </row>
    <row r="626" spans="3:15">
      <c r="C626"/>
      <c r="D626" s="268" t="s">
        <v>362</v>
      </c>
      <c r="E626" s="395">
        <f>E624*12</f>
        <v>0</v>
      </c>
      <c r="G626" s="268" t="s">
        <v>356</v>
      </c>
      <c r="H626" s="292">
        <f>ROUNDDOWN(E632,0)</f>
        <v>121250</v>
      </c>
    </row>
    <row r="627" spans="3:15">
      <c r="C627"/>
      <c r="D627" s="268"/>
      <c r="J627" s="292"/>
      <c r="N627" s="292"/>
    </row>
    <row r="628" spans="3:15">
      <c r="C628"/>
      <c r="D628" s="268"/>
      <c r="E628" s="594">
        <f>E626/12</f>
        <v>0</v>
      </c>
      <c r="H628" s="292">
        <f>E609-H626</f>
        <v>1</v>
      </c>
      <c r="J628" s="292"/>
      <c r="N628" s="292"/>
    </row>
    <row r="629" spans="3:15">
      <c r="C629"/>
      <c r="D629" s="268"/>
      <c r="J629" s="320"/>
      <c r="K629" s="320"/>
      <c r="L629" s="320"/>
      <c r="M629" s="320"/>
      <c r="N629" s="320"/>
    </row>
    <row r="630" spans="3:15">
      <c r="C630"/>
      <c r="D630" s="268"/>
      <c r="E630" s="589">
        <f>E622+E628</f>
        <v>1</v>
      </c>
      <c r="H630" s="268">
        <f>H628*12</f>
        <v>12</v>
      </c>
      <c r="J630" s="320"/>
    </row>
    <row r="631" spans="3:15">
      <c r="C631"/>
      <c r="D631" s="268"/>
      <c r="J631" s="320"/>
    </row>
    <row r="632" spans="3:15">
      <c r="C632"/>
      <c r="D632" s="594" t="s">
        <v>311</v>
      </c>
      <c r="E632" s="924">
        <f>E605-E630</f>
        <v>121250.01</v>
      </c>
      <c r="H632" s="268">
        <f>H630+H624</f>
        <v>12</v>
      </c>
    </row>
    <row r="633" spans="3:15">
      <c r="C633"/>
      <c r="D633" s="268"/>
      <c r="E633" s="925"/>
    </row>
    <row r="634" spans="3:15">
      <c r="C634"/>
      <c r="D634" s="594" t="s">
        <v>311</v>
      </c>
      <c r="E634" s="924">
        <f>E605+E630</f>
        <v>121252.01</v>
      </c>
    </row>
    <row r="635" spans="3:15">
      <c r="C635"/>
      <c r="D635" s="268"/>
      <c r="H635" s="268">
        <f>H632/12</f>
        <v>1</v>
      </c>
    </row>
    <row r="636" spans="3:15">
      <c r="C636"/>
      <c r="D636" s="268"/>
    </row>
    <row r="637" spans="3:15">
      <c r="C637"/>
      <c r="D637" s="268"/>
      <c r="G637" s="268" t="s">
        <v>356</v>
      </c>
      <c r="H637" s="712">
        <f>ROUNDDOWN(H635,0)</f>
        <v>1</v>
      </c>
      <c r="I637" s="268" t="s">
        <v>75</v>
      </c>
    </row>
    <row r="638" spans="3:15">
      <c r="C638"/>
      <c r="D638" s="268"/>
      <c r="I638"/>
    </row>
    <row r="639" spans="3:15">
      <c r="C639"/>
      <c r="D639" s="268"/>
      <c r="G639" s="268" t="s">
        <v>361</v>
      </c>
      <c r="H639" s="712">
        <f>MOD(H635,1)</f>
        <v>0</v>
      </c>
      <c r="I639"/>
    </row>
    <row r="640" spans="3:15">
      <c r="C640"/>
      <c r="D640" s="268"/>
      <c r="I640"/>
    </row>
    <row r="641" spans="3:19">
      <c r="C641"/>
      <c r="D641" s="268"/>
      <c r="G641" s="268" t="s">
        <v>362</v>
      </c>
      <c r="H641" s="395">
        <f>H639*12</f>
        <v>0</v>
      </c>
      <c r="I641"/>
    </row>
    <row r="642" spans="3:19">
      <c r="C642"/>
    </row>
    <row r="643" spans="3:19">
      <c r="C643"/>
    </row>
    <row r="644" spans="3:19">
      <c r="C644"/>
    </row>
    <row r="645" spans="3:19">
      <c r="C645"/>
    </row>
    <row r="646" spans="3:19">
      <c r="C646"/>
    </row>
    <row r="647" spans="3:19">
      <c r="C647"/>
    </row>
    <row r="648" spans="3:19">
      <c r="C648"/>
    </row>
    <row r="649" spans="3:19">
      <c r="C649"/>
      <c r="D649" s="268" t="s">
        <v>398</v>
      </c>
      <c r="E649" s="268" t="s">
        <v>388</v>
      </c>
      <c r="F649" s="268" t="s">
        <v>399</v>
      </c>
      <c r="J649" s="268" t="s">
        <v>398</v>
      </c>
      <c r="K649" s="292">
        <f>D650</f>
        <v>121272.52</v>
      </c>
      <c r="N649" s="268" t="s">
        <v>388</v>
      </c>
      <c r="O649" s="292">
        <f>E650</f>
        <v>121273.52</v>
      </c>
      <c r="R649" s="268" t="s">
        <v>399</v>
      </c>
      <c r="S649" s="292">
        <f>F650</f>
        <v>121274.52</v>
      </c>
    </row>
    <row r="650" spans="3:19">
      <c r="C650"/>
      <c r="D650" s="712">
        <f>E677</f>
        <v>121272.52</v>
      </c>
      <c r="E650" s="962">
        <f>E95</f>
        <v>121273.52</v>
      </c>
      <c r="F650" s="712">
        <f>E679</f>
        <v>121274.52</v>
      </c>
      <c r="O650" s="292"/>
      <c r="S650" s="292"/>
    </row>
    <row r="651" spans="3:19">
      <c r="C651"/>
      <c r="D651" s="268"/>
      <c r="J651" s="320"/>
      <c r="K651" s="320"/>
      <c r="L651" s="320"/>
      <c r="M651" s="320"/>
      <c r="N651" s="320"/>
      <c r="O651" s="320"/>
      <c r="Q651" s="320"/>
      <c r="R651" s="320"/>
      <c r="S651" s="320"/>
    </row>
    <row r="652" spans="3:19">
      <c r="C652"/>
      <c r="D652" s="268"/>
      <c r="G652" s="268">
        <v>1</v>
      </c>
      <c r="H652" s="268" t="s">
        <v>75</v>
      </c>
      <c r="O652" s="292"/>
      <c r="S652" s="292"/>
    </row>
    <row r="653" spans="3:19">
      <c r="C653"/>
      <c r="D653" s="268"/>
      <c r="G653" s="268">
        <v>0</v>
      </c>
      <c r="H653" s="268" t="s">
        <v>362</v>
      </c>
      <c r="S653" s="268"/>
    </row>
    <row r="654" spans="3:19">
      <c r="C654"/>
      <c r="D654" s="268" t="s">
        <v>356</v>
      </c>
      <c r="E654" s="712">
        <f>ROUNDDOWN(E650,0)</f>
        <v>121273</v>
      </c>
      <c r="O654" s="292"/>
      <c r="S654" s="292"/>
    </row>
    <row r="655" spans="3:19">
      <c r="C655"/>
      <c r="D655" s="268"/>
      <c r="J655" s="268" t="s">
        <v>356</v>
      </c>
      <c r="K655" s="712">
        <f>ROUNDDOWN(K649,0)</f>
        <v>121272</v>
      </c>
      <c r="N655" s="268" t="s">
        <v>356</v>
      </c>
      <c r="O655" s="712">
        <f>ROUNDDOWN(O649,0)</f>
        <v>121273</v>
      </c>
      <c r="R655" s="268" t="s">
        <v>356</v>
      </c>
      <c r="S655" s="712">
        <f>ROUNDDOWN(S649,0)</f>
        <v>121274</v>
      </c>
    </row>
    <row r="656" spans="3:19">
      <c r="C656"/>
      <c r="D656" s="268" t="s">
        <v>361</v>
      </c>
      <c r="E656" s="712">
        <f>MOD(E650,1)</f>
        <v>0.52000000000407454</v>
      </c>
      <c r="O656" s="292"/>
      <c r="S656" s="292"/>
    </row>
    <row r="657" spans="3:19">
      <c r="C657"/>
      <c r="D657" s="268"/>
      <c r="N657" s="268" t="s">
        <v>364</v>
      </c>
      <c r="O657" s="712">
        <f>ABS(O655-K655)</f>
        <v>1</v>
      </c>
      <c r="R657" s="268" t="s">
        <v>364</v>
      </c>
      <c r="S657" s="712">
        <f>ABS(S655-O655)</f>
        <v>1</v>
      </c>
    </row>
    <row r="658" spans="3:19">
      <c r="C658"/>
      <c r="D658" s="268" t="s">
        <v>362</v>
      </c>
      <c r="E658" s="395">
        <f>E656*12</f>
        <v>6.2400000000488944</v>
      </c>
      <c r="G658" s="268" t="s">
        <v>363</v>
      </c>
      <c r="H658" s="268">
        <f>G652*12</f>
        <v>12</v>
      </c>
      <c r="O658" s="292"/>
      <c r="S658" s="292"/>
    </row>
    <row r="659" spans="3:19">
      <c r="C659"/>
      <c r="D659" s="268"/>
      <c r="N659" s="268" t="s">
        <v>367</v>
      </c>
      <c r="O659" s="712">
        <f>O657*12</f>
        <v>12</v>
      </c>
      <c r="R659" s="268" t="s">
        <v>367</v>
      </c>
      <c r="S659" s="712">
        <f>S657*12</f>
        <v>12</v>
      </c>
    </row>
    <row r="660" spans="3:19">
      <c r="C660"/>
      <c r="D660" s="268" t="s">
        <v>366</v>
      </c>
      <c r="E660" s="395">
        <f>E658</f>
        <v>6.2400000000488944</v>
      </c>
      <c r="G660" s="268" t="s">
        <v>366</v>
      </c>
      <c r="H660" s="395">
        <f>G653</f>
        <v>0</v>
      </c>
      <c r="O660" s="292"/>
      <c r="S660" s="292"/>
    </row>
    <row r="661" spans="3:19">
      <c r="C661"/>
      <c r="D661" s="268"/>
      <c r="H661" s="268">
        <f>H660+H658</f>
        <v>12</v>
      </c>
      <c r="O661" s="292"/>
      <c r="S661" s="292"/>
    </row>
    <row r="662" spans="3:19">
      <c r="C662"/>
      <c r="D662" s="268"/>
      <c r="J662" s="268" t="s">
        <v>361</v>
      </c>
      <c r="K662" s="712">
        <f>MOD(K649,1)</f>
        <v>0.52000000000407454</v>
      </c>
      <c r="N662" s="268" t="s">
        <v>361</v>
      </c>
      <c r="O662" s="712">
        <f>MOD(O649,1)</f>
        <v>0.52000000000407454</v>
      </c>
      <c r="R662" s="268" t="s">
        <v>361</v>
      </c>
      <c r="S662" s="712">
        <f>MOD(S649,1)</f>
        <v>0.52000000000407454</v>
      </c>
    </row>
    <row r="663" spans="3:19">
      <c r="C663"/>
      <c r="D663" s="268" t="s">
        <v>370</v>
      </c>
      <c r="E663" s="268">
        <f>H660+H658</f>
        <v>12</v>
      </c>
      <c r="O663" s="292"/>
      <c r="S663" s="292"/>
    </row>
    <row r="664" spans="3:19">
      <c r="C664"/>
      <c r="D664" s="268"/>
      <c r="J664" s="268" t="s">
        <v>362</v>
      </c>
      <c r="K664" s="395">
        <f>K662*12</f>
        <v>6.2400000000488944</v>
      </c>
      <c r="N664" s="268" t="s">
        <v>362</v>
      </c>
      <c r="O664" s="712">
        <f>O662*12</f>
        <v>6.2400000000488944</v>
      </c>
      <c r="R664" s="268" t="s">
        <v>362</v>
      </c>
      <c r="S664" s="712">
        <f>S662*12</f>
        <v>6.2400000000488944</v>
      </c>
    </row>
    <row r="665" spans="3:19">
      <c r="C665"/>
      <c r="D665" s="594" t="s">
        <v>372</v>
      </c>
      <c r="E665" s="589">
        <f>E663/12</f>
        <v>1</v>
      </c>
      <c r="H665" s="292">
        <f>MOD(E677,1)</f>
        <v>0.52000000000407454</v>
      </c>
      <c r="O665" s="292"/>
      <c r="S665" s="292"/>
    </row>
    <row r="666" spans="3:19">
      <c r="C666"/>
      <c r="D666" s="268"/>
      <c r="J666" s="268" t="s">
        <v>366</v>
      </c>
      <c r="K666" s="395">
        <f>K664</f>
        <v>6.2400000000488944</v>
      </c>
      <c r="N666" s="268" t="s">
        <v>366</v>
      </c>
      <c r="O666" s="712">
        <f>O664+O659</f>
        <v>18.240000000048894</v>
      </c>
      <c r="R666" s="268" t="s">
        <v>366</v>
      </c>
      <c r="S666" s="712">
        <f>S664+S659</f>
        <v>18.240000000048894</v>
      </c>
    </row>
    <row r="667" spans="3:19">
      <c r="C667"/>
      <c r="D667" s="268" t="s">
        <v>356</v>
      </c>
      <c r="E667" s="712">
        <f>ROUNDDOWN(E665,0)</f>
        <v>1</v>
      </c>
      <c r="H667" s="268">
        <f>H665*12</f>
        <v>6.2400000000488944</v>
      </c>
      <c r="O667" s="292"/>
      <c r="S667" s="292"/>
    </row>
    <row r="668" spans="3:19">
      <c r="C668"/>
      <c r="D668" s="268"/>
      <c r="L668" s="268" t="s">
        <v>374</v>
      </c>
      <c r="M668" s="712">
        <f>O666-K666</f>
        <v>12</v>
      </c>
      <c r="O668" s="292"/>
      <c r="Q668" s="712">
        <f>S666-O664</f>
        <v>12</v>
      </c>
      <c r="S668" s="292"/>
    </row>
    <row r="669" spans="3:19">
      <c r="C669"/>
      <c r="D669" s="268" t="s">
        <v>361</v>
      </c>
      <c r="E669" s="712">
        <f>MOD(E665,1)</f>
        <v>0</v>
      </c>
      <c r="H669" s="268">
        <f>E660-H667</f>
        <v>0</v>
      </c>
    </row>
    <row r="670" spans="3:19">
      <c r="C670"/>
      <c r="D670" s="268"/>
      <c r="O670" s="292">
        <f>M668+Q668</f>
        <v>24</v>
      </c>
    </row>
    <row r="671" spans="3:19">
      <c r="C671"/>
      <c r="D671" s="268" t="s">
        <v>362</v>
      </c>
      <c r="E671" s="395">
        <f>E669*12</f>
        <v>0</v>
      </c>
      <c r="G671" s="268" t="s">
        <v>356</v>
      </c>
      <c r="H671" s="292">
        <f>ROUNDDOWN(E677,0)</f>
        <v>121272</v>
      </c>
    </row>
    <row r="672" spans="3:19">
      <c r="C672"/>
      <c r="D672" s="268"/>
      <c r="J672" s="292"/>
      <c r="N672" s="292"/>
    </row>
    <row r="673" spans="3:14">
      <c r="C673"/>
      <c r="D673" s="268"/>
      <c r="E673" s="594">
        <f>E671/12</f>
        <v>0</v>
      </c>
      <c r="H673" s="292">
        <f>E654-H671</f>
        <v>1</v>
      </c>
      <c r="J673" s="292"/>
      <c r="N673" s="292"/>
    </row>
    <row r="674" spans="3:14">
      <c r="C674"/>
      <c r="D674" s="268"/>
      <c r="J674" s="320"/>
      <c r="K674" s="320"/>
      <c r="L674" s="320"/>
      <c r="M674" s="320"/>
      <c r="N674" s="320"/>
    </row>
    <row r="675" spans="3:14">
      <c r="C675"/>
      <c r="D675" s="268"/>
      <c r="E675" s="589">
        <f>E667+E673</f>
        <v>1</v>
      </c>
      <c r="H675" s="268">
        <f>H673*12</f>
        <v>12</v>
      </c>
      <c r="J675" s="320"/>
    </row>
    <row r="676" spans="3:14">
      <c r="C676"/>
      <c r="D676" s="268"/>
      <c r="J676" s="320"/>
    </row>
    <row r="677" spans="3:14">
      <c r="C677"/>
      <c r="D677" s="594" t="s">
        <v>311</v>
      </c>
      <c r="E677" s="924">
        <f>E650-E675</f>
        <v>121272.52</v>
      </c>
      <c r="H677" s="268">
        <f>H675+H669</f>
        <v>12</v>
      </c>
    </row>
    <row r="678" spans="3:14">
      <c r="C678"/>
      <c r="D678" s="268"/>
      <c r="E678" s="925"/>
    </row>
    <row r="679" spans="3:14">
      <c r="C679"/>
      <c r="D679" s="594" t="s">
        <v>311</v>
      </c>
      <c r="E679" s="924">
        <f>E650+E675</f>
        <v>121274.52</v>
      </c>
    </row>
    <row r="680" spans="3:14">
      <c r="C680"/>
      <c r="D680" s="268"/>
      <c r="H680" s="268">
        <f>H677/12</f>
        <v>1</v>
      </c>
    </row>
    <row r="681" spans="3:14">
      <c r="C681"/>
      <c r="D681" s="268"/>
    </row>
    <row r="682" spans="3:14">
      <c r="C682"/>
      <c r="D682" s="268"/>
      <c r="G682" s="268" t="s">
        <v>356</v>
      </c>
      <c r="H682" s="712">
        <f>ROUNDDOWN(H680,0)</f>
        <v>1</v>
      </c>
      <c r="I682" s="268" t="s">
        <v>75</v>
      </c>
    </row>
    <row r="683" spans="3:14">
      <c r="C683"/>
      <c r="D683" s="268"/>
      <c r="I683"/>
    </row>
    <row r="684" spans="3:14">
      <c r="C684"/>
      <c r="D684" s="268"/>
      <c r="G684" s="268" t="s">
        <v>361</v>
      </c>
      <c r="H684" s="712">
        <f>MOD(H680,1)</f>
        <v>0</v>
      </c>
      <c r="I684"/>
    </row>
    <row r="685" spans="3:14">
      <c r="C685"/>
      <c r="D685" s="268"/>
      <c r="I685"/>
    </row>
    <row r="686" spans="3:14">
      <c r="C686"/>
      <c r="D686" s="268"/>
      <c r="G686" s="268" t="s">
        <v>362</v>
      </c>
      <c r="H686" s="395">
        <f>H684*12</f>
        <v>0</v>
      </c>
      <c r="I686"/>
    </row>
    <row r="701" spans="5:7">
      <c r="E701" t="s">
        <v>365</v>
      </c>
      <c r="F701"/>
      <c r="G701"/>
    </row>
    <row r="702" spans="5:7">
      <c r="E702" t="s">
        <v>433</v>
      </c>
      <c r="F702">
        <v>211444.46</v>
      </c>
      <c r="G702"/>
    </row>
    <row r="703" spans="5:7">
      <c r="E703" s="375"/>
      <c r="F703"/>
      <c r="G703" t="s">
        <v>458</v>
      </c>
    </row>
    <row r="704" spans="5:7">
      <c r="E704" s="873" t="str">
        <f>IF(D2&lt;=G95,"WC 1","WC 4")</f>
        <v>WC 1</v>
      </c>
      <c r="F704" s="873">
        <f>IF(D2&lt;=G95,D2,G95)</f>
        <v>121251.01</v>
      </c>
      <c r="G704" t="s">
        <v>458</v>
      </c>
    </row>
    <row r="705" spans="5:7">
      <c r="E705" s="375"/>
      <c r="F705"/>
      <c r="G705"/>
    </row>
    <row r="706" spans="5:7">
      <c r="E706" s="873" t="str">
        <f>IF(D2&gt;G95,"WC 1","WC 4")</f>
        <v>WC 4</v>
      </c>
      <c r="F706" s="873">
        <f>IF(D2&gt;G95,D2,G95)</f>
        <v>121259.19958333333</v>
      </c>
      <c r="G706"/>
    </row>
    <row r="707" spans="5:7">
      <c r="E707" s="375"/>
      <c r="F707"/>
      <c r="G707"/>
    </row>
    <row r="708" spans="5:7">
      <c r="E708" t="s">
        <v>389</v>
      </c>
      <c r="F708">
        <v>211446.74</v>
      </c>
      <c r="G708"/>
    </row>
    <row r="709" spans="5:7">
      <c r="E709" s="375"/>
      <c r="F709"/>
      <c r="G709"/>
    </row>
    <row r="710" spans="5:7">
      <c r="E710" s="873" t="str">
        <f>IF(D3&gt;H95,"WC 5","WC 2")</f>
        <v>WC 5</v>
      </c>
      <c r="F710" s="873">
        <f>IF(D3&gt;H95,H95,D3)</f>
        <v>121265.19958333333</v>
      </c>
      <c r="G710"/>
    </row>
    <row r="711" spans="5:7">
      <c r="E711" s="375"/>
      <c r="F711"/>
      <c r="G711"/>
    </row>
    <row r="712" spans="5:7">
      <c r="E712" s="873" t="str">
        <f>IF(D3&lt;=H95,"WC 5","WC 2")</f>
        <v>WC 2</v>
      </c>
      <c r="F712" s="873">
        <f>IF(D3&lt;=H95,H95,D3)</f>
        <v>121273.52</v>
      </c>
      <c r="G712" t="s">
        <v>458</v>
      </c>
    </row>
    <row r="713" spans="5:7">
      <c r="E713" s="375"/>
      <c r="F713"/>
      <c r="G713" t="s">
        <v>458</v>
      </c>
    </row>
    <row r="714" spans="5:7">
      <c r="E714" t="s">
        <v>434</v>
      </c>
      <c r="F714">
        <v>211449.22</v>
      </c>
      <c r="G714"/>
    </row>
  </sheetData>
  <mergeCells count="161">
    <mergeCell ref="C12:D12"/>
    <mergeCell ref="CM19:EV19"/>
    <mergeCell ref="Y244:Z244"/>
    <mergeCell ref="AA109:AD109"/>
    <mergeCell ref="AE109:AH109"/>
    <mergeCell ref="M77:N77"/>
    <mergeCell ref="K77:L77"/>
    <mergeCell ref="AF103:AG103"/>
    <mergeCell ref="AH103:AI103"/>
    <mergeCell ref="AF104:AG104"/>
    <mergeCell ref="AH104:AI104"/>
    <mergeCell ref="AF106:AG106"/>
    <mergeCell ref="AH106:AI106"/>
    <mergeCell ref="AE107:AF107"/>
    <mergeCell ref="AG107:AH107"/>
    <mergeCell ref="AF113:AG113"/>
    <mergeCell ref="AH113:AI113"/>
    <mergeCell ref="O77:P77"/>
    <mergeCell ref="Q77:R77"/>
    <mergeCell ref="X119:Y119"/>
    <mergeCell ref="AA119:AB119"/>
    <mergeCell ref="C118:AB118"/>
    <mergeCell ref="AB103:AC103"/>
    <mergeCell ref="AB104:AC104"/>
    <mergeCell ref="AB106:AC106"/>
    <mergeCell ref="X113:Y113"/>
    <mergeCell ref="W109:Z109"/>
    <mergeCell ref="AD103:AE103"/>
    <mergeCell ref="AD104:AE104"/>
    <mergeCell ref="AD106:AE106"/>
    <mergeCell ref="AB113:AC113"/>
    <mergeCell ref="AD113:AE113"/>
    <mergeCell ref="AA107:AB107"/>
    <mergeCell ref="AC107:AD107"/>
    <mergeCell ref="X103:Y103"/>
    <mergeCell ref="X104:Y104"/>
    <mergeCell ref="X106:Y106"/>
    <mergeCell ref="Z103:AA103"/>
    <mergeCell ref="Z104:AA104"/>
    <mergeCell ref="Z106:AA106"/>
    <mergeCell ref="Y107:Z107"/>
    <mergeCell ref="Z113:AA113"/>
    <mergeCell ref="S107:T107"/>
    <mergeCell ref="U107:V107"/>
    <mergeCell ref="T103:U103"/>
    <mergeCell ref="T104:U104"/>
    <mergeCell ref="T106:U106"/>
    <mergeCell ref="V103:W103"/>
    <mergeCell ref="V104:W104"/>
    <mergeCell ref="V106:W106"/>
    <mergeCell ref="R103:S103"/>
    <mergeCell ref="W107:X107"/>
    <mergeCell ref="F104:G104"/>
    <mergeCell ref="H104:I104"/>
    <mergeCell ref="J104:K104"/>
    <mergeCell ref="L104:M104"/>
    <mergeCell ref="N104:O104"/>
    <mergeCell ref="P104:Q104"/>
    <mergeCell ref="R104:S104"/>
    <mergeCell ref="L106:M106"/>
    <mergeCell ref="R106:S106"/>
    <mergeCell ref="N106:O106"/>
    <mergeCell ref="P106:Q106"/>
    <mergeCell ref="F103:G103"/>
    <mergeCell ref="H103:I103"/>
    <mergeCell ref="J103:K103"/>
    <mergeCell ref="L103:M103"/>
    <mergeCell ref="N103:O103"/>
    <mergeCell ref="P103:Q103"/>
    <mergeCell ref="G119:H119"/>
    <mergeCell ref="L119:M119"/>
    <mergeCell ref="O109:R109"/>
    <mergeCell ref="G109:J109"/>
    <mergeCell ref="K109:N109"/>
    <mergeCell ref="L113:M113"/>
    <mergeCell ref="G107:H107"/>
    <mergeCell ref="I107:J107"/>
    <mergeCell ref="K107:L107"/>
    <mergeCell ref="M107:N107"/>
    <mergeCell ref="F113:G113"/>
    <mergeCell ref="F106:G106"/>
    <mergeCell ref="H113:I113"/>
    <mergeCell ref="H106:I106"/>
    <mergeCell ref="J113:K113"/>
    <mergeCell ref="J106:K106"/>
    <mergeCell ref="O107:P107"/>
    <mergeCell ref="Q107:R107"/>
    <mergeCell ref="AY145:AZ145"/>
    <mergeCell ref="AY156:AZ156"/>
    <mergeCell ref="AS156:AT156"/>
    <mergeCell ref="AW144:AX144"/>
    <mergeCell ref="AU126:AV126"/>
    <mergeCell ref="AW126:AX126"/>
    <mergeCell ref="AU125:AX125"/>
    <mergeCell ref="AZ150:BA150"/>
    <mergeCell ref="AZ151:BA151"/>
    <mergeCell ref="AR150:AS150"/>
    <mergeCell ref="AR151:AS151"/>
    <mergeCell ref="AS126:AT126"/>
    <mergeCell ref="AY126:AZ126"/>
    <mergeCell ref="AS145:AT145"/>
    <mergeCell ref="AT161:AU161"/>
    <mergeCell ref="AX160:AY160"/>
    <mergeCell ref="AX161:AY161"/>
    <mergeCell ref="AV120:AW120"/>
    <mergeCell ref="AV151:AW151"/>
    <mergeCell ref="AU114:AV114"/>
    <mergeCell ref="AW114:AX114"/>
    <mergeCell ref="AU127:AV127"/>
    <mergeCell ref="AW127:AX127"/>
    <mergeCell ref="AU144:AV144"/>
    <mergeCell ref="AV150:AW150"/>
    <mergeCell ref="AU155:AX155"/>
    <mergeCell ref="AU156:AV156"/>
    <mergeCell ref="AW156:AX156"/>
    <mergeCell ref="AT160:AU160"/>
    <mergeCell ref="AU157:AV157"/>
    <mergeCell ref="AW157:AX157"/>
    <mergeCell ref="AT141:AU141"/>
    <mergeCell ref="AX141:AY141"/>
    <mergeCell ref="AU145:AV145"/>
    <mergeCell ref="AW145:AX145"/>
    <mergeCell ref="AT140:AU140"/>
    <mergeCell ref="AX140:AY140"/>
    <mergeCell ref="AU146:AX146"/>
    <mergeCell ref="AX110:AY110"/>
    <mergeCell ref="AX111:AY111"/>
    <mergeCell ref="AX130:AY130"/>
    <mergeCell ref="AX131:AY131"/>
    <mergeCell ref="AU115:AV115"/>
    <mergeCell ref="AW115:AX115"/>
    <mergeCell ref="AT131:AU131"/>
    <mergeCell ref="AT130:AU130"/>
    <mergeCell ref="AT111:AU111"/>
    <mergeCell ref="AT110:AU110"/>
    <mergeCell ref="AV121:AW121"/>
    <mergeCell ref="AS115:AT115"/>
    <mergeCell ref="AY115:AZ115"/>
    <mergeCell ref="AU116:AX116"/>
    <mergeCell ref="AR120:AS120"/>
    <mergeCell ref="AR121:AS121"/>
    <mergeCell ref="AZ120:BA120"/>
    <mergeCell ref="AZ121:BA121"/>
    <mergeCell ref="G108:L108"/>
    <mergeCell ref="G244:H244"/>
    <mergeCell ref="J244:K244"/>
    <mergeCell ref="M244:N244"/>
    <mergeCell ref="P244:Q244"/>
    <mergeCell ref="S244:T244"/>
    <mergeCell ref="R119:S119"/>
    <mergeCell ref="U119:V119"/>
    <mergeCell ref="D244:E244"/>
    <mergeCell ref="O119:P119"/>
    <mergeCell ref="C119:E119"/>
    <mergeCell ref="V244:W244"/>
    <mergeCell ref="N113:O113"/>
    <mergeCell ref="T113:U113"/>
    <mergeCell ref="V113:W113"/>
    <mergeCell ref="R113:S113"/>
    <mergeCell ref="S109:V109"/>
    <mergeCell ref="P113:Q1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297C6-F7BD-408F-B7CA-8C8D1CFEF86F}">
  <dimension ref="A1:BZ136"/>
  <sheetViews>
    <sheetView workbookViewId="0">
      <selection activeCell="F10" sqref="F10"/>
    </sheetView>
  </sheetViews>
  <sheetFormatPr defaultRowHeight="15"/>
  <cols>
    <col min="2" max="2" width="14.42578125" bestFit="1" customWidth="1"/>
    <col min="3" max="3" width="18" bestFit="1" customWidth="1"/>
    <col min="4" max="4" width="22.85546875" bestFit="1" customWidth="1"/>
    <col min="5" max="5" width="12.5703125" bestFit="1" customWidth="1"/>
    <col min="6" max="6" width="17" bestFit="1" customWidth="1"/>
    <col min="7" max="7" width="13.28515625" bestFit="1" customWidth="1"/>
    <col min="8" max="8" width="11.5703125" customWidth="1"/>
    <col min="9" max="9" width="18.85546875" bestFit="1" customWidth="1"/>
    <col min="10" max="10" width="12.5703125" bestFit="1" customWidth="1"/>
    <col min="11" max="11" width="14.140625" bestFit="1" customWidth="1"/>
    <col min="12" max="12" width="10.5703125" bestFit="1" customWidth="1"/>
    <col min="13" max="13" width="11.28515625" bestFit="1" customWidth="1"/>
    <col min="14" max="16" width="11.28515625" customWidth="1"/>
    <col min="17" max="17" width="9.140625" bestFit="1" customWidth="1"/>
    <col min="18" max="18" width="18.42578125" bestFit="1" customWidth="1"/>
    <col min="19" max="19" width="12.5703125" bestFit="1" customWidth="1"/>
    <col min="20" max="20" width="12.42578125" bestFit="1" customWidth="1"/>
    <col min="21" max="21" width="12.5703125" bestFit="1" customWidth="1"/>
    <col min="22" max="22" width="11.28515625" customWidth="1"/>
    <col min="23" max="23" width="14.85546875" bestFit="1" customWidth="1"/>
    <col min="24" max="28" width="11.28515625" customWidth="1"/>
    <col min="29" max="29" width="16.7109375" customWidth="1"/>
    <col min="30" max="30" width="14.42578125" customWidth="1"/>
    <col min="31" max="31" width="2.28515625" customWidth="1"/>
    <col min="32" max="32" width="18" customWidth="1"/>
    <col min="33" max="33" width="12.5703125" customWidth="1"/>
    <col min="34" max="34" width="12.85546875" customWidth="1"/>
    <col min="35" max="35" width="14.42578125" customWidth="1"/>
    <col min="36" max="36" width="2.28515625" customWidth="1"/>
    <col min="37" max="37" width="18" customWidth="1"/>
    <col min="38" max="38" width="12.5703125" customWidth="1"/>
    <col min="39" max="39" width="14.140625" customWidth="1"/>
    <col min="40" max="40" width="10.5703125" customWidth="1"/>
    <col min="41" max="41" width="14.140625" customWidth="1"/>
    <col min="42" max="42" width="16.7109375" customWidth="1"/>
    <col min="43" max="44" width="14.140625" customWidth="1"/>
    <col min="45" max="45" width="16.7109375" customWidth="1"/>
    <col min="46" max="51" width="14.140625" customWidth="1"/>
    <col min="52" max="52" width="14.140625" bestFit="1" customWidth="1"/>
    <col min="53" max="53" width="14" bestFit="1" customWidth="1"/>
    <col min="54" max="54" width="12.5703125" customWidth="1"/>
    <col min="55" max="55" width="12.7109375" customWidth="1"/>
    <col min="56" max="56" width="14.140625" bestFit="1" customWidth="1"/>
    <col min="57" max="57" width="18.42578125" customWidth="1"/>
    <col min="58" max="58" width="12.5703125" bestFit="1" customWidth="1"/>
    <col min="59" max="59" width="12.5703125" customWidth="1"/>
    <col min="60" max="60" width="14.140625" bestFit="1" customWidth="1"/>
    <col min="61" max="61" width="11.42578125" bestFit="1" customWidth="1"/>
    <col min="62" max="62" width="12.7109375" customWidth="1"/>
    <col min="63" max="63" width="18.42578125" customWidth="1"/>
    <col min="64" max="64" width="12.5703125" customWidth="1"/>
    <col min="65" max="65" width="12.42578125" customWidth="1"/>
    <col min="66" max="66" width="12.5703125" customWidth="1"/>
    <col min="67" max="67" width="9.140625" customWidth="1"/>
    <col min="68" max="68" width="8" customWidth="1"/>
    <col min="69" max="69" width="12.5703125" customWidth="1"/>
    <col min="70" max="70" width="9.140625" customWidth="1"/>
    <col min="71" max="71" width="12.7109375" customWidth="1"/>
    <col min="72" max="72" width="18.42578125" customWidth="1"/>
    <col min="73" max="73" width="12.5703125" customWidth="1"/>
    <col min="74" max="74" width="12.42578125" customWidth="1"/>
    <col min="75" max="75" width="12.5703125" customWidth="1"/>
    <col min="76" max="76" width="9.140625" customWidth="1"/>
    <col min="77" max="77" width="8" customWidth="1"/>
    <col min="78" max="78" width="12.5703125" customWidth="1"/>
    <col min="79" max="91" width="9.140625" customWidth="1"/>
  </cols>
  <sheetData>
    <row r="1" spans="1:76" ht="15" customHeight="1">
      <c r="A1" s="1217" t="s">
        <v>459</v>
      </c>
      <c r="B1" s="1218"/>
      <c r="C1" s="1218"/>
      <c r="D1" s="1218"/>
      <c r="E1" s="1218"/>
      <c r="F1" s="1218"/>
      <c r="G1" s="1218"/>
      <c r="H1" s="510"/>
      <c r="I1" s="510"/>
      <c r="J1" s="510"/>
      <c r="K1" s="510"/>
      <c r="L1" s="510"/>
      <c r="M1" s="510"/>
      <c r="N1" s="830"/>
      <c r="P1" s="829"/>
      <c r="Q1" s="1218" t="s">
        <v>459</v>
      </c>
      <c r="R1" s="1218"/>
      <c r="S1" s="1218"/>
      <c r="T1" s="1218"/>
      <c r="U1" s="1218"/>
      <c r="V1" s="1218"/>
      <c r="W1" s="510"/>
      <c r="X1" s="830"/>
      <c r="BB1" s="268"/>
      <c r="BC1" s="594" t="s">
        <v>460</v>
      </c>
      <c r="BD1" s="594" t="s">
        <v>461</v>
      </c>
      <c r="BE1" s="594" t="s">
        <v>462</v>
      </c>
    </row>
    <row r="2" spans="1:76" ht="15" customHeight="1">
      <c r="A2" s="1219"/>
      <c r="B2" s="1220"/>
      <c r="C2" s="1220"/>
      <c r="D2" s="1220"/>
      <c r="E2" s="1220"/>
      <c r="F2" s="1220"/>
      <c r="G2" s="1220"/>
      <c r="N2" s="497"/>
      <c r="P2" s="496"/>
      <c r="Q2" s="1220"/>
      <c r="R2" s="1220"/>
      <c r="S2" s="1220"/>
      <c r="T2" s="1220"/>
      <c r="U2" s="1220"/>
      <c r="V2" s="1220"/>
      <c r="X2" s="497"/>
      <c r="BB2" s="594" t="s">
        <v>463</v>
      </c>
      <c r="BC2" s="943">
        <f>IF(AND(D8&lt;=D7,D7=12),0,IF(D8&lt;D7,D8,D7))</f>
        <v>6</v>
      </c>
      <c r="BD2" s="903">
        <f>IF(D8&lt;D7,E8,E7)</f>
        <v>52</v>
      </c>
      <c r="BE2" s="903">
        <f>IF(D8&lt;D7,F8,F7)</f>
        <v>10</v>
      </c>
    </row>
    <row r="3" spans="1:76" ht="15" customHeight="1">
      <c r="A3" s="1219"/>
      <c r="B3" s="1220"/>
      <c r="C3" s="1220"/>
      <c r="D3" s="1220"/>
      <c r="E3" s="1220"/>
      <c r="F3" s="1220"/>
      <c r="G3" s="1220"/>
      <c r="N3" s="497"/>
      <c r="P3" s="496"/>
      <c r="Q3" s="1220"/>
      <c r="R3" s="1220"/>
      <c r="S3" s="1220"/>
      <c r="T3" s="1220"/>
      <c r="U3" s="1220"/>
      <c r="V3" s="1220"/>
      <c r="X3" s="497"/>
      <c r="BB3" s="594" t="s">
        <v>464</v>
      </c>
      <c r="BC3" s="943">
        <f>IF(AND(D8=12,D7=12),0,IF(D8&lt;D7,D7,D8))</f>
        <v>10</v>
      </c>
      <c r="BD3" s="903">
        <f>IF(D8&lt;D7,E7,E8)</f>
        <v>42</v>
      </c>
      <c r="BE3" s="903">
        <f>IF(D8&lt;D7,F7,F8)</f>
        <v>10</v>
      </c>
    </row>
    <row r="4" spans="1:76">
      <c r="A4" s="496"/>
      <c r="N4" s="497"/>
      <c r="P4" s="496"/>
      <c r="X4" s="497"/>
    </row>
    <row r="5" spans="1:76">
      <c r="A5" s="496"/>
      <c r="N5" s="497"/>
      <c r="P5" s="496"/>
      <c r="X5" s="497"/>
      <c r="AD5" t="s">
        <v>465</v>
      </c>
      <c r="AN5" s="891" t="s">
        <v>466</v>
      </c>
    </row>
    <row r="6" spans="1:76">
      <c r="A6" s="496"/>
      <c r="C6" s="268"/>
      <c r="D6" s="594" t="s">
        <v>460</v>
      </c>
      <c r="E6" s="594" t="s">
        <v>461</v>
      </c>
      <c r="F6" s="594" t="s">
        <v>462</v>
      </c>
      <c r="N6" s="497"/>
      <c r="P6" s="496"/>
      <c r="Q6" s="594" t="s">
        <v>467</v>
      </c>
      <c r="R6" s="594" t="s">
        <v>468</v>
      </c>
      <c r="T6" s="594" t="s">
        <v>467</v>
      </c>
      <c r="U6" s="594" t="s">
        <v>468</v>
      </c>
      <c r="X6" s="497"/>
      <c r="AD6" t="s">
        <v>469</v>
      </c>
      <c r="AE6">
        <v>1</v>
      </c>
      <c r="AF6" t="s">
        <v>470</v>
      </c>
      <c r="AG6">
        <v>0</v>
      </c>
      <c r="AI6" t="str" cm="1">
        <f t="array" ref="AI6:AL16">_xlfn.LET(_xlpm.d, _xlfn._xlws.FILTER(AD6:AG16, AG6:AG16&lt;&gt;""), _xlpm.s, _xlfn.SORTBY(_xlpm.d, --INDEX(_xlpm.d,,4), 1), _xlpm.r, _xlfn.SEQUENCE(ROWS(_xlpm.s)*2-1), IF(ISODD(_xlpm.r), INDEX(_xlpm.s, (_xlpm.r+1)/2, _xlfn.SEQUENCE(1,COLUMNS(_xlpm.s))), ""))</f>
        <v>Left side Long</v>
      </c>
      <c r="AJ6">
        <v>1</v>
      </c>
      <c r="AK6" t="str">
        <v>Time1 Defect Left</v>
      </c>
      <c r="AL6">
        <v>0</v>
      </c>
      <c r="AN6">
        <f>AJ6-AE6</f>
        <v>0</v>
      </c>
      <c r="AP6" s="689" t="str">
        <f>IF(AN6&lt;=0,"",AK6)</f>
        <v/>
      </c>
      <c r="AQ6" s="325" t="str">
        <f>IF(AP6="","",AI6)</f>
        <v/>
      </c>
      <c r="AS6" s="594" t="str" cm="1">
        <f t="array" ref="AS6">IFERROR(_xlfn._xlws.FILTER(AP6:AP16, AP6:AP16&lt;&gt;""),"")</f>
        <v/>
      </c>
      <c r="BA6" t="s">
        <v>471</v>
      </c>
      <c r="BB6">
        <f>IF(D8&lt;D7,1,0)</f>
        <v>1</v>
      </c>
    </row>
    <row r="7" spans="1:76">
      <c r="A7" s="496"/>
      <c r="C7" s="594" t="s">
        <v>463</v>
      </c>
      <c r="D7" s="897">
        <v>10</v>
      </c>
      <c r="E7" s="594">
        <v>42</v>
      </c>
      <c r="F7" s="594">
        <v>10</v>
      </c>
      <c r="N7" s="497"/>
      <c r="P7" s="496"/>
      <c r="Q7" s="594">
        <v>6</v>
      </c>
      <c r="R7" s="594">
        <v>30</v>
      </c>
      <c r="T7" s="903">
        <f>U43</f>
        <v>10</v>
      </c>
      <c r="U7" s="903">
        <f>U45</f>
        <v>19</v>
      </c>
      <c r="X7" s="497"/>
      <c r="AH7">
        <f>C33</f>
        <v>5</v>
      </c>
      <c r="AI7" t="str">
        <v/>
      </c>
      <c r="AJ7" t="str">
        <v/>
      </c>
      <c r="AK7" t="str">
        <v/>
      </c>
      <c r="AL7" t="str">
        <v/>
      </c>
      <c r="AS7" s="594"/>
    </row>
    <row r="8" spans="1:76">
      <c r="A8" s="496"/>
      <c r="C8" s="594" t="s">
        <v>464</v>
      </c>
      <c r="D8" s="897">
        <v>6</v>
      </c>
      <c r="E8" s="594">
        <v>52</v>
      </c>
      <c r="F8" s="594">
        <v>10</v>
      </c>
      <c r="I8" s="971"/>
      <c r="N8" s="497"/>
      <c r="P8" s="496"/>
      <c r="X8" s="497"/>
      <c r="AD8" t="s">
        <v>472</v>
      </c>
      <c r="AE8">
        <v>2</v>
      </c>
      <c r="AF8" t="s">
        <v>463</v>
      </c>
      <c r="AG8">
        <f>AG6+AH7</f>
        <v>5</v>
      </c>
      <c r="AI8" t="str">
        <v>Inside Defect 2</v>
      </c>
      <c r="AJ8">
        <v>2</v>
      </c>
      <c r="AK8" t="str">
        <v>Time1</v>
      </c>
      <c r="AL8">
        <v>5</v>
      </c>
      <c r="AN8">
        <f>AJ8-AE8</f>
        <v>0</v>
      </c>
      <c r="AP8" s="325" t="str">
        <f>IF(AN8&lt;=0,"",AK8)</f>
        <v/>
      </c>
      <c r="AQ8" s="325" t="str">
        <f>IF(AP8="","",AI8)</f>
        <v/>
      </c>
      <c r="AS8" s="594"/>
      <c r="BA8" t="s">
        <v>473</v>
      </c>
      <c r="BB8">
        <f>D11</f>
        <v>20</v>
      </c>
      <c r="BC8" t="s">
        <v>474</v>
      </c>
      <c r="BJ8" s="268" t="s">
        <v>467</v>
      </c>
      <c r="BK8" s="268" t="s">
        <v>468</v>
      </c>
      <c r="BM8" s="268" t="s">
        <v>467</v>
      </c>
      <c r="BN8" s="268" t="s">
        <v>468</v>
      </c>
    </row>
    <row r="9" spans="1:76">
      <c r="A9" s="496"/>
      <c r="N9" s="497"/>
      <c r="P9" s="496"/>
      <c r="Q9" s="594" t="s">
        <v>473</v>
      </c>
      <c r="R9" s="594">
        <v>10</v>
      </c>
      <c r="T9" s="594" t="s">
        <v>362</v>
      </c>
      <c r="U9" s="594">
        <v>10</v>
      </c>
      <c r="X9" s="497"/>
      <c r="AH9">
        <f>E33</f>
        <v>5</v>
      </c>
      <c r="AI9" t="str">
        <v/>
      </c>
      <c r="AJ9" t="str">
        <v/>
      </c>
      <c r="AK9" t="str">
        <v/>
      </c>
      <c r="AL9" t="str">
        <v/>
      </c>
      <c r="AS9" s="594"/>
      <c r="BJ9" s="268">
        <f>AZ13</f>
        <v>6</v>
      </c>
      <c r="BK9" s="268">
        <f>BA13</f>
        <v>52</v>
      </c>
      <c r="BM9">
        <f>BN35</f>
        <v>9</v>
      </c>
      <c r="BN9">
        <f>BN37</f>
        <v>25</v>
      </c>
    </row>
    <row r="10" spans="1:76">
      <c r="A10" s="496"/>
      <c r="N10" s="497"/>
      <c r="P10" s="496"/>
      <c r="X10" s="497"/>
      <c r="AD10" t="s">
        <v>475</v>
      </c>
      <c r="AE10">
        <v>3</v>
      </c>
      <c r="AF10" t="s">
        <v>476</v>
      </c>
      <c r="AG10">
        <f>AG8+AH9</f>
        <v>10</v>
      </c>
      <c r="AI10" t="str">
        <v>Right side Long</v>
      </c>
      <c r="AJ10">
        <v>3</v>
      </c>
      <c r="AK10" t="str">
        <v>Time1 Defect Right</v>
      </c>
      <c r="AL10">
        <v>10</v>
      </c>
      <c r="AN10">
        <f>AJ10-AE10</f>
        <v>0</v>
      </c>
      <c r="AP10" s="325" t="str">
        <f>IF(AN10&lt;=0,"",AK10)</f>
        <v/>
      </c>
      <c r="AQ10" s="325" t="str">
        <f>IF(AP10="","",AI10)</f>
        <v/>
      </c>
      <c r="AS10" s="594"/>
      <c r="AZ10" t="s">
        <v>116</v>
      </c>
      <c r="BA10">
        <f>BE2</f>
        <v>10</v>
      </c>
      <c r="BC10" t="s">
        <v>116</v>
      </c>
      <c r="BD10">
        <f>BE3</f>
        <v>10</v>
      </c>
      <c r="BJ10" t="s">
        <v>473</v>
      </c>
      <c r="BK10">
        <v>30</v>
      </c>
      <c r="BM10" t="s">
        <v>362</v>
      </c>
      <c r="BN10" s="873">
        <f>BB29</f>
        <v>20.071286397934788</v>
      </c>
    </row>
    <row r="11" spans="1:76">
      <c r="A11" s="496"/>
      <c r="C11" s="594" t="s">
        <v>477</v>
      </c>
      <c r="D11" s="594">
        <v>20</v>
      </c>
      <c r="E11" s="594" t="s">
        <v>362</v>
      </c>
      <c r="N11" s="497"/>
      <c r="P11" s="496"/>
      <c r="Q11" s="395">
        <f>60*Q7</f>
        <v>360</v>
      </c>
      <c r="X11" s="497"/>
      <c r="AH11">
        <f>G33</f>
        <v>10.071286397934788</v>
      </c>
      <c r="AI11" t="str">
        <v/>
      </c>
      <c r="AJ11" t="str">
        <v/>
      </c>
      <c r="AK11" t="str">
        <v/>
      </c>
      <c r="AL11" t="str">
        <v/>
      </c>
      <c r="AS11" s="594"/>
      <c r="BJ11" t="s">
        <v>116</v>
      </c>
      <c r="BK11">
        <f>BA10</f>
        <v>10</v>
      </c>
    </row>
    <row r="12" spans="1:76">
      <c r="A12" s="496"/>
      <c r="N12" s="497"/>
      <c r="P12" s="496"/>
      <c r="Q12" s="268"/>
      <c r="X12" s="497"/>
      <c r="AD12" t="s">
        <v>469</v>
      </c>
      <c r="AE12">
        <v>4</v>
      </c>
      <c r="AF12" t="s">
        <v>478</v>
      </c>
      <c r="AG12">
        <f>AG10+AH11</f>
        <v>20.071286397934788</v>
      </c>
      <c r="AI12" t="str">
        <v>Left side Long</v>
      </c>
      <c r="AJ12">
        <v>4</v>
      </c>
      <c r="AK12" t="str">
        <v>Time2 Defect Left</v>
      </c>
      <c r="AL12">
        <v>20.071286397934788</v>
      </c>
      <c r="AN12">
        <f>AJ12-AE12</f>
        <v>0</v>
      </c>
      <c r="AP12" s="325" t="str">
        <f>IF(AN12&lt;=0,"",AK12)</f>
        <v/>
      </c>
      <c r="AQ12" s="325" t="str">
        <f>IF(AP12="","",AI12)</f>
        <v/>
      </c>
      <c r="AS12" s="594"/>
      <c r="AZ12" s="268" t="s">
        <v>467</v>
      </c>
      <c r="BA12" s="268" t="s">
        <v>468</v>
      </c>
      <c r="BC12" s="268" t="s">
        <v>467</v>
      </c>
      <c r="BD12" s="268" t="s">
        <v>468</v>
      </c>
      <c r="BJ12" s="873">
        <f>BK11/2</f>
        <v>5</v>
      </c>
    </row>
    <row r="13" spans="1:76">
      <c r="A13" s="496"/>
      <c r="C13" s="997" t="s">
        <v>479</v>
      </c>
      <c r="D13" s="997"/>
      <c r="E13" s="997"/>
      <c r="G13" s="997" t="s">
        <v>480</v>
      </c>
      <c r="H13" s="997"/>
      <c r="I13" s="997"/>
      <c r="K13" s="997" t="s">
        <v>481</v>
      </c>
      <c r="L13" s="997"/>
      <c r="M13" s="997"/>
      <c r="N13" s="497"/>
      <c r="P13" s="496"/>
      <c r="Q13" s="395">
        <f>R7+Q11</f>
        <v>390</v>
      </c>
      <c r="X13" s="497"/>
      <c r="AH13">
        <f>I33</f>
        <v>5</v>
      </c>
      <c r="AI13" t="str">
        <v/>
      </c>
      <c r="AJ13" t="str">
        <v/>
      </c>
      <c r="AK13" t="str">
        <v/>
      </c>
      <c r="AL13" t="str">
        <v/>
      </c>
      <c r="AS13" s="594"/>
      <c r="AZ13" s="268">
        <f>BC2</f>
        <v>6</v>
      </c>
      <c r="BA13" s="268">
        <f>BD2</f>
        <v>52</v>
      </c>
      <c r="BB13" s="268"/>
      <c r="BC13" s="268">
        <f>BC3</f>
        <v>10</v>
      </c>
      <c r="BD13" s="268">
        <f>BD3</f>
        <v>42</v>
      </c>
    </row>
    <row r="14" spans="1:76">
      <c r="A14" s="496"/>
      <c r="C14" s="834" t="s">
        <v>482</v>
      </c>
      <c r="D14" s="959">
        <f>BA43</f>
        <v>42.760566673861078</v>
      </c>
      <c r="E14" s="834" t="s">
        <v>362</v>
      </c>
      <c r="G14" s="834" t="s">
        <v>482</v>
      </c>
      <c r="H14" s="959">
        <f>BE43</f>
        <v>20.071286397934784</v>
      </c>
      <c r="I14" s="834" t="s">
        <v>362</v>
      </c>
      <c r="K14" s="834" t="s">
        <v>482</v>
      </c>
      <c r="L14" s="959">
        <f>BI43</f>
        <v>20.071286397934784</v>
      </c>
      <c r="M14" s="834" t="s">
        <v>362</v>
      </c>
      <c r="N14" s="497"/>
      <c r="P14" s="496"/>
      <c r="R14" s="268"/>
      <c r="S14" s="268"/>
      <c r="T14" s="268"/>
      <c r="U14" s="268"/>
      <c r="V14" s="268"/>
      <c r="W14" s="268"/>
      <c r="X14" s="964"/>
      <c r="AD14" t="s">
        <v>483</v>
      </c>
      <c r="AE14">
        <v>5</v>
      </c>
      <c r="AF14" t="s">
        <v>464</v>
      </c>
      <c r="AG14">
        <f>AG12+AH13</f>
        <v>25.071286397934788</v>
      </c>
      <c r="AI14" t="str">
        <v>inside Defect 1</v>
      </c>
      <c r="AJ14">
        <v>5</v>
      </c>
      <c r="AK14" t="str">
        <v>Time2</v>
      </c>
      <c r="AL14">
        <v>25.071286397934788</v>
      </c>
      <c r="AN14">
        <f>AJ14-AE14</f>
        <v>0</v>
      </c>
      <c r="AP14" s="325" t="str">
        <f>IF(AN14&lt;=0,"",AK14)</f>
        <v/>
      </c>
      <c r="AQ14" s="325" t="str">
        <f>IF(AP14="","",AI14)</f>
        <v/>
      </c>
      <c r="AS14" s="594"/>
      <c r="BJ14" s="873">
        <f>60*BJ9</f>
        <v>360</v>
      </c>
    </row>
    <row r="15" spans="1:76">
      <c r="A15" s="496"/>
      <c r="N15" s="497"/>
      <c r="P15" s="496"/>
      <c r="R15" s="268" t="s">
        <v>484</v>
      </c>
      <c r="S15" s="970">
        <f>12*60</f>
        <v>720</v>
      </c>
      <c r="T15" s="268"/>
      <c r="U15" s="268"/>
      <c r="V15" s="268"/>
      <c r="W15" s="268"/>
      <c r="X15" s="964"/>
      <c r="AH15">
        <f>K33</f>
        <v>5</v>
      </c>
      <c r="AI15" t="str">
        <v/>
      </c>
      <c r="AJ15" t="str">
        <v/>
      </c>
      <c r="AK15" t="str">
        <v/>
      </c>
      <c r="AL15" t="str">
        <v/>
      </c>
      <c r="AS15" s="594"/>
      <c r="AZ15" s="873">
        <f>BA10/2</f>
        <v>5</v>
      </c>
      <c r="BC15" s="873">
        <f>BD10/2</f>
        <v>5</v>
      </c>
      <c r="BK15" t="s">
        <v>484</v>
      </c>
      <c r="BL15" s="966">
        <f>12*60</f>
        <v>720</v>
      </c>
      <c r="BQ15" s="268"/>
      <c r="BX15" s="268"/>
    </row>
    <row r="16" spans="1:76">
      <c r="A16" s="496"/>
      <c r="B16" s="594" t="s">
        <v>485</v>
      </c>
      <c r="C16" s="594" t="s">
        <v>486</v>
      </c>
      <c r="D16" s="594" t="s">
        <v>487</v>
      </c>
      <c r="F16" s="967" t="s">
        <v>488</v>
      </c>
      <c r="N16" s="497"/>
      <c r="P16" s="496"/>
      <c r="R16" s="268"/>
      <c r="S16" s="268"/>
      <c r="T16" s="268"/>
      <c r="U16" s="268"/>
      <c r="V16" s="268"/>
      <c r="W16" s="268"/>
      <c r="X16" s="964"/>
      <c r="AD16" t="s">
        <v>475</v>
      </c>
      <c r="AE16">
        <v>6</v>
      </c>
      <c r="AF16" t="s">
        <v>489</v>
      </c>
      <c r="AG16">
        <f>AG14+AH15</f>
        <v>30.071286397934788</v>
      </c>
      <c r="AI16" t="str">
        <v>Right side Long</v>
      </c>
      <c r="AJ16">
        <v>6</v>
      </c>
      <c r="AK16" t="str">
        <v>Time2 Defect Right</v>
      </c>
      <c r="AL16">
        <v>30.071286397934788</v>
      </c>
      <c r="AN16">
        <f>AJ16-AE16</f>
        <v>0</v>
      </c>
      <c r="AP16" s="325" t="str">
        <f>IF(AN16&lt;=0,"",AK16)</f>
        <v/>
      </c>
      <c r="AQ16" s="325" t="str">
        <f>IF(AP16="","",AI16)</f>
        <v/>
      </c>
      <c r="AS16" s="594"/>
      <c r="BJ16" s="873">
        <f>BK9+BJ14</f>
        <v>412</v>
      </c>
      <c r="BQ16" s="268"/>
    </row>
    <row r="17" spans="1:69">
      <c r="A17" s="496"/>
      <c r="B17" s="657" t="str">
        <f>IF(C17=AF6,"","x")</f>
        <v/>
      </c>
      <c r="C17" s="657" t="str" cm="1">
        <f t="array" ref="C17:D27">_xlfn.LET(_xlpm.d, _xlfn._xlws.FILTER(AF6:AG16, AG6:AG16&lt;&gt;""), _xlpm.s, _xlfn.SORTBY(_xlpm.d, --INDEX(_xlpm.d,,2), 1), _xlpm.r, _xlfn.SEQUENCE(ROWS(_xlpm.s)*2-1), IF(ISODD(_xlpm.r), INDEX(_xlpm.s, (_xlpm.r+1)/2, {1,2}), ""))</f>
        <v>Time1 Defect Left</v>
      </c>
      <c r="D17" s="657">
        <v>0</v>
      </c>
      <c r="F17" s="968" t="str" cm="1">
        <f t="array" ref="F17">IFERROR(_xlfn._xlws.FILTER(AP6:AP16, AP6:AP16&lt;&gt;""),"")</f>
        <v/>
      </c>
      <c r="N17" s="497"/>
      <c r="P17" s="496"/>
      <c r="Q17" s="268"/>
      <c r="R17" s="268" t="s">
        <v>490</v>
      </c>
      <c r="S17" s="970">
        <f>S15/360</f>
        <v>2</v>
      </c>
      <c r="T17" s="268"/>
      <c r="U17" s="268"/>
      <c r="V17" s="268"/>
      <c r="W17" s="268"/>
      <c r="X17" s="964"/>
      <c r="AZ17" s="873">
        <f>60*AZ13</f>
        <v>360</v>
      </c>
      <c r="BC17" s="873">
        <f>BC13*60</f>
        <v>600</v>
      </c>
      <c r="BK17" t="s">
        <v>490</v>
      </c>
      <c r="BL17" s="966">
        <f>BL15/360</f>
        <v>2</v>
      </c>
    </row>
    <row r="18" spans="1:69">
      <c r="A18" s="496"/>
      <c r="B18" s="325"/>
      <c r="C18" s="325" t="str">
        <v/>
      </c>
      <c r="D18" s="325" t="str">
        <v/>
      </c>
      <c r="F18" s="969"/>
      <c r="N18" s="497"/>
      <c r="P18" s="496"/>
      <c r="Q18" s="268"/>
      <c r="R18" s="268"/>
      <c r="S18" s="268"/>
      <c r="T18" s="268"/>
      <c r="U18" s="268"/>
      <c r="V18" s="268"/>
      <c r="W18" s="268"/>
      <c r="X18" s="964"/>
    </row>
    <row r="19" spans="1:69">
      <c r="A19" s="496"/>
      <c r="B19" s="903" t="str">
        <f>IF(C19=AF8,"","x")</f>
        <v/>
      </c>
      <c r="C19" s="657" t="str">
        <v>Time1</v>
      </c>
      <c r="D19" s="657">
        <v>5</v>
      </c>
      <c r="F19" s="969"/>
      <c r="N19" s="497"/>
      <c r="P19" s="496"/>
      <c r="Q19" s="268"/>
      <c r="R19" s="268" t="s">
        <v>491</v>
      </c>
      <c r="S19" s="395">
        <f>PI()*R9</f>
        <v>31.415926535897931</v>
      </c>
      <c r="T19" s="268"/>
      <c r="U19" s="268"/>
      <c r="V19" s="268"/>
      <c r="W19" s="268"/>
      <c r="X19" s="964"/>
      <c r="AZ19" s="873">
        <f>BA13+AZ17</f>
        <v>412</v>
      </c>
      <c r="BC19" s="873">
        <f>BD13+BC17</f>
        <v>642</v>
      </c>
      <c r="BK19" t="s">
        <v>491</v>
      </c>
      <c r="BL19" s="873">
        <f>PI()*BK10</f>
        <v>94.247779607693786</v>
      </c>
    </row>
    <row r="20" spans="1:69">
      <c r="A20" s="496"/>
      <c r="B20" s="594"/>
      <c r="C20" s="325" t="str">
        <v/>
      </c>
      <c r="D20" s="325" t="str">
        <v/>
      </c>
      <c r="F20" s="969"/>
      <c r="N20" s="497"/>
      <c r="P20" s="496"/>
      <c r="Q20" s="268"/>
      <c r="R20" s="268"/>
      <c r="S20" s="268"/>
      <c r="T20" s="268"/>
      <c r="U20" s="268"/>
      <c r="V20" s="268"/>
      <c r="W20" s="268"/>
      <c r="X20" s="964"/>
      <c r="BL20" s="268"/>
    </row>
    <row r="21" spans="1:69">
      <c r="A21" s="496"/>
      <c r="B21" s="903" t="str">
        <f>IF(C21=AF10,"","x")</f>
        <v/>
      </c>
      <c r="C21" s="657" t="str">
        <v>Time1 Defect Right</v>
      </c>
      <c r="D21" s="657">
        <v>10</v>
      </c>
      <c r="F21" s="969"/>
      <c r="N21" s="497"/>
      <c r="P21" s="496"/>
      <c r="Q21" s="268"/>
      <c r="R21" s="268"/>
      <c r="S21" s="395">
        <f>S15/S19</f>
        <v>22.918311805232928</v>
      </c>
      <c r="T21" s="268"/>
      <c r="U21" s="268"/>
      <c r="V21" s="268"/>
      <c r="W21" s="268"/>
      <c r="X21" s="964"/>
      <c r="BA21" t="s">
        <v>484</v>
      </c>
      <c r="BB21" s="966">
        <f>12*60</f>
        <v>720</v>
      </c>
      <c r="BE21" t="s">
        <v>490</v>
      </c>
      <c r="BF21" s="966">
        <f>BB21/360</f>
        <v>2</v>
      </c>
      <c r="BL21">
        <f>BL15/BL19</f>
        <v>7.639437268410977</v>
      </c>
    </row>
    <row r="22" spans="1:69">
      <c r="A22" s="496"/>
      <c r="B22" s="594"/>
      <c r="C22" s="325" t="str">
        <v/>
      </c>
      <c r="D22" s="325" t="str">
        <v/>
      </c>
      <c r="F22" s="969"/>
      <c r="N22" s="497"/>
      <c r="P22" s="496"/>
      <c r="Q22" s="268"/>
      <c r="R22" s="268"/>
      <c r="S22" s="268"/>
      <c r="T22" s="268"/>
      <c r="U22" s="268"/>
      <c r="V22" s="268"/>
      <c r="W22" s="268"/>
      <c r="X22" s="964"/>
    </row>
    <row r="23" spans="1:69">
      <c r="A23" s="496"/>
      <c r="B23" s="903" t="str">
        <f>IF(C23=AF12,"","x")</f>
        <v/>
      </c>
      <c r="C23" s="657" t="str">
        <v>Time2 Defect Left</v>
      </c>
      <c r="D23" s="657">
        <v>20.071286397934788</v>
      </c>
      <c r="N23" s="497"/>
      <c r="P23" s="496"/>
      <c r="Q23" s="268"/>
      <c r="R23" s="268"/>
      <c r="S23" s="395">
        <f>S21*U9</f>
        <v>229.18311805232929</v>
      </c>
      <c r="T23" s="268"/>
      <c r="U23" s="395">
        <f>S23+Q13</f>
        <v>619.18311805232929</v>
      </c>
      <c r="V23" s="268"/>
      <c r="X23" s="497"/>
      <c r="BA23" t="s">
        <v>491</v>
      </c>
      <c r="BB23" s="873">
        <f>PI()*BB8</f>
        <v>62.831853071795862</v>
      </c>
      <c r="BL23">
        <f>BL21*BN10</f>
        <v>153.33333333333334</v>
      </c>
      <c r="BN23">
        <f>BL23+BJ16</f>
        <v>565.33333333333337</v>
      </c>
      <c r="BP23" t="s">
        <v>492</v>
      </c>
      <c r="BQ23">
        <f>BL23/BL17</f>
        <v>76.666666666666671</v>
      </c>
    </row>
    <row r="24" spans="1:69">
      <c r="A24" s="496"/>
      <c r="B24" s="594"/>
      <c r="C24" s="325" t="str">
        <v/>
      </c>
      <c r="D24" s="325" t="str">
        <v/>
      </c>
      <c r="N24" s="497"/>
      <c r="P24" s="496"/>
      <c r="Q24" s="268"/>
      <c r="R24" s="268"/>
      <c r="S24" s="268"/>
      <c r="T24" s="268"/>
      <c r="U24" s="268"/>
      <c r="V24" s="268"/>
      <c r="W24" s="268"/>
      <c r="X24" s="964"/>
    </row>
    <row r="25" spans="1:69">
      <c r="A25" s="496"/>
      <c r="B25" s="903" t="str">
        <f>IF(C25=AF14,"","x")</f>
        <v/>
      </c>
      <c r="C25" s="657" t="str">
        <v>Time2</v>
      </c>
      <c r="D25" s="657">
        <v>25.071286397934788</v>
      </c>
      <c r="N25" s="497"/>
      <c r="P25" s="496"/>
      <c r="Q25" s="268"/>
      <c r="R25" s="268"/>
      <c r="S25" s="268"/>
      <c r="T25" s="268"/>
      <c r="U25" s="395">
        <f>U23/60</f>
        <v>10.319718634205488</v>
      </c>
      <c r="V25" s="268"/>
      <c r="W25" s="268"/>
      <c r="X25" s="964"/>
      <c r="BA25" t="s">
        <v>493</v>
      </c>
      <c r="BB25" s="873">
        <f>BC19-AZ19</f>
        <v>230</v>
      </c>
      <c r="BE25" t="s">
        <v>492</v>
      </c>
      <c r="BF25" s="873">
        <f>BB25/BF21</f>
        <v>115</v>
      </c>
      <c r="BN25">
        <f>BN23/60</f>
        <v>9.4222222222222225</v>
      </c>
    </row>
    <row r="26" spans="1:69">
      <c r="A26" s="496"/>
      <c r="B26" s="325"/>
      <c r="C26" s="325" t="str">
        <v/>
      </c>
      <c r="D26" s="325" t="str">
        <v/>
      </c>
      <c r="N26" s="497"/>
      <c r="P26" s="496"/>
      <c r="Q26" s="268"/>
      <c r="R26" s="268"/>
      <c r="S26" s="268"/>
      <c r="T26" s="268"/>
      <c r="U26" s="268"/>
      <c r="V26" s="268"/>
      <c r="W26" s="268"/>
      <c r="X26" s="964"/>
    </row>
    <row r="27" spans="1:69">
      <c r="A27" s="496"/>
      <c r="B27" s="657" t="str">
        <f>IF(C27=AF16,"","x")</f>
        <v/>
      </c>
      <c r="C27" s="657" t="str">
        <v>Time2 Defect Right</v>
      </c>
      <c r="D27" s="657">
        <v>30.071286397934788</v>
      </c>
      <c r="N27" s="497"/>
      <c r="P27" s="496"/>
      <c r="Q27" s="268"/>
      <c r="R27" s="268"/>
      <c r="S27" s="268"/>
      <c r="T27" s="268"/>
      <c r="U27" s="395">
        <f>ROUNDDOWN(U23/60,0)</f>
        <v>10</v>
      </c>
      <c r="V27" s="268"/>
      <c r="W27" s="268"/>
      <c r="X27" s="964"/>
      <c r="BB27" s="873">
        <f>BB25/BB21</f>
        <v>0.31944444444444442</v>
      </c>
      <c r="BF27" s="873">
        <f>BF25/360</f>
        <v>0.31944444444444442</v>
      </c>
      <c r="BN27">
        <f>ROUNDDOWN(BN23/60,0)</f>
        <v>9</v>
      </c>
    </row>
    <row r="28" spans="1:69">
      <c r="A28" s="496"/>
      <c r="N28" s="497"/>
      <c r="P28" s="496"/>
      <c r="Q28" s="268"/>
      <c r="R28" s="268"/>
      <c r="S28" s="268"/>
      <c r="T28" s="268"/>
      <c r="U28" s="268"/>
      <c r="V28" s="268"/>
      <c r="W28" s="268"/>
      <c r="X28" s="964"/>
    </row>
    <row r="29" spans="1:69">
      <c r="A29" s="496"/>
      <c r="N29" s="497"/>
      <c r="P29" s="496"/>
      <c r="Q29" s="268"/>
      <c r="R29" s="268"/>
      <c r="S29" s="268"/>
      <c r="T29" s="268"/>
      <c r="U29" s="395">
        <f>U27*60</f>
        <v>600</v>
      </c>
      <c r="V29" s="268"/>
      <c r="W29" s="268"/>
      <c r="X29" s="964"/>
      <c r="BA29" t="s">
        <v>362</v>
      </c>
      <c r="BB29" s="873">
        <f>BB27*BB23</f>
        <v>20.071286397934788</v>
      </c>
      <c r="BE29" t="s">
        <v>362</v>
      </c>
      <c r="BF29" s="873">
        <f>BB23*BF27</f>
        <v>20.071286397934788</v>
      </c>
      <c r="BN29">
        <f>BN27*60</f>
        <v>540</v>
      </c>
    </row>
    <row r="30" spans="1:69">
      <c r="A30" s="496"/>
      <c r="D30" s="1005" t="s">
        <v>463</v>
      </c>
      <c r="E30" s="1006"/>
      <c r="F30" s="268"/>
      <c r="G30" s="1005" t="s">
        <v>494</v>
      </c>
      <c r="H30" s="1006"/>
      <c r="J30" s="1005" t="s">
        <v>464</v>
      </c>
      <c r="K30" s="1006"/>
      <c r="N30" s="497"/>
      <c r="P30" s="496"/>
      <c r="Q30" s="268"/>
      <c r="R30" s="268"/>
      <c r="S30" s="268"/>
      <c r="T30" s="268"/>
      <c r="U30" s="268"/>
      <c r="V30" s="268"/>
      <c r="W30" s="268"/>
      <c r="X30" s="964"/>
    </row>
    <row r="31" spans="1:69">
      <c r="A31" s="496"/>
      <c r="D31" s="1215" t="str">
        <f>BC2&amp;":"&amp;TEXT(BD2,"00")</f>
        <v>6:52</v>
      </c>
      <c r="E31" s="1216"/>
      <c r="J31" s="1215" t="str">
        <f>BC3&amp;":"&amp;TEXT(BD3,"00")</f>
        <v>10:42</v>
      </c>
      <c r="K31" s="1216"/>
      <c r="N31" s="497"/>
      <c r="P31" s="496"/>
      <c r="Q31" s="268"/>
      <c r="R31" s="268"/>
      <c r="S31" s="268"/>
      <c r="T31" s="268"/>
      <c r="U31" s="395">
        <f>U23-U29</f>
        <v>19.183118052329291</v>
      </c>
      <c r="V31" s="268"/>
      <c r="W31" s="268"/>
      <c r="X31" s="964"/>
      <c r="BA31" t="s">
        <v>495</v>
      </c>
      <c r="BB31">
        <f>IF(BB29-BC15-AZ15&lt;0,1,0)</f>
        <v>0</v>
      </c>
      <c r="BN31">
        <f>BN23-BN29</f>
        <v>25.333333333333371</v>
      </c>
    </row>
    <row r="32" spans="1:69">
      <c r="A32" s="496"/>
      <c r="D32" s="1215">
        <f>BA10</f>
        <v>10</v>
      </c>
      <c r="E32" s="1216"/>
      <c r="F32" s="268"/>
      <c r="J32" s="1215">
        <f>BD10</f>
        <v>10</v>
      </c>
      <c r="K32" s="1216"/>
      <c r="N32" s="497"/>
      <c r="P32" s="496"/>
      <c r="Q32" s="268"/>
      <c r="R32" s="268"/>
      <c r="S32" s="268"/>
      <c r="T32" s="268"/>
      <c r="U32" s="268"/>
      <c r="V32" s="268"/>
      <c r="W32" s="268"/>
      <c r="X32" s="964"/>
    </row>
    <row r="33" spans="1:66">
      <c r="A33" s="496"/>
      <c r="C33" s="1215">
        <f>E33</f>
        <v>5</v>
      </c>
      <c r="D33" s="1216"/>
      <c r="E33" s="1215">
        <f>AZ15</f>
        <v>5</v>
      </c>
      <c r="F33" s="1216"/>
      <c r="G33" s="1215">
        <f>BB29-BC15-AZ15</f>
        <v>10.071286397934788</v>
      </c>
      <c r="H33" s="1216"/>
      <c r="I33" s="1215">
        <f>BC15</f>
        <v>5</v>
      </c>
      <c r="J33" s="1216"/>
      <c r="K33" s="1215">
        <f>I33</f>
        <v>5</v>
      </c>
      <c r="L33" s="1216"/>
      <c r="N33" s="497"/>
      <c r="P33" s="496"/>
      <c r="Q33" s="268"/>
      <c r="R33" s="268"/>
      <c r="S33" s="268"/>
      <c r="T33" s="268"/>
      <c r="U33" s="395">
        <f>ROUNDDOWN(U31,0)</f>
        <v>19</v>
      </c>
      <c r="V33" s="268"/>
      <c r="W33" s="268"/>
      <c r="X33" s="964"/>
      <c r="BN33">
        <f>ROUNDDOWN(BN31,0)</f>
        <v>25</v>
      </c>
    </row>
    <row r="34" spans="1:66">
      <c r="A34" s="496"/>
      <c r="N34" s="497"/>
      <c r="P34" s="496"/>
      <c r="Q34" s="268"/>
      <c r="R34" s="268"/>
      <c r="S34" s="268"/>
      <c r="T34" s="268"/>
      <c r="U34" s="268"/>
      <c r="V34" s="268"/>
      <c r="W34" s="268"/>
      <c r="X34" s="964"/>
      <c r="BA34" t="s">
        <v>493</v>
      </c>
      <c r="BB34" s="873">
        <f>BB21-BB25</f>
        <v>490</v>
      </c>
    </row>
    <row r="35" spans="1:66">
      <c r="A35" s="496"/>
      <c r="B35" s="1005" t="s">
        <v>496</v>
      </c>
      <c r="C35" s="991"/>
      <c r="D35" s="991"/>
      <c r="E35" s="991"/>
      <c r="F35" s="991"/>
      <c r="G35" s="991"/>
      <c r="H35" s="991"/>
      <c r="I35" s="991"/>
      <c r="J35" s="991"/>
      <c r="K35" s="991"/>
      <c r="L35" s="991"/>
      <c r="M35" s="1006"/>
      <c r="N35" s="497"/>
      <c r="P35" s="496"/>
      <c r="Q35" s="268"/>
      <c r="R35" s="268"/>
      <c r="S35" s="268"/>
      <c r="T35" s="268" t="s">
        <v>497</v>
      </c>
      <c r="U35" s="395">
        <f>U27</f>
        <v>10</v>
      </c>
      <c r="V35" s="268"/>
      <c r="W35" s="268"/>
      <c r="X35" s="964"/>
      <c r="BM35" t="s">
        <v>497</v>
      </c>
      <c r="BN35">
        <f>BN27</f>
        <v>9</v>
      </c>
    </row>
    <row r="36" spans="1:66">
      <c r="A36" s="496"/>
      <c r="B36" s="1005" t="str">
        <f>AF6</f>
        <v>Time1 Defect Left</v>
      </c>
      <c r="C36" s="1006"/>
      <c r="D36" s="1005" t="str">
        <f>AF8</f>
        <v>Time1</v>
      </c>
      <c r="E36" s="1006"/>
      <c r="F36" s="1005" t="str">
        <f>AF10</f>
        <v>Time1 Defect Right</v>
      </c>
      <c r="G36" s="1006"/>
      <c r="H36" s="1005" t="str">
        <f>AF12</f>
        <v>Time2 Defect Left</v>
      </c>
      <c r="I36" s="1006"/>
      <c r="J36" s="1005" t="str">
        <f>AF14</f>
        <v>Time2</v>
      </c>
      <c r="K36" s="1006"/>
      <c r="L36" s="1005" t="str">
        <f>AF16</f>
        <v>Time2 Defect Right</v>
      </c>
      <c r="M36" s="1006"/>
      <c r="N36" s="497"/>
      <c r="P36" s="496"/>
      <c r="Q36" s="268"/>
      <c r="R36" s="268"/>
      <c r="S36" s="268"/>
      <c r="T36" s="268"/>
      <c r="U36" s="268"/>
      <c r="V36" s="268"/>
      <c r="W36" s="268"/>
      <c r="X36" s="964"/>
      <c r="BB36" s="873">
        <f>BB34/BB21</f>
        <v>0.68055555555555558</v>
      </c>
    </row>
    <row r="37" spans="1:66">
      <c r="A37" s="496"/>
      <c r="B37" s="1215">
        <f>AG6</f>
        <v>0</v>
      </c>
      <c r="C37" s="1216"/>
      <c r="D37" s="1215">
        <f>AG8</f>
        <v>5</v>
      </c>
      <c r="E37" s="1216"/>
      <c r="F37" s="1215">
        <f>AG10</f>
        <v>10</v>
      </c>
      <c r="G37" s="1216"/>
      <c r="H37" s="1215">
        <f>AG12</f>
        <v>20.071286397934788</v>
      </c>
      <c r="I37" s="1216"/>
      <c r="J37" s="1215">
        <f>AG14</f>
        <v>25.071286397934788</v>
      </c>
      <c r="K37" s="1216"/>
      <c r="L37" s="1215">
        <f>AG16</f>
        <v>30.071286397934788</v>
      </c>
      <c r="M37" s="1216"/>
      <c r="N37" s="497"/>
      <c r="P37" s="496"/>
      <c r="Q37" s="268"/>
      <c r="R37" s="268"/>
      <c r="S37" s="268"/>
      <c r="T37" s="268" t="s">
        <v>493</v>
      </c>
      <c r="U37" s="395">
        <f>U33</f>
        <v>19</v>
      </c>
      <c r="V37" s="268"/>
      <c r="W37" s="268"/>
      <c r="X37" s="964"/>
      <c r="BM37" t="s">
        <v>493</v>
      </c>
      <c r="BN37">
        <f>BN33</f>
        <v>25</v>
      </c>
    </row>
    <row r="38" spans="1:66">
      <c r="A38" s="496"/>
      <c r="N38" s="497"/>
      <c r="O38" s="268"/>
      <c r="P38" s="496"/>
      <c r="Q38" s="268"/>
      <c r="R38" s="268"/>
      <c r="S38" s="268"/>
      <c r="T38" s="268"/>
      <c r="U38" s="268"/>
      <c r="V38" s="268"/>
      <c r="W38" s="268"/>
      <c r="X38" s="964"/>
      <c r="Y38" s="268"/>
      <c r="Z38" s="268"/>
      <c r="AA38" s="268"/>
      <c r="AB38" s="268"/>
      <c r="BA38" t="s">
        <v>362</v>
      </c>
      <c r="BB38" s="873">
        <f>BB36*BB23</f>
        <v>42.760566673861078</v>
      </c>
    </row>
    <row r="39" spans="1:66">
      <c r="A39" s="496"/>
      <c r="N39" s="497"/>
      <c r="O39" s="268"/>
      <c r="P39" s="496"/>
      <c r="Q39" s="268"/>
      <c r="R39" s="268"/>
      <c r="S39" s="268"/>
      <c r="T39" s="268"/>
      <c r="U39" s="395">
        <f>ROUNDDOWN(U35/12,0)</f>
        <v>0</v>
      </c>
      <c r="V39" s="268"/>
      <c r="W39" s="268"/>
      <c r="X39" s="964"/>
      <c r="Y39" s="268"/>
      <c r="Z39" s="268"/>
      <c r="AA39" s="268"/>
      <c r="AB39" s="268"/>
      <c r="BN39">
        <f>ROUNDDOWN(BN35/12,0)</f>
        <v>0</v>
      </c>
    </row>
    <row r="40" spans="1:66">
      <c r="A40" s="831"/>
      <c r="B40" s="512"/>
      <c r="C40" s="512"/>
      <c r="D40" s="512"/>
      <c r="E40" s="512"/>
      <c r="F40" s="512"/>
      <c r="G40" s="512"/>
      <c r="H40" s="512"/>
      <c r="I40" s="512"/>
      <c r="J40" s="512"/>
      <c r="K40" s="512"/>
      <c r="L40" s="512"/>
      <c r="M40" s="512"/>
      <c r="N40" s="965"/>
      <c r="O40" s="268"/>
      <c r="P40" s="963"/>
      <c r="Q40" s="268"/>
      <c r="R40" s="268"/>
      <c r="S40" s="268"/>
      <c r="T40" s="268"/>
      <c r="U40" s="268"/>
      <c r="V40" s="268"/>
      <c r="W40" s="268"/>
      <c r="X40" s="964"/>
      <c r="Y40" s="268"/>
      <c r="Z40" s="268"/>
      <c r="AA40" s="268"/>
      <c r="AB40" s="268"/>
    </row>
    <row r="41" spans="1:66">
      <c r="N41" s="268"/>
      <c r="O41" s="268"/>
      <c r="P41" s="963"/>
      <c r="Q41" s="268"/>
      <c r="R41" s="268"/>
      <c r="S41" s="268"/>
      <c r="T41" s="268"/>
      <c r="U41" s="395">
        <f>U39*12</f>
        <v>0</v>
      </c>
      <c r="V41" s="268"/>
      <c r="W41" s="268"/>
      <c r="X41" s="964"/>
      <c r="Y41" s="268"/>
      <c r="Z41" s="268"/>
      <c r="AA41" s="268"/>
      <c r="AB41" s="268"/>
      <c r="BN41">
        <f>BN39*12</f>
        <v>0</v>
      </c>
    </row>
    <row r="42" spans="1:66">
      <c r="N42" s="268"/>
      <c r="O42" s="268"/>
      <c r="P42" s="963"/>
      <c r="Q42" s="268"/>
      <c r="R42" s="268"/>
      <c r="S42" s="268"/>
      <c r="T42" s="268"/>
      <c r="U42" s="268"/>
      <c r="V42" s="268"/>
      <c r="W42" s="268"/>
      <c r="X42" s="964"/>
      <c r="Y42" s="268"/>
      <c r="Z42" s="268"/>
      <c r="AA42" s="268"/>
      <c r="AB42" s="268"/>
      <c r="AZ42" s="997" t="s">
        <v>479</v>
      </c>
      <c r="BA42" s="997"/>
      <c r="BB42" s="997"/>
      <c r="BD42" s="997" t="s">
        <v>480</v>
      </c>
      <c r="BE42" s="997"/>
      <c r="BF42" s="997"/>
      <c r="BH42" s="997" t="s">
        <v>481</v>
      </c>
      <c r="BI42" s="997"/>
      <c r="BJ42" s="997"/>
    </row>
    <row r="43" spans="1:66">
      <c r="N43" s="268"/>
      <c r="O43" s="268"/>
      <c r="P43" s="963"/>
      <c r="Q43" s="268"/>
      <c r="R43" s="268"/>
      <c r="S43" s="268"/>
      <c r="T43" s="268" t="s">
        <v>498</v>
      </c>
      <c r="U43" s="395">
        <f>U35-U41</f>
        <v>10</v>
      </c>
      <c r="V43" s="268"/>
      <c r="W43" s="268"/>
      <c r="X43" s="964"/>
      <c r="Y43" s="268"/>
      <c r="Z43" s="268"/>
      <c r="AA43" s="268"/>
      <c r="AB43" s="268"/>
      <c r="AZ43" s="834" t="s">
        <v>482</v>
      </c>
      <c r="BA43" s="959">
        <f>IF(AND(D7=D8,E7=E8),0,IF(D8&lt;D7,BB23-BB29,BB29))</f>
        <v>42.760566673861078</v>
      </c>
      <c r="BB43" s="834" t="s">
        <v>362</v>
      </c>
      <c r="BD43" s="834" t="s">
        <v>482</v>
      </c>
      <c r="BE43" s="959">
        <f>BB23-BA43</f>
        <v>20.071286397934784</v>
      </c>
      <c r="BF43" s="834" t="s">
        <v>362</v>
      </c>
      <c r="BH43" s="834" t="s">
        <v>482</v>
      </c>
      <c r="BI43" s="959">
        <f>MIN(BA43,BE43)</f>
        <v>20.071286397934784</v>
      </c>
      <c r="BJ43" s="834" t="s">
        <v>362</v>
      </c>
      <c r="BM43" t="s">
        <v>498</v>
      </c>
      <c r="BN43">
        <f>BN35-BN41</f>
        <v>9</v>
      </c>
    </row>
    <row r="44" spans="1:66">
      <c r="P44" s="963"/>
      <c r="Q44" s="268"/>
      <c r="R44" s="268"/>
      <c r="S44" s="268"/>
      <c r="T44" s="268"/>
      <c r="U44" s="268"/>
      <c r="V44" s="268"/>
      <c r="W44" s="268"/>
      <c r="X44" s="964"/>
    </row>
    <row r="45" spans="1:66">
      <c r="P45" s="963"/>
      <c r="Q45" s="268"/>
      <c r="R45" s="268"/>
      <c r="S45" s="268"/>
      <c r="T45" s="268" t="s">
        <v>499</v>
      </c>
      <c r="U45" s="395">
        <f>U37</f>
        <v>19</v>
      </c>
      <c r="V45" s="268"/>
      <c r="W45" s="268"/>
      <c r="X45" s="964"/>
      <c r="BM45" t="s">
        <v>499</v>
      </c>
      <c r="BN45">
        <f>BN37</f>
        <v>25</v>
      </c>
    </row>
    <row r="46" spans="1:66">
      <c r="P46" s="831"/>
      <c r="Q46" s="512"/>
      <c r="R46" s="512"/>
      <c r="S46" s="512"/>
      <c r="T46" s="512"/>
      <c r="U46" s="512"/>
      <c r="V46" s="512"/>
      <c r="W46" s="512"/>
      <c r="X46" s="832"/>
      <c r="BC46" s="268"/>
    </row>
    <row r="49" spans="54:78">
      <c r="BD49" s="268"/>
    </row>
    <row r="50" spans="54:78">
      <c r="BB50" s="268"/>
      <c r="BD50" s="268"/>
    </row>
    <row r="52" spans="54:78">
      <c r="BJ52" s="268" t="s">
        <v>467</v>
      </c>
      <c r="BK52" s="268" t="s">
        <v>468</v>
      </c>
      <c r="BM52" s="268" t="s">
        <v>467</v>
      </c>
      <c r="BN52" s="268" t="s">
        <v>468</v>
      </c>
      <c r="BS52" s="268" t="s">
        <v>467</v>
      </c>
      <c r="BT52" s="268" t="s">
        <v>468</v>
      </c>
      <c r="BV52" s="268" t="s">
        <v>467</v>
      </c>
      <c r="BW52" s="268" t="s">
        <v>468</v>
      </c>
    </row>
    <row r="53" spans="54:78">
      <c r="BJ53" s="268">
        <f>AZ13</f>
        <v>6</v>
      </c>
      <c r="BK53" s="268">
        <f>BA13</f>
        <v>52</v>
      </c>
      <c r="BM53">
        <f>BN87</f>
        <v>2</v>
      </c>
      <c r="BN53">
        <f>BN89</f>
        <v>13</v>
      </c>
      <c r="BS53" s="268">
        <f>AZ13</f>
        <v>6</v>
      </c>
      <c r="BT53" s="268">
        <f>BA13</f>
        <v>52</v>
      </c>
      <c r="BV53">
        <f>BW87</f>
        <v>7</v>
      </c>
      <c r="BW53">
        <f>BW89</f>
        <v>30</v>
      </c>
    </row>
    <row r="54" spans="54:78">
      <c r="BJ54" t="s">
        <v>473</v>
      </c>
      <c r="BK54">
        <v>30</v>
      </c>
      <c r="BM54" t="s">
        <v>362</v>
      </c>
      <c r="BN54" s="873">
        <f>BB23-BJ56</f>
        <v>57.831853071795862</v>
      </c>
      <c r="BS54" t="s">
        <v>473</v>
      </c>
      <c r="BT54">
        <v>30</v>
      </c>
      <c r="BV54" t="s">
        <v>362</v>
      </c>
      <c r="BW54" s="873">
        <f>BJ12</f>
        <v>5</v>
      </c>
    </row>
    <row r="55" spans="54:78">
      <c r="BJ55" t="s">
        <v>116</v>
      </c>
      <c r="BK55">
        <f>BA10</f>
        <v>10</v>
      </c>
      <c r="BS55" t="s">
        <v>116</v>
      </c>
      <c r="BT55">
        <f>BA10</f>
        <v>10</v>
      </c>
    </row>
    <row r="56" spans="54:78">
      <c r="BJ56" s="873">
        <f>BK55/2</f>
        <v>5</v>
      </c>
      <c r="BS56" s="873">
        <f>BT55/2</f>
        <v>5</v>
      </c>
    </row>
    <row r="58" spans="54:78">
      <c r="BJ58" s="873">
        <f>60*BJ53</f>
        <v>360</v>
      </c>
      <c r="BS58" s="873">
        <f>60*BS53</f>
        <v>360</v>
      </c>
    </row>
    <row r="59" spans="54:78">
      <c r="BK59" t="s">
        <v>490</v>
      </c>
      <c r="BL59" s="966">
        <f>BL61/360</f>
        <v>2</v>
      </c>
      <c r="BQ59" s="268"/>
      <c r="BT59" t="s">
        <v>490</v>
      </c>
      <c r="BU59" s="966">
        <f>BU61/360</f>
        <v>2</v>
      </c>
      <c r="BZ59" s="268"/>
    </row>
    <row r="60" spans="54:78">
      <c r="BJ60" s="873">
        <f>BK53+BJ58</f>
        <v>412</v>
      </c>
      <c r="BQ60" s="268"/>
      <c r="BS60" s="873">
        <f>BT53+BS58</f>
        <v>412</v>
      </c>
      <c r="BZ60" s="268"/>
    </row>
    <row r="61" spans="54:78">
      <c r="BK61" t="s">
        <v>484</v>
      </c>
      <c r="BL61" s="966">
        <f>12*60</f>
        <v>720</v>
      </c>
      <c r="BT61" t="s">
        <v>484</v>
      </c>
      <c r="BU61" s="966">
        <f>12*60</f>
        <v>720</v>
      </c>
    </row>
    <row r="63" spans="54:78">
      <c r="BK63" t="s">
        <v>491</v>
      </c>
      <c r="BL63" s="873">
        <f>PI()*BK54</f>
        <v>94.247779607693786</v>
      </c>
      <c r="BT63" t="s">
        <v>491</v>
      </c>
      <c r="BU63" s="873">
        <f>PI()*BT54</f>
        <v>94.247779607693786</v>
      </c>
    </row>
    <row r="64" spans="54:78">
      <c r="BL64" s="268"/>
      <c r="BU64" s="268"/>
    </row>
    <row r="65" spans="64:78">
      <c r="BL65">
        <f>BL61/BL63</f>
        <v>7.639437268410977</v>
      </c>
      <c r="BU65">
        <f>BU61/BU63</f>
        <v>7.639437268410977</v>
      </c>
    </row>
    <row r="67" spans="64:78">
      <c r="BL67">
        <f>BL65*BN54</f>
        <v>441.80281365794514</v>
      </c>
      <c r="BN67">
        <f>BL67+BJ60</f>
        <v>853.80281365794508</v>
      </c>
      <c r="BP67" t="s">
        <v>492</v>
      </c>
      <c r="BQ67">
        <f>BL67/BL59</f>
        <v>220.90140682897257</v>
      </c>
      <c r="BU67">
        <f>BU65*BW54</f>
        <v>38.197186342054884</v>
      </c>
      <c r="BW67">
        <f>BU67+BS60</f>
        <v>450.19718634205486</v>
      </c>
      <c r="BY67" t="s">
        <v>492</v>
      </c>
      <c r="BZ67">
        <f>BU67/BU59</f>
        <v>19.098593171027442</v>
      </c>
    </row>
    <row r="69" spans="64:78">
      <c r="BN69">
        <f>BN67/60</f>
        <v>14.230046894299084</v>
      </c>
      <c r="BW69">
        <f>BW67/60</f>
        <v>7.5032864390342473</v>
      </c>
    </row>
    <row r="71" spans="64:78">
      <c r="BN71">
        <f>ROUNDDOWN(BN67/60,0)</f>
        <v>14</v>
      </c>
      <c r="BW71">
        <f>ROUNDDOWN(BW67/60,0)</f>
        <v>7</v>
      </c>
    </row>
    <row r="73" spans="64:78">
      <c r="BN73">
        <f>BN71*60</f>
        <v>840</v>
      </c>
      <c r="BW73">
        <f>BW71*60</f>
        <v>420</v>
      </c>
    </row>
    <row r="75" spans="64:78">
      <c r="BN75">
        <f>BN67-BN73</f>
        <v>13.80281365794508</v>
      </c>
      <c r="BW75">
        <f>BW67-BW73</f>
        <v>30.197186342054863</v>
      </c>
    </row>
    <row r="77" spans="64:78">
      <c r="BN77">
        <f>ROUNDDOWN(BN75,0)</f>
        <v>13</v>
      </c>
      <c r="BW77">
        <f>ROUNDDOWN(BW75,0)</f>
        <v>30</v>
      </c>
    </row>
    <row r="79" spans="64:78">
      <c r="BM79" t="s">
        <v>497</v>
      </c>
      <c r="BN79">
        <f>BN71</f>
        <v>14</v>
      </c>
      <c r="BV79" t="s">
        <v>497</v>
      </c>
      <c r="BW79">
        <f>BW71</f>
        <v>7</v>
      </c>
    </row>
    <row r="81" spans="65:78">
      <c r="BM81" t="s">
        <v>493</v>
      </c>
      <c r="BN81">
        <f>BN77</f>
        <v>13</v>
      </c>
      <c r="BV81" t="s">
        <v>493</v>
      </c>
      <c r="BW81">
        <f>BW77</f>
        <v>30</v>
      </c>
    </row>
    <row r="82" spans="65:78">
      <c r="BQ82" s="268"/>
      <c r="BZ82" s="268"/>
    </row>
    <row r="83" spans="65:78">
      <c r="BN83">
        <f>ROUNDDOWN(BN79/12,0)</f>
        <v>1</v>
      </c>
      <c r="BQ83" s="268"/>
      <c r="BW83">
        <f>ROUNDDOWN(BW79/12,0)</f>
        <v>0</v>
      </c>
      <c r="BZ83" s="268"/>
    </row>
    <row r="84" spans="65:78">
      <c r="BQ84" s="268"/>
      <c r="BZ84" s="268"/>
    </row>
    <row r="85" spans="65:78">
      <c r="BN85">
        <f>BN83*12</f>
        <v>12</v>
      </c>
      <c r="BQ85" s="268"/>
      <c r="BW85">
        <f>BW83*12</f>
        <v>0</v>
      </c>
      <c r="BZ85" s="268"/>
    </row>
    <row r="86" spans="65:78">
      <c r="BQ86" s="268"/>
      <c r="BZ86" s="268"/>
    </row>
    <row r="87" spans="65:78">
      <c r="BM87" t="s">
        <v>498</v>
      </c>
      <c r="BN87">
        <f>BN79-BN85</f>
        <v>2</v>
      </c>
      <c r="BQ87" s="268"/>
      <c r="BV87" t="s">
        <v>498</v>
      </c>
      <c r="BW87">
        <f>BW79-BW85</f>
        <v>7</v>
      </c>
      <c r="BZ87" s="268"/>
    </row>
    <row r="88" spans="65:78">
      <c r="BQ88" s="268"/>
      <c r="BZ88" s="268"/>
    </row>
    <row r="89" spans="65:78">
      <c r="BM89" t="s">
        <v>499</v>
      </c>
      <c r="BN89">
        <f>BN81</f>
        <v>13</v>
      </c>
      <c r="BQ89" s="268"/>
      <c r="BV89" t="s">
        <v>499</v>
      </c>
      <c r="BW89">
        <f>BW81</f>
        <v>30</v>
      </c>
      <c r="BZ89" s="268"/>
    </row>
    <row r="90" spans="65:78">
      <c r="BQ90" s="268"/>
    </row>
    <row r="91" spans="65:78">
      <c r="BQ91" s="268"/>
    </row>
    <row r="92" spans="65:78">
      <c r="BQ92" s="268"/>
    </row>
    <row r="93" spans="65:78">
      <c r="BQ93" s="268"/>
    </row>
    <row r="99" spans="62:75">
      <c r="BJ99" s="268" t="s">
        <v>467</v>
      </c>
      <c r="BK99" s="268" t="s">
        <v>468</v>
      </c>
      <c r="BM99" s="268" t="s">
        <v>467</v>
      </c>
      <c r="BN99" s="268" t="s">
        <v>468</v>
      </c>
      <c r="BS99" s="268" t="s">
        <v>467</v>
      </c>
      <c r="BT99" s="268" t="s">
        <v>468</v>
      </c>
      <c r="BV99" s="268" t="s">
        <v>467</v>
      </c>
      <c r="BW99" s="268" t="s">
        <v>468</v>
      </c>
    </row>
    <row r="100" spans="62:75">
      <c r="BJ100" s="268">
        <f>BC13</f>
        <v>10</v>
      </c>
      <c r="BK100" s="268">
        <f>BD13</f>
        <v>42</v>
      </c>
      <c r="BM100">
        <f>BN134</f>
        <v>6</v>
      </c>
      <c r="BN100">
        <f>BN136</f>
        <v>3</v>
      </c>
      <c r="BS100" s="268">
        <f>BJ100</f>
        <v>10</v>
      </c>
      <c r="BT100" s="268">
        <f>BK100</f>
        <v>42</v>
      </c>
      <c r="BV100">
        <f>BW134</f>
        <v>11</v>
      </c>
      <c r="BW100">
        <f>BW136</f>
        <v>20</v>
      </c>
    </row>
    <row r="101" spans="62:75">
      <c r="BJ101" t="s">
        <v>473</v>
      </c>
      <c r="BK101">
        <v>30</v>
      </c>
      <c r="BM101" t="s">
        <v>362</v>
      </c>
      <c r="BN101" s="873">
        <f>BB23-BJ103</f>
        <v>57.831853071795862</v>
      </c>
      <c r="BS101" t="s">
        <v>473</v>
      </c>
      <c r="BT101">
        <v>30</v>
      </c>
      <c r="BV101" t="s">
        <v>362</v>
      </c>
      <c r="BW101" s="873">
        <f>BJ103</f>
        <v>5</v>
      </c>
    </row>
    <row r="102" spans="62:75">
      <c r="BJ102" t="s">
        <v>116</v>
      </c>
      <c r="BK102">
        <f>BD10</f>
        <v>10</v>
      </c>
      <c r="BS102" t="s">
        <v>116</v>
      </c>
      <c r="BT102">
        <f>BK102</f>
        <v>10</v>
      </c>
    </row>
    <row r="103" spans="62:75">
      <c r="BJ103" s="873">
        <f>BK102/2</f>
        <v>5</v>
      </c>
      <c r="BS103" s="873">
        <f>BT102/2</f>
        <v>5</v>
      </c>
    </row>
    <row r="105" spans="62:75">
      <c r="BJ105" s="873">
        <f>60*BJ100</f>
        <v>600</v>
      </c>
      <c r="BS105" s="873">
        <f>60*BS100</f>
        <v>600</v>
      </c>
    </row>
    <row r="106" spans="62:75">
      <c r="BK106" t="s">
        <v>490</v>
      </c>
      <c r="BL106" s="966">
        <f>BL108/360</f>
        <v>2</v>
      </c>
      <c r="BQ106" s="268"/>
      <c r="BT106" t="s">
        <v>490</v>
      </c>
      <c r="BU106" s="966">
        <f>BU108/360</f>
        <v>2</v>
      </c>
    </row>
    <row r="107" spans="62:75">
      <c r="BJ107" s="873">
        <f>BK100+BJ105</f>
        <v>642</v>
      </c>
      <c r="BQ107" s="268"/>
      <c r="BS107" s="873">
        <f>BT100+BS105</f>
        <v>642</v>
      </c>
    </row>
    <row r="108" spans="62:75">
      <c r="BK108" t="s">
        <v>484</v>
      </c>
      <c r="BL108" s="966">
        <f>12*60</f>
        <v>720</v>
      </c>
      <c r="BT108" t="s">
        <v>484</v>
      </c>
      <c r="BU108" s="966">
        <f>12*60</f>
        <v>720</v>
      </c>
    </row>
    <row r="110" spans="62:75">
      <c r="BK110" t="s">
        <v>491</v>
      </c>
      <c r="BL110" s="873">
        <f>PI()*BK101</f>
        <v>94.247779607693786</v>
      </c>
      <c r="BT110" t="s">
        <v>491</v>
      </c>
      <c r="BU110" s="873">
        <f>PI()*BT101</f>
        <v>94.247779607693786</v>
      </c>
    </row>
    <row r="111" spans="62:75">
      <c r="BL111" s="268"/>
      <c r="BU111" s="268"/>
    </row>
    <row r="112" spans="62:75">
      <c r="BL112">
        <f>BL108/BL110</f>
        <v>7.639437268410977</v>
      </c>
      <c r="BU112">
        <f>BU108/BU110</f>
        <v>7.639437268410977</v>
      </c>
    </row>
    <row r="114" spans="64:78">
      <c r="BL114">
        <f>BL112*BN101</f>
        <v>441.80281365794514</v>
      </c>
      <c r="BN114">
        <f>BL114+BJ107</f>
        <v>1083.8028136579451</v>
      </c>
      <c r="BP114" t="s">
        <v>492</v>
      </c>
      <c r="BQ114">
        <f>BL114/BL106</f>
        <v>220.90140682897257</v>
      </c>
      <c r="BU114">
        <f>BU112*BW101</f>
        <v>38.197186342054884</v>
      </c>
      <c r="BW114">
        <f>BU114+BS107</f>
        <v>680.19718634205492</v>
      </c>
      <c r="BY114" t="s">
        <v>492</v>
      </c>
      <c r="BZ114">
        <f>BU114/BU106</f>
        <v>19.098593171027442</v>
      </c>
    </row>
    <row r="116" spans="64:78">
      <c r="BN116">
        <f>BN114/60</f>
        <v>18.063380227632418</v>
      </c>
      <c r="BW116">
        <f>BW114/60</f>
        <v>11.336619772367582</v>
      </c>
    </row>
    <row r="118" spans="64:78">
      <c r="BN118">
        <f>ROUNDDOWN(BN114/60,0)</f>
        <v>18</v>
      </c>
      <c r="BW118">
        <f>ROUNDDOWN(BW114/60,0)</f>
        <v>11</v>
      </c>
    </row>
    <row r="120" spans="64:78">
      <c r="BN120">
        <f>BN118*60</f>
        <v>1080</v>
      </c>
      <c r="BW120">
        <f>BW118*60</f>
        <v>660</v>
      </c>
    </row>
    <row r="122" spans="64:78">
      <c r="BN122">
        <f>BN114-BN120</f>
        <v>3.8028136579450802</v>
      </c>
      <c r="BW122">
        <f>BW114-BW120</f>
        <v>20.19718634205492</v>
      </c>
    </row>
    <row r="124" spans="64:78">
      <c r="BN124">
        <f>ROUNDDOWN(BN122,0)</f>
        <v>3</v>
      </c>
      <c r="BW124">
        <f>ROUNDDOWN(BW122,0)</f>
        <v>20</v>
      </c>
    </row>
    <row r="126" spans="64:78">
      <c r="BM126" t="s">
        <v>497</v>
      </c>
      <c r="BN126">
        <f>BN118</f>
        <v>18</v>
      </c>
      <c r="BV126" t="s">
        <v>497</v>
      </c>
      <c r="BW126">
        <f>BW118</f>
        <v>11</v>
      </c>
    </row>
    <row r="128" spans="64:78">
      <c r="BM128" t="s">
        <v>493</v>
      </c>
      <c r="BN128">
        <f>BN124</f>
        <v>3</v>
      </c>
      <c r="BV128" t="s">
        <v>493</v>
      </c>
      <c r="BW128">
        <f>BW124</f>
        <v>20</v>
      </c>
    </row>
    <row r="129" spans="65:75">
      <c r="BQ129" s="268"/>
    </row>
    <row r="130" spans="65:75">
      <c r="BN130">
        <f>ROUNDDOWN(BN126/12,0)</f>
        <v>1</v>
      </c>
      <c r="BQ130" s="268"/>
      <c r="BW130">
        <f>ROUNDDOWN(BW126/12,0)</f>
        <v>0</v>
      </c>
    </row>
    <row r="131" spans="65:75">
      <c r="BQ131" s="268"/>
    </row>
    <row r="132" spans="65:75">
      <c r="BN132">
        <f>BN130*12</f>
        <v>12</v>
      </c>
      <c r="BQ132" s="268"/>
      <c r="BW132">
        <f>BW130*12</f>
        <v>0</v>
      </c>
    </row>
    <row r="133" spans="65:75">
      <c r="BQ133" s="268"/>
    </row>
    <row r="134" spans="65:75">
      <c r="BM134" t="s">
        <v>498</v>
      </c>
      <c r="BN134">
        <f>BN126-BN132</f>
        <v>6</v>
      </c>
      <c r="BQ134" s="268"/>
      <c r="BV134" t="s">
        <v>498</v>
      </c>
      <c r="BW134">
        <f>BW126-BW132</f>
        <v>11</v>
      </c>
    </row>
    <row r="135" spans="65:75">
      <c r="BQ135" s="268"/>
    </row>
    <row r="136" spans="65:75">
      <c r="BM136" t="s">
        <v>499</v>
      </c>
      <c r="BN136">
        <f>BN128</f>
        <v>3</v>
      </c>
      <c r="BQ136" s="268"/>
      <c r="BV136" t="s">
        <v>499</v>
      </c>
      <c r="BW136">
        <f>BW128</f>
        <v>20</v>
      </c>
    </row>
  </sheetData>
  <mergeCells count="33">
    <mergeCell ref="A1:G3"/>
    <mergeCell ref="Q1:V3"/>
    <mergeCell ref="D31:E31"/>
    <mergeCell ref="D32:E32"/>
    <mergeCell ref="C33:D33"/>
    <mergeCell ref="E33:F33"/>
    <mergeCell ref="G33:H33"/>
    <mergeCell ref="J31:K31"/>
    <mergeCell ref="J32:K32"/>
    <mergeCell ref="I33:J33"/>
    <mergeCell ref="K33:L33"/>
    <mergeCell ref="C13:E13"/>
    <mergeCell ref="K13:M13"/>
    <mergeCell ref="J30:K30"/>
    <mergeCell ref="D30:E30"/>
    <mergeCell ref="G30:H30"/>
    <mergeCell ref="G13:I13"/>
    <mergeCell ref="H36:I36"/>
    <mergeCell ref="AZ42:BB42"/>
    <mergeCell ref="BD42:BF42"/>
    <mergeCell ref="F36:G36"/>
    <mergeCell ref="BH42:BJ42"/>
    <mergeCell ref="L36:M36"/>
    <mergeCell ref="L37:M37"/>
    <mergeCell ref="B35:M35"/>
    <mergeCell ref="B37:C37"/>
    <mergeCell ref="D37:E37"/>
    <mergeCell ref="F37:G37"/>
    <mergeCell ref="H37:I37"/>
    <mergeCell ref="J36:K36"/>
    <mergeCell ref="J37:K37"/>
    <mergeCell ref="B36:C36"/>
    <mergeCell ref="D36:E36"/>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04BA9-D9BD-4172-8D2F-77A15537C5FC}">
  <sheetPr>
    <pageSetUpPr autoPageBreaks="0"/>
  </sheetPr>
  <dimension ref="A1:KO90"/>
  <sheetViews>
    <sheetView topLeftCell="BL1" zoomScaleNormal="100" workbookViewId="0">
      <selection activeCell="BW10" sqref="BW10"/>
    </sheetView>
  </sheetViews>
  <sheetFormatPr defaultRowHeight="15"/>
  <cols>
    <col min="5" max="8" width="9.140625" customWidth="1"/>
    <col min="9" max="9" width="19.85546875" customWidth="1"/>
    <col min="10" max="13" width="9.140625" customWidth="1"/>
    <col min="14" max="14" width="32.85546875" bestFit="1" customWidth="1"/>
    <col min="15" max="15" width="29" customWidth="1"/>
    <col min="16" max="16" width="30.42578125" customWidth="1"/>
    <col min="17" max="17" width="9.140625" customWidth="1"/>
    <col min="18" max="18" width="12" customWidth="1"/>
    <col min="19" max="19" width="12.28515625" customWidth="1"/>
    <col min="20" max="20" width="12.42578125" customWidth="1"/>
    <col min="21" max="21" width="9.7109375" customWidth="1"/>
    <col min="22" max="22" width="37.85546875" customWidth="1"/>
    <col min="23" max="23" width="11.5703125" customWidth="1"/>
    <col min="24" max="24" width="13.28515625" customWidth="1"/>
    <col min="25" max="25" width="9.140625" customWidth="1"/>
    <col min="26" max="26" width="11.5703125" customWidth="1"/>
    <col min="27" max="27" width="19.28515625" customWidth="1"/>
    <col min="28" max="28" width="13.28515625" customWidth="1"/>
    <col min="29" max="30" width="9.140625" customWidth="1"/>
    <col min="31" max="31" width="19.28515625" customWidth="1"/>
    <col min="33" max="33" width="17" bestFit="1" customWidth="1"/>
    <col min="34" max="34" width="23.140625" bestFit="1" customWidth="1"/>
    <col min="35" max="35" width="10.42578125" bestFit="1" customWidth="1"/>
    <col min="36" max="36" width="12" bestFit="1" customWidth="1"/>
    <col min="47" max="48" width="8.85546875" customWidth="1"/>
    <col min="49" max="49" width="14.85546875" customWidth="1"/>
    <col min="50" max="50" width="20" customWidth="1"/>
    <col min="51" max="52" width="10.42578125" customWidth="1"/>
    <col min="53" max="53" width="8.85546875" customWidth="1"/>
    <col min="54" max="54" width="14.85546875" customWidth="1"/>
    <col min="55" max="57" width="8.85546875" customWidth="1"/>
    <col min="58" max="58" width="32.85546875" customWidth="1"/>
    <col min="59" max="61" width="8.85546875" customWidth="1"/>
    <col min="62" max="62" width="13.28515625" bestFit="1" customWidth="1"/>
    <col min="63" max="63" width="8.85546875" customWidth="1"/>
    <col min="64" max="64" width="17.5703125" customWidth="1"/>
    <col min="65" max="65" width="8.85546875" customWidth="1"/>
    <col min="67" max="67" width="17" bestFit="1" customWidth="1"/>
    <col min="68" max="68" width="16.5703125" bestFit="1" customWidth="1"/>
    <col min="69" max="69" width="12.5703125" customWidth="1"/>
    <col min="70" max="70" width="12" bestFit="1" customWidth="1"/>
    <col min="72" max="72" width="29.42578125" customWidth="1"/>
    <col min="73" max="73" width="9.7109375" customWidth="1"/>
    <col min="77" max="77" width="56" bestFit="1" customWidth="1"/>
    <col min="82" max="82" width="33.140625" customWidth="1"/>
    <col min="84" max="84" width="11.5703125" customWidth="1"/>
    <col min="85" max="85" width="24" bestFit="1" customWidth="1"/>
    <col min="96" max="96" width="18.140625" bestFit="1" customWidth="1"/>
    <col min="98" max="98" width="25.140625" customWidth="1"/>
    <col min="101" max="101" width="14.85546875" bestFit="1" customWidth="1"/>
    <col min="206" max="206" width="11.140625" customWidth="1"/>
    <col min="234" max="234" width="10" customWidth="1"/>
    <col min="236" max="236" width="10.140625" customWidth="1"/>
    <col min="237" max="237" width="10.7109375" customWidth="1"/>
    <col min="238" max="238" width="11.5703125" customWidth="1"/>
    <col min="240" max="240" width="10.140625" customWidth="1"/>
    <col min="264" max="264" width="10.85546875" customWidth="1"/>
    <col min="266" max="266" width="10" customWidth="1"/>
  </cols>
  <sheetData>
    <row r="1" spans="1:73">
      <c r="A1" s="1221" t="s">
        <v>500</v>
      </c>
      <c r="B1" s="1221"/>
      <c r="C1" s="1221"/>
    </row>
    <row r="2" spans="1:73" ht="45">
      <c r="A2" s="291" t="s">
        <v>74</v>
      </c>
      <c r="B2" s="527">
        <f>ROUNDUP(IF(MechCarbonPrice!B4=1,Mechanical!C25,Corrosion!C26),0)</f>
        <v>43</v>
      </c>
      <c r="I2" s="1221" t="s">
        <v>501</v>
      </c>
      <c r="J2" s="1221"/>
      <c r="K2" s="1221"/>
      <c r="L2" s="1221"/>
      <c r="M2" s="1221"/>
      <c r="N2" s="1221"/>
      <c r="O2" s="1221"/>
      <c r="P2" s="1221"/>
      <c r="S2" s="1221" t="s">
        <v>502</v>
      </c>
      <c r="T2" s="1221"/>
      <c r="U2" s="1221"/>
      <c r="V2" s="1221"/>
      <c r="W2" s="1221"/>
      <c r="X2" s="1221"/>
      <c r="Y2" s="1221"/>
      <c r="Z2" s="1221"/>
      <c r="AA2" s="1221"/>
      <c r="AB2" s="1221"/>
      <c r="AC2" s="1221"/>
      <c r="AE2" s="264" t="s">
        <v>229</v>
      </c>
      <c r="AG2" s="1224" t="s">
        <v>503</v>
      </c>
      <c r="AH2" s="1224"/>
      <c r="AI2" s="1224"/>
      <c r="AJ2" s="1224"/>
      <c r="AW2" s="1224" t="s">
        <v>504</v>
      </c>
      <c r="AX2" s="1224"/>
      <c r="AY2" s="1224"/>
      <c r="AZ2" s="1224"/>
      <c r="BA2" s="1224"/>
      <c r="BC2" s="1221" t="s">
        <v>502</v>
      </c>
      <c r="BD2" s="1221"/>
      <c r="BE2" s="1221"/>
      <c r="BF2" s="1221"/>
      <c r="BG2" s="1221"/>
      <c r="BH2" s="1221"/>
      <c r="BI2" s="1221"/>
      <c r="BJ2" s="1221"/>
      <c r="BK2" s="1221"/>
      <c r="BL2" s="1221"/>
      <c r="BM2" s="1221"/>
      <c r="BO2" s="1224" t="s">
        <v>505</v>
      </c>
      <c r="BP2" s="1224"/>
      <c r="BQ2" s="1224"/>
      <c r="BR2" s="1224"/>
    </row>
    <row r="3" spans="1:73" ht="15.75" thickBot="1">
      <c r="A3" s="263" t="s">
        <v>196</v>
      </c>
      <c r="B3" s="524">
        <f>MechCarbonPrice!F5</f>
        <v>6</v>
      </c>
    </row>
    <row r="4" spans="1:73" ht="45.75" thickBot="1">
      <c r="J4" s="263" t="s">
        <v>506</v>
      </c>
      <c r="K4" s="291" t="s">
        <v>238</v>
      </c>
      <c r="L4" s="291" t="s">
        <v>507</v>
      </c>
      <c r="N4" s="291" t="s">
        <v>74</v>
      </c>
      <c r="O4" s="291" t="s">
        <v>508</v>
      </c>
      <c r="P4" s="291" t="s">
        <v>509</v>
      </c>
      <c r="S4" s="313" t="s">
        <v>510</v>
      </c>
      <c r="T4" s="313" t="s">
        <v>511</v>
      </c>
      <c r="V4" s="291" t="s">
        <v>512</v>
      </c>
      <c r="W4" s="263" t="s">
        <v>506</v>
      </c>
      <c r="X4" s="263" t="s">
        <v>513</v>
      </c>
      <c r="Z4" s="317" t="s">
        <v>514</v>
      </c>
      <c r="AB4" s="1222" t="s">
        <v>515</v>
      </c>
      <c r="AC4" s="1222"/>
      <c r="AD4" s="262"/>
      <c r="AE4" s="263" t="s">
        <v>516</v>
      </c>
      <c r="AG4" s="528"/>
      <c r="AH4" s="529" t="s">
        <v>517</v>
      </c>
      <c r="AI4" s="536" t="s">
        <v>518</v>
      </c>
      <c r="AJ4" s="263" t="s">
        <v>519</v>
      </c>
      <c r="AL4" s="814" t="s">
        <v>520</v>
      </c>
      <c r="AM4" s="814" t="s">
        <v>91</v>
      </c>
      <c r="AQ4" s="1221" t="s">
        <v>521</v>
      </c>
      <c r="AR4" s="1221"/>
      <c r="AS4" s="1221"/>
      <c r="AT4" s="268"/>
      <c r="AU4" s="268"/>
      <c r="AW4" s="528"/>
      <c r="AX4" s="529" t="str">
        <f>AH9</f>
        <v>(30) ft per linear ft</v>
      </c>
      <c r="AY4" s="263" t="s">
        <v>513</v>
      </c>
      <c r="BC4" s="313" t="s">
        <v>510</v>
      </c>
      <c r="BD4" s="313" t="s">
        <v>511</v>
      </c>
      <c r="BF4" s="291" t="s">
        <v>512</v>
      </c>
      <c r="BG4" s="263" t="s">
        <v>506</v>
      </c>
      <c r="BH4" s="263" t="s">
        <v>513</v>
      </c>
      <c r="BJ4" s="263" t="s">
        <v>514</v>
      </c>
      <c r="BL4" s="1223" t="s">
        <v>515</v>
      </c>
      <c r="BM4" s="1223"/>
      <c r="BO4" s="528"/>
      <c r="BP4" s="529" t="s">
        <v>517</v>
      </c>
      <c r="BQ4" s="536" t="s">
        <v>518</v>
      </c>
      <c r="BR4" s="263" t="s">
        <v>519</v>
      </c>
      <c r="BT4" s="814" t="s">
        <v>520</v>
      </c>
      <c r="BU4" s="814" t="s">
        <v>91</v>
      </c>
    </row>
    <row r="5" spans="1:73" ht="16.5" thickBot="1">
      <c r="E5" s="1221" t="s">
        <v>521</v>
      </c>
      <c r="F5" s="1221"/>
      <c r="G5" s="1221"/>
      <c r="I5" s="267" t="str">
        <f>"Quantity of (" &amp; (G7) &amp; ") ft"</f>
        <v>Quantity of (30) ft</v>
      </c>
      <c r="J5" s="263">
        <f>ROUNDUP(B2/G7,0)</f>
        <v>2</v>
      </c>
      <c r="K5" s="263">
        <f>J5*30</f>
        <v>60</v>
      </c>
      <c r="L5" s="526">
        <f>K5-B2</f>
        <v>17</v>
      </c>
      <c r="N5" s="315" t="str">
        <f>"(" &amp; (G7) &amp; ")x + (" &amp; (G6) &amp; ")y = (" &amp; (ROUND(B2,2)) &amp; ")"</f>
        <v>(30)x + (15)y = (43)</v>
      </c>
      <c r="O5" s="314">
        <f>ROUNDDOWN(B2/G7,0)</f>
        <v>1</v>
      </c>
      <c r="P5" s="263">
        <f>ROUNDUP(((B2-(G7*O5))/G6),0)</f>
        <v>1</v>
      </c>
      <c r="S5" s="264">
        <f>MIN(J5,J7,J9)</f>
        <v>2</v>
      </c>
      <c r="T5" s="312">
        <f>MIN(K5,K7,K9)</f>
        <v>45</v>
      </c>
      <c r="V5" s="263" t="str">
        <f>"(" &amp; (G7) &amp; ") ft"</f>
        <v>(30) ft</v>
      </c>
      <c r="W5" s="316">
        <f>IF(J5=S5,1,0)</f>
        <v>1</v>
      </c>
      <c r="X5" s="316">
        <f>IF(K5=T5,1,0)</f>
        <v>0</v>
      </c>
      <c r="Y5" s="266"/>
      <c r="Z5" s="263">
        <f>IF(SUM(X5,W5)=2,J5,0)</f>
        <v>0</v>
      </c>
      <c r="AB5" s="263" t="str">
        <f>"Quantity of (" &amp; (G7) &amp; ") ft"</f>
        <v>Quantity of (30) ft</v>
      </c>
      <c r="AC5" s="263">
        <f>IF(MAX(Z5:Z7)=Z7,O5,Z5)</f>
        <v>1</v>
      </c>
      <c r="AE5" s="263">
        <f>AC5*B3</f>
        <v>6</v>
      </c>
      <c r="AG5" s="531" t="str">
        <f>AB5</f>
        <v>Quantity of (30) ft</v>
      </c>
      <c r="AH5" s="263">
        <f>AC5</f>
        <v>1</v>
      </c>
      <c r="AI5" s="314">
        <f>AE5</f>
        <v>6</v>
      </c>
      <c r="AJ5" s="263">
        <f>AI5*G7</f>
        <v>180</v>
      </c>
      <c r="AL5" s="587" t="s">
        <v>522</v>
      </c>
      <c r="AM5" s="815">
        <f>AI7</f>
        <v>6</v>
      </c>
      <c r="AQ5" s="320" t="b">
        <f t="shared" ref="AQ5:AS7" si="0">E6</f>
        <v>0</v>
      </c>
      <c r="AR5" s="320">
        <f t="shared" si="0"/>
        <v>12</v>
      </c>
      <c r="AS5" s="320">
        <f t="shared" si="0"/>
        <v>15</v>
      </c>
      <c r="AT5" s="320"/>
      <c r="AU5" s="320"/>
      <c r="AW5" s="534" t="str">
        <f>AG10</f>
        <v>Quantity of (30) ft</v>
      </c>
      <c r="AX5" s="535">
        <f>IF(AQ6=TRUE,AH10,0)</f>
        <v>2</v>
      </c>
      <c r="AY5" s="263">
        <f>AX5*AS6</f>
        <v>60</v>
      </c>
      <c r="BC5" s="264" cm="1">
        <f t="array" ref="BC5">IFERROR(MIN(_xlfn._xlws.FILTER(CHOOSE({1,2,3},AX5,AX11,AX13),CHOOSE({1,2,3},AX5,AX11,AX13)&lt;&gt;0)),0)</f>
        <v>2</v>
      </c>
      <c r="BD5" s="312" cm="1">
        <f t="array" ref="BD5">IFERROR(MIN(_xlfn._xlws.FILTER(CHOOSE({1,2,3},AY5,AY11,AY13),CHOOSE({1,2,3},AY5,AY11,AY13)&lt;&gt;0)),0)</f>
        <v>60</v>
      </c>
      <c r="BF5" s="263" t="str">
        <f>"(" &amp; (AS6) &amp; ") ft"</f>
        <v>(30) ft</v>
      </c>
      <c r="BG5" s="316">
        <f>IF(AX5=BC5,1,0)</f>
        <v>1</v>
      </c>
      <c r="BH5" s="316">
        <f>IF(AY5=BD5,1,0)</f>
        <v>1</v>
      </c>
      <c r="BI5" s="266"/>
      <c r="BJ5" s="263">
        <f>IF(SUM(BH5,BG5)=2,AX5,0)</f>
        <v>2</v>
      </c>
      <c r="BL5" s="263" t="str">
        <f>"Quantity of (" &amp; (AS6) &amp; ") ft"</f>
        <v>Quantity of (30) ft</v>
      </c>
      <c r="BM5" s="263">
        <f>IF(MAX(BJ5:BJ7)=BJ7,AX8,BJ5)</f>
        <v>2</v>
      </c>
      <c r="BO5" s="531" t="str">
        <f>AG5</f>
        <v>Quantity of (30) ft</v>
      </c>
      <c r="BP5" s="263">
        <f>BM5</f>
        <v>2</v>
      </c>
      <c r="BQ5" s="314">
        <f>BP5*B3</f>
        <v>12</v>
      </c>
      <c r="BR5" s="263">
        <f>BQ5*AS6</f>
        <v>360</v>
      </c>
      <c r="BT5" s="587" t="s">
        <v>522</v>
      </c>
      <c r="BU5" s="815">
        <f>BQ7</f>
        <v>0</v>
      </c>
    </row>
    <row r="6" spans="1:73" ht="16.5" thickBot="1">
      <c r="E6" s="320" t="b">
        <f>Materials!J1</f>
        <v>0</v>
      </c>
      <c r="F6" s="320">
        <f>Materials!K1</f>
        <v>12</v>
      </c>
      <c r="G6" s="320">
        <f>Materials!L1</f>
        <v>15</v>
      </c>
      <c r="V6" s="263" t="str">
        <f>"(" &amp; (G6) &amp; ") ft"</f>
        <v>(15) ft</v>
      </c>
      <c r="W6" s="316">
        <f>IF(J7=S5,1,0)</f>
        <v>0</v>
      </c>
      <c r="X6" s="316">
        <f>IF(K6=T6,1,0)</f>
        <v>1</v>
      </c>
      <c r="Y6" s="292"/>
      <c r="Z6" s="263">
        <f>IF(SUM(X6,W6)=2,J7,0)</f>
        <v>0</v>
      </c>
      <c r="AE6" s="262"/>
      <c r="AG6" s="532"/>
      <c r="AH6" s="262"/>
      <c r="AI6" s="533"/>
      <c r="AJ6" s="262"/>
      <c r="AL6" s="587" t="s">
        <v>523</v>
      </c>
      <c r="AM6" s="815">
        <f>AI5</f>
        <v>6</v>
      </c>
      <c r="AQ6" s="320" t="b">
        <f t="shared" si="0"/>
        <v>1</v>
      </c>
      <c r="AR6" s="320">
        <f t="shared" si="0"/>
        <v>12</v>
      </c>
      <c r="AS6" s="320">
        <f t="shared" si="0"/>
        <v>30</v>
      </c>
      <c r="AT6" s="320"/>
      <c r="AU6" s="320" t="s">
        <v>524</v>
      </c>
      <c r="AX6" s="262"/>
      <c r="BF6" s="263" t="str">
        <f>"(" &amp; (AS5) &amp; ") ft"</f>
        <v>(15) ft</v>
      </c>
      <c r="BG6" s="316">
        <f>IF(AX13=BC5,1,0)</f>
        <v>0</v>
      </c>
      <c r="BH6" s="316">
        <f>IF(AY13=BD5,1,0)</f>
        <v>0</v>
      </c>
      <c r="BI6" s="292"/>
      <c r="BJ6" s="263">
        <f>IF(SUM(BH6,BG6)=2,AX13,0)</f>
        <v>0</v>
      </c>
      <c r="BO6" s="532"/>
      <c r="BP6" s="262"/>
      <c r="BQ6" s="533"/>
      <c r="BR6" s="262"/>
      <c r="BT6" s="587" t="s">
        <v>523</v>
      </c>
      <c r="BU6" s="815">
        <f>BQ5</f>
        <v>12</v>
      </c>
    </row>
    <row r="7" spans="1:73" ht="15.75" thickBot="1">
      <c r="E7" s="320" t="b">
        <f>Materials!J2</f>
        <v>1</v>
      </c>
      <c r="F7" s="320">
        <f>Materials!K2</f>
        <v>12</v>
      </c>
      <c r="G7" s="320">
        <f>Materials!L2</f>
        <v>30</v>
      </c>
      <c r="I7" s="267" t="str">
        <f>"Quantity of (" &amp; (G6) &amp; ") ft"</f>
        <v>Quantity of (15) ft</v>
      </c>
      <c r="J7" s="263">
        <f>ROUNDUP(B2/G6,0)</f>
        <v>3</v>
      </c>
      <c r="K7" s="263">
        <f>J7*15</f>
        <v>45</v>
      </c>
      <c r="L7" s="526">
        <f>K7-B2</f>
        <v>2</v>
      </c>
      <c r="V7" s="263" t="str">
        <f>"(" &amp; (G7) &amp; ") + (" &amp; (G6) &amp; ") ft"</f>
        <v>(30) + (15) ft</v>
      </c>
      <c r="W7" s="316">
        <f>IF(J9=S5,1,0)</f>
        <v>1</v>
      </c>
      <c r="X7" s="316">
        <f>IF(K7=T7,1,0)</f>
        <v>0</v>
      </c>
      <c r="Y7" s="266"/>
      <c r="Z7" s="263">
        <f>IF(SUM(X7,W7)=2,J9,0)</f>
        <v>0</v>
      </c>
      <c r="AB7" s="263" t="str">
        <f>"Quantity of (" &amp; (G6) &amp; ") ft"</f>
        <v>Quantity of (15) ft</v>
      </c>
      <c r="AC7" s="263">
        <f>IF(MAX(Z5:Z7)=Z7,P5,Z6)</f>
        <v>1</v>
      </c>
      <c r="AE7" s="263">
        <f>AC7*B3</f>
        <v>6</v>
      </c>
      <c r="AG7" s="534" t="str">
        <f>AB7</f>
        <v>Quantity of (15) ft</v>
      </c>
      <c r="AH7" s="535">
        <f>AC7</f>
        <v>1</v>
      </c>
      <c r="AI7" s="537">
        <f>AE7</f>
        <v>6</v>
      </c>
      <c r="AJ7" s="263">
        <f>AI7*G6</f>
        <v>90</v>
      </c>
      <c r="AM7" s="451"/>
      <c r="AQ7" s="320" t="b">
        <f t="shared" si="0"/>
        <v>0</v>
      </c>
      <c r="AR7" s="320">
        <f t="shared" si="0"/>
        <v>0</v>
      </c>
      <c r="AS7" s="320">
        <f t="shared" si="0"/>
        <v>0</v>
      </c>
      <c r="AT7" s="320"/>
      <c r="AU7" s="320" t="b">
        <f>AND(AQ5=TRUE,AQ6=TRUE)</f>
        <v>0</v>
      </c>
      <c r="AW7" s="528"/>
      <c r="AX7" s="529" t="str">
        <f>AH12</f>
        <v>(30) + (15) ft per linear ft</v>
      </c>
      <c r="AY7" s="263"/>
      <c r="BF7" s="263" t="str">
        <f>"(" &amp; (AS6) &amp; ") + (" &amp; (AS5) &amp; ") ft"</f>
        <v>(30) + (15) ft</v>
      </c>
      <c r="BG7" s="316">
        <f>IF(AX11=BC5,1,0)</f>
        <v>0</v>
      </c>
      <c r="BH7" s="316">
        <f>IF(AY11=BD5,1,0)</f>
        <v>0</v>
      </c>
      <c r="BI7" s="266"/>
      <c r="BJ7" s="263">
        <f>IF(SUM(BH7,BG7)=2,AX11,0)</f>
        <v>0</v>
      </c>
      <c r="BL7" s="263" t="str">
        <f>"Quantity of (" &amp; (AS5) &amp; ") ft"</f>
        <v>Quantity of (15) ft</v>
      </c>
      <c r="BM7" s="263">
        <f>IF(MAX(BJ5:BJ7)=BJ7,AX10,BJ6)</f>
        <v>0</v>
      </c>
      <c r="BO7" s="534" t="str">
        <f>AG7</f>
        <v>Quantity of (15) ft</v>
      </c>
      <c r="BP7" s="535">
        <f>BM7</f>
        <v>0</v>
      </c>
      <c r="BQ7" s="537">
        <f>BP7*B3</f>
        <v>0</v>
      </c>
      <c r="BR7" s="263">
        <f>BQ7*AS5</f>
        <v>0</v>
      </c>
      <c r="BU7" s="451"/>
    </row>
    <row r="8" spans="1:73" ht="15.75" thickBot="1">
      <c r="E8" s="320" t="b">
        <f>Materials!J3</f>
        <v>0</v>
      </c>
      <c r="F8" s="320">
        <f>Materials!K3</f>
        <v>0</v>
      </c>
      <c r="G8" s="320">
        <f>Materials!L3</f>
        <v>0</v>
      </c>
      <c r="AM8" s="451"/>
      <c r="AW8" s="531" t="str">
        <f>AG13</f>
        <v>Quantity of (30) ft</v>
      </c>
      <c r="AX8" s="263">
        <f>IF(AU7=TRUE,AH13,0)</f>
        <v>0</v>
      </c>
      <c r="AY8" s="263">
        <f>AX8*AS6</f>
        <v>0</v>
      </c>
      <c r="BU8" s="451"/>
    </row>
    <row r="9" spans="1:73" ht="16.5" thickBot="1">
      <c r="I9" s="267" t="str">
        <f>"Quantity of (" &amp; (G7) &amp; ") + (" &amp; (G6) &amp; ") ft"</f>
        <v>Quantity of (30) + (15) ft</v>
      </c>
      <c r="J9" s="263">
        <f>O5+P5</f>
        <v>2</v>
      </c>
      <c r="K9" s="263">
        <f>(O5*G7)+(P5*G6)</f>
        <v>45</v>
      </c>
      <c r="L9" s="526">
        <f>K9-B2</f>
        <v>2</v>
      </c>
      <c r="AG9" s="528"/>
      <c r="AH9" s="529" t="str">
        <f>"(" &amp; (G7) &amp; ") ft per linear ft"</f>
        <v>(30) ft per linear ft</v>
      </c>
      <c r="AI9" s="530" t="str">
        <f>"(" &amp; (G7) &amp; ") ft"</f>
        <v>(30) ft</v>
      </c>
      <c r="AL9" s="814" t="s">
        <v>525</v>
      </c>
      <c r="AM9" s="816" t="s">
        <v>91</v>
      </c>
      <c r="AW9" s="532"/>
      <c r="AX9" s="262"/>
      <c r="BU9" s="451"/>
    </row>
    <row r="10" spans="1:73" ht="16.5" thickBot="1">
      <c r="AG10" s="534" t="str">
        <f>AG5</f>
        <v>Quantity of (30) ft</v>
      </c>
      <c r="AH10" s="535">
        <f>J5</f>
        <v>2</v>
      </c>
      <c r="AI10" s="537">
        <f>AH10*B3</f>
        <v>12</v>
      </c>
      <c r="AJ10" s="263">
        <f>AI10*G7</f>
        <v>360</v>
      </c>
      <c r="AL10" s="587" t="s">
        <v>523</v>
      </c>
      <c r="AM10" s="815">
        <f>AI10</f>
        <v>12</v>
      </c>
      <c r="AW10" s="534" t="str">
        <f>AG15</f>
        <v>Quantity of (15) ft</v>
      </c>
      <c r="AX10" s="535">
        <f>IF(AU7=TRUE,AH15,0)</f>
        <v>0</v>
      </c>
      <c r="AY10" s="263">
        <f>AX10*AS5</f>
        <v>0</v>
      </c>
      <c r="BO10" s="528"/>
      <c r="BP10" s="529" t="str">
        <f>AX4</f>
        <v>(30) ft per linear ft</v>
      </c>
      <c r="BQ10" s="529"/>
      <c r="BR10" s="263" t="s">
        <v>513</v>
      </c>
      <c r="BT10" s="814" t="s">
        <v>525</v>
      </c>
      <c r="BU10" s="816" t="s">
        <v>91</v>
      </c>
    </row>
    <row r="11" spans="1:73" ht="48" customHeight="1" thickBot="1">
      <c r="AH11" s="262"/>
      <c r="AI11" s="262"/>
      <c r="AJ11" s="262"/>
      <c r="AX11">
        <f>IF(AU5=TRUE,SUM(AX10,AX8),0)</f>
        <v>0</v>
      </c>
      <c r="AY11">
        <f>SUM(AY10,AY8)</f>
        <v>0</v>
      </c>
      <c r="BO11" s="534" t="str">
        <f>AW5</f>
        <v>Quantity of (30) ft</v>
      </c>
      <c r="BP11" s="535">
        <f>AX5</f>
        <v>2</v>
      </c>
      <c r="BQ11" s="584">
        <f>B3*BP11</f>
        <v>12</v>
      </c>
      <c r="BR11" s="263">
        <f>BQ11*AS6</f>
        <v>360</v>
      </c>
      <c r="BT11" s="587" t="s">
        <v>523</v>
      </c>
      <c r="BU11" s="815">
        <f>BQ11</f>
        <v>12</v>
      </c>
    </row>
    <row r="12" spans="1:73" ht="16.5" thickBot="1">
      <c r="AG12" s="528"/>
      <c r="AH12" s="529" t="str">
        <f>"(" &amp; (G7) &amp; ") + (" &amp; (G6) &amp; ") ft per linear ft"</f>
        <v>(30) + (15) ft per linear ft</v>
      </c>
      <c r="AI12" s="530" t="str">
        <f>"(" &amp; (G7) &amp; ") + (" &amp; (G6) &amp; ") ft"</f>
        <v>(30) + (15) ft</v>
      </c>
      <c r="AL12" s="814" t="s">
        <v>525</v>
      </c>
      <c r="AM12" s="816" t="s">
        <v>91</v>
      </c>
      <c r="AW12" s="528"/>
      <c r="AX12" s="529" t="str">
        <f>AH17</f>
        <v>(15) ft per linear ft</v>
      </c>
      <c r="AY12" s="263"/>
      <c r="BP12" s="262"/>
      <c r="BU12" s="451"/>
    </row>
    <row r="13" spans="1:73" ht="16.5" thickBot="1">
      <c r="AG13" s="531" t="str">
        <f>AG5</f>
        <v>Quantity of (30) ft</v>
      </c>
      <c r="AH13" s="263">
        <f>O5</f>
        <v>1</v>
      </c>
      <c r="AI13" s="314">
        <f>AH13*B3</f>
        <v>6</v>
      </c>
      <c r="AJ13" s="263">
        <f>AI13*G7</f>
        <v>180</v>
      </c>
      <c r="AL13" s="587" t="s">
        <v>522</v>
      </c>
      <c r="AM13" s="815">
        <f>AI15</f>
        <v>6</v>
      </c>
      <c r="AW13" s="534" t="str">
        <f>AG18</f>
        <v>Quantity of (15) ft</v>
      </c>
      <c r="AX13" s="535">
        <f>IF(AQ5=TRUE,AH18,0)</f>
        <v>0</v>
      </c>
      <c r="AY13" s="263">
        <f>AX13*AS5</f>
        <v>0</v>
      </c>
      <c r="BO13" s="528"/>
      <c r="BP13" s="529" t="str">
        <f>AX7</f>
        <v>(30) + (15) ft per linear ft</v>
      </c>
      <c r="BQ13" s="529"/>
      <c r="BR13" s="263"/>
      <c r="BU13" s="451"/>
    </row>
    <row r="14" spans="1:73" ht="16.5" thickBot="1">
      <c r="AG14" s="532"/>
      <c r="AH14" s="262"/>
      <c r="AI14" s="533"/>
      <c r="AJ14" s="262"/>
      <c r="AL14" s="587" t="s">
        <v>523</v>
      </c>
      <c r="AM14" s="815">
        <f>AI13</f>
        <v>6</v>
      </c>
      <c r="BO14" s="531" t="str">
        <f>AW8</f>
        <v>Quantity of (30) ft</v>
      </c>
      <c r="BP14" s="263">
        <f>AX8</f>
        <v>0</v>
      </c>
      <c r="BQ14" s="524">
        <f>BP14*B3</f>
        <v>0</v>
      </c>
      <c r="BR14" s="263">
        <f>BQ14*AS6</f>
        <v>0</v>
      </c>
      <c r="BT14" s="814" t="s">
        <v>525</v>
      </c>
      <c r="BU14" s="816" t="s">
        <v>91</v>
      </c>
    </row>
    <row r="15" spans="1:73" ht="16.5" thickBot="1">
      <c r="AG15" s="534" t="str">
        <f>AG7</f>
        <v>Quantity of (15) ft</v>
      </c>
      <c r="AH15" s="535">
        <f>P5</f>
        <v>1</v>
      </c>
      <c r="AI15" s="537">
        <f>AH15*B3</f>
        <v>6</v>
      </c>
      <c r="AJ15" s="263">
        <f>AI15*G6</f>
        <v>90</v>
      </c>
      <c r="BO15" s="532"/>
      <c r="BP15" s="262"/>
      <c r="BQ15" s="262"/>
      <c r="BT15" s="587" t="s">
        <v>522</v>
      </c>
      <c r="BU15" s="815">
        <f>BQ14</f>
        <v>0</v>
      </c>
    </row>
    <row r="16" spans="1:73" ht="16.5" thickBot="1">
      <c r="AJ16">
        <f>SUM(AJ13,AJ15)</f>
        <v>270</v>
      </c>
      <c r="BO16" s="534" t="str">
        <f>AW10</f>
        <v>Quantity of (15) ft</v>
      </c>
      <c r="BP16" s="535">
        <f>AX10</f>
        <v>0</v>
      </c>
      <c r="BQ16" s="524">
        <f>BP16*B3</f>
        <v>0</v>
      </c>
      <c r="BR16" s="263">
        <f>BQ16*AS5</f>
        <v>0</v>
      </c>
      <c r="BT16" s="587" t="s">
        <v>523</v>
      </c>
      <c r="BU16" s="815">
        <f>BQ16</f>
        <v>0</v>
      </c>
    </row>
    <row r="17" spans="33:73" ht="16.5" thickBot="1">
      <c r="AG17" s="528"/>
      <c r="AH17" s="529" t="str">
        <f>"(" &amp; (G6) &amp; ") ft per linear ft"</f>
        <v>(15) ft per linear ft</v>
      </c>
      <c r="AI17" s="530" t="str">
        <f>"(" &amp; (G6) &amp; ") ft"</f>
        <v>(15) ft</v>
      </c>
      <c r="AL17" s="814" t="s">
        <v>525</v>
      </c>
      <c r="AM17" s="816" t="s">
        <v>91</v>
      </c>
      <c r="BP17">
        <f>AX11</f>
        <v>0</v>
      </c>
      <c r="BR17">
        <f>SUM(BR16,BR14)</f>
        <v>0</v>
      </c>
      <c r="BU17" s="451"/>
    </row>
    <row r="18" spans="33:73" ht="16.5" thickBot="1">
      <c r="AG18" s="534" t="str">
        <f>AG7</f>
        <v>Quantity of (15) ft</v>
      </c>
      <c r="AH18" s="535">
        <f>J7</f>
        <v>3</v>
      </c>
      <c r="AI18" s="537">
        <f>AH18*B3</f>
        <v>18</v>
      </c>
      <c r="AJ18" s="263">
        <f>AI18*G6</f>
        <v>270</v>
      </c>
      <c r="AL18" s="587" t="s">
        <v>522</v>
      </c>
      <c r="AM18" s="815">
        <f>AI18</f>
        <v>18</v>
      </c>
      <c r="BO18" s="528"/>
      <c r="BP18" s="529" t="str">
        <f>AX12</f>
        <v>(15) ft per linear ft</v>
      </c>
      <c r="BQ18" s="529"/>
      <c r="BR18" s="263"/>
      <c r="BT18" s="814" t="s">
        <v>525</v>
      </c>
      <c r="BU18" s="816" t="s">
        <v>91</v>
      </c>
    </row>
    <row r="19" spans="33:73" ht="16.5" thickBot="1">
      <c r="BO19" s="534" t="str">
        <f>AW13</f>
        <v>Quantity of (15) ft</v>
      </c>
      <c r="BP19" s="535">
        <f>AX13</f>
        <v>0</v>
      </c>
      <c r="BQ19" s="584">
        <f>BP19*B3</f>
        <v>0</v>
      </c>
      <c r="BR19" s="263">
        <f>BQ19*AS5</f>
        <v>0</v>
      </c>
      <c r="BT19" s="587" t="s">
        <v>522</v>
      </c>
      <c r="BU19" s="815">
        <f>BQ19</f>
        <v>0</v>
      </c>
    </row>
    <row r="25" spans="33:73" ht="29.25" customHeight="1"/>
    <row r="27" spans="33:73" ht="29.25" customHeight="1"/>
    <row r="46" ht="43.5" customHeight="1"/>
    <row r="57" spans="298:301">
      <c r="KM57">
        <f>IF(AND(KL60&gt;0,KN60&gt;0),1,0)</f>
        <v>0</v>
      </c>
    </row>
    <row r="60" spans="298:301">
      <c r="KL60" s="997">
        <f>SUM(KL62:KM67)</f>
        <v>3</v>
      </c>
      <c r="KM60" s="997"/>
      <c r="KN60" s="997">
        <f>SUM(KN62:KO67)</f>
        <v>0</v>
      </c>
      <c r="KO60" s="997"/>
    </row>
    <row r="62" spans="298:301">
      <c r="KL62" s="997">
        <f>IF(LEN('(GW) (A) (Cut)'!AR27)&gt;0,1,0)</f>
        <v>1</v>
      </c>
      <c r="KM62" s="997"/>
      <c r="KN62" s="997">
        <f>IF(LEN('(GW) (A) (Cut)'!AT27)&gt;0,1,0)</f>
        <v>0</v>
      </c>
      <c r="KO62" s="997"/>
    </row>
    <row r="63" spans="298:301">
      <c r="KL63" s="997">
        <f>IF(LEN('(GW) (A) (Cut)'!AR28)&gt;0,1,0)</f>
        <v>1</v>
      </c>
      <c r="KM63" s="997"/>
      <c r="KN63" s="997">
        <f>IF(LEN('(GW) (A) (Cut)'!AT28)&gt;0,1,0)</f>
        <v>0</v>
      </c>
      <c r="KO63" s="997"/>
    </row>
    <row r="64" spans="298:301">
      <c r="KL64" s="997">
        <f>IF(LEN('(GW) (A) (Cut)'!AR29)&gt;0,1,0)</f>
        <v>1</v>
      </c>
      <c r="KM64" s="997"/>
      <c r="KN64" s="997">
        <f>IF(LEN('(GW) (A) (Cut)'!AT29)&gt;0,1,0)</f>
        <v>0</v>
      </c>
      <c r="KO64" s="997"/>
    </row>
    <row r="65" spans="291:301">
      <c r="KL65" s="997">
        <f>IF(LEN('(GW) (A) (Cut)'!AR30)&gt;0,1,0)</f>
        <v>0</v>
      </c>
      <c r="KM65" s="997"/>
      <c r="KN65" s="997">
        <f>IF(LEN('(GW) (A) (Cut)'!AT30)&gt;0,1,0)</f>
        <v>0</v>
      </c>
      <c r="KO65" s="997"/>
    </row>
    <row r="66" spans="291:301">
      <c r="KL66" s="997">
        <f>IF(LEN('(GW) (A) (Cut)'!AR31)&gt;0,1,0)</f>
        <v>0</v>
      </c>
      <c r="KM66" s="997"/>
      <c r="KN66" s="997">
        <f>IF(LEN('(GW) (A) (Cut)'!AT31)&gt;0,1,0)</f>
        <v>0</v>
      </c>
      <c r="KO66" s="997"/>
    </row>
    <row r="67" spans="291:301">
      <c r="KL67" s="997">
        <f>IF(LEN('(GW) (A) (Cut)'!AR32)&gt;0,1,0)</f>
        <v>0</v>
      </c>
      <c r="KM67" s="997"/>
      <c r="KN67" s="997">
        <f>IF(LEN('(GW) (A) (Cut)'!AT32)&gt;0,1,0)</f>
        <v>0</v>
      </c>
      <c r="KO67" s="997"/>
    </row>
    <row r="68" spans="291:301">
      <c r="KI68" s="618">
        <f>'(GW) (A) (Cut)'!AE16</f>
        <v>1</v>
      </c>
      <c r="KJ68" t="s">
        <v>526</v>
      </c>
    </row>
    <row r="69" spans="291:301">
      <c r="KI69" s="592">
        <f>IF(AND(('(GW) (A) (Cut)'!AG16/2)&gt;'(GW) (A) (Cut)'!AD16,'(GW) (A) (Cut)'!G16&gt;0,'(GW) (A) (Cut)'!AD16&gt;0),'(GW) (A) (Cut)'!AN16,JU66)</f>
        <v>0</v>
      </c>
      <c r="KJ69" t="s">
        <v>527</v>
      </c>
    </row>
    <row r="70" spans="291:301">
      <c r="KE70" t="s">
        <v>528</v>
      </c>
      <c r="KF70">
        <f>IF('(GW) (A) (Cut)'!G16=0,IF((30/2)&gt;'(GW) (A) (Cut)'!AD16,IF('(GW) (A) (Cut)'!D4=2,'(GW) (A) (Cut)'!AE16-1,'(GW) (A) (Cut)'!AE16),'(GW) (A) (Cut)'!AE16),'(GW) (A) (Cut)'!AJ16/'(GW) (A) (Cut)'!Y16)</f>
        <v>1</v>
      </c>
      <c r="KI70">
        <f>IF('(GW) (A) (Cut)'!G16&gt;0,1,0)</f>
        <v>1</v>
      </c>
      <c r="KJ70" t="s">
        <v>529</v>
      </c>
    </row>
    <row r="75" spans="291:301">
      <c r="KE75" t="s">
        <v>530</v>
      </c>
      <c r="KF75" t="str">
        <f>"" &amp; IF('(GW) (A) (Cut)'!G16=0,JU66/IF(IF('(GW) (A) (Cut)'!G16=0,IF((30/2)&gt;'(GW) (A) (Cut)'!AD16,'(GW) (A) (Cut)'!AE16-1,'(GW) (A) (Cut)'!AE16),#REF!)=0,1,IF('(GW) (A) (Cut)'!G16=0,IF((30/2)&gt;'(GW) (A) (Cut)'!AD16,'(GW) (A) (Cut)'!AE16-1,'(GW) (A) (Cut)'!AE16),#REF!)),IF(('(GW) (A) (Cut)'!AG16/2)&gt;'(GW) (A) (Cut)'!AD16,'(GW) (A) (Cut)'!AN16/IF('(GW) (A) (Cut)'!G16=0,IF((30/2)&gt;'(GW) (A) (Cut)'!AD16,IF('(GW) (A) (Cut)'!D4=2,'(GW) (A) (Cut)'!AE16-1,'(GW) (A) (Cut)'!AE16),'(GW) (A) (Cut)'!AE16),'(GW) (A) (Cut)'!AJ16/'(GW) (A) (Cut)'!Y16),JU66/#REF!)) &amp; "' rolls"</f>
        <v>0' rolls</v>
      </c>
      <c r="KI75" t="e">
        <f>#REF!</f>
        <v>#REF!</v>
      </c>
      <c r="KJ75" t="s">
        <v>531</v>
      </c>
    </row>
    <row r="77" spans="291:301">
      <c r="KH77" s="597" t="e">
        <f>IF(JU66/#REF!=ROUNDUP(JU66/#REF!,0),1,0)</f>
        <v>#REF!</v>
      </c>
      <c r="KI77" t="e">
        <f>KI75/KI68</f>
        <v>#REF!</v>
      </c>
      <c r="KJ77" t="s">
        <v>532</v>
      </c>
    </row>
    <row r="78" spans="291:301" ht="15" customHeight="1" thickBot="1"/>
    <row r="79" spans="291:301" ht="15.75" thickBot="1">
      <c r="KH79" s="593">
        <f>IF(IF('(GW) (A) (Cut)'!G16=0,IF((15/2)&gt;'(GW) (A) (Cut)'!AD16,IF('(GW) (A) (Cut)'!D8=2,'(GW) (A) (Cut)'!AE16-1,'(GW) (A) (Cut)'!AE16),'(GW) (A) (Cut)'!AE16),'(GW) (A) (Cut)'!AJ16/'(GW) (A) (Cut)'!Y16)=0,1,0)</f>
        <v>0</v>
      </c>
      <c r="KJ79" s="593">
        <f>IF((('(GW) (A) (Cut)'!AG16-KK79)/'(GW) (A) (Cut)'!AD16)=1,IF('(GW) (A) (Cut)'!G16=0,KI75/2,KI75),IF(KK79=KI69,1,IF('(GW) (A) (Cut)'!AE16=2,(('(GW) (A) (Cut)'!AG16-KK79)/'(GW) (A) (Cut)'!AD16),(('(GW) (A) (Cut)'!AG16-KK79)/'(GW) (A) (Cut)'!AD16)/2)))</f>
        <v>1</v>
      </c>
      <c r="KK79" s="619">
        <f>IF(KI69&gt;0,IF('(GW) (A) (Cut)'!G16=0,JU66/KI68,'(GW) (A) (Cut)'!AG16-('(GW) (A) (Cut)'!AD16*'(GW) (A) (Cut)'!Y16)),0)</f>
        <v>0</v>
      </c>
      <c r="KL79" t="s">
        <v>533</v>
      </c>
    </row>
    <row r="80" spans="291:301" ht="15.75" thickBot="1"/>
    <row r="81" spans="296:298" ht="15.75" thickBot="1">
      <c r="KJ81" s="593">
        <f>IF(KK79=KI69,0,IF(KI68=1,(('(GW) (A) (Cut)'!AG16-(KK79*KJ79))/'(GW) (A) (Cut)'!AD16)-KJ79,IF('(GW) (A) (Cut)'!G16=0,0,(KI75-KJ79))))</f>
        <v>0</v>
      </c>
      <c r="KK81" s="619">
        <f>IF(AND('(GW) (A) (Cut)'!G16&gt;0,('(GW) (A) (Cut)'!AG16/2&gt;'(GW) (A) (Cut)'!AD16)),KI69-KK79,0)</f>
        <v>0</v>
      </c>
      <c r="KL81" t="s">
        <v>534</v>
      </c>
    </row>
    <row r="90" spans="296:298" ht="90.75" customHeight="1"/>
  </sheetData>
  <mergeCells count="25">
    <mergeCell ref="KL67:KM67"/>
    <mergeCell ref="KN67:KO67"/>
    <mergeCell ref="A1:C1"/>
    <mergeCell ref="E5:G5"/>
    <mergeCell ref="I2:P2"/>
    <mergeCell ref="AB4:AC4"/>
    <mergeCell ref="S2:AC2"/>
    <mergeCell ref="BC2:BM2"/>
    <mergeCell ref="BL4:BM4"/>
    <mergeCell ref="AG2:AJ2"/>
    <mergeCell ref="BO2:BR2"/>
    <mergeCell ref="AQ4:AS4"/>
    <mergeCell ref="AW2:BA2"/>
    <mergeCell ref="KL64:KM64"/>
    <mergeCell ref="KN64:KO64"/>
    <mergeCell ref="KL65:KM65"/>
    <mergeCell ref="KN65:KO65"/>
    <mergeCell ref="KL66:KM66"/>
    <mergeCell ref="KN66:KO66"/>
    <mergeCell ref="KL60:KM60"/>
    <mergeCell ref="KN60:KO60"/>
    <mergeCell ref="KL62:KM62"/>
    <mergeCell ref="KN62:KO62"/>
    <mergeCell ref="KL63:KM63"/>
    <mergeCell ref="KN63:KO63"/>
  </mergeCells>
  <phoneticPr fontId="21" type="noConversion"/>
  <conditionalFormatting sqref="J5 J7">
    <cfRule type="colorScale" priority="4">
      <colorScale>
        <cfvo type="min"/>
        <cfvo type="max"/>
        <color theme="9"/>
        <color theme="0"/>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E054B6-072B-4F5E-893B-52872C290FEB}">
  <dimension ref="A1:BQ17"/>
  <sheetViews>
    <sheetView workbookViewId="0">
      <selection activeCell="L11" sqref="L11"/>
    </sheetView>
  </sheetViews>
  <sheetFormatPr defaultRowHeight="15"/>
  <cols>
    <col min="9" max="9" width="17" bestFit="1" customWidth="1"/>
    <col min="10" max="10" width="14" customWidth="1"/>
    <col min="13" max="13" width="27.42578125" bestFit="1" customWidth="1"/>
    <col min="21" max="21" width="17" bestFit="1" customWidth="1"/>
    <col min="25" max="25" width="28" bestFit="1" customWidth="1"/>
    <col min="29" max="29" width="17" bestFit="1" customWidth="1"/>
    <col min="48" max="48" width="28" bestFit="1" customWidth="1"/>
    <col min="52" max="52" width="17" bestFit="1" customWidth="1"/>
  </cols>
  <sheetData>
    <row r="1" spans="1:69" ht="14.45" customHeight="1">
      <c r="A1" s="1250" t="s">
        <v>535</v>
      </c>
      <c r="B1" s="1251"/>
      <c r="C1" s="1251"/>
      <c r="D1" s="1251"/>
      <c r="E1" s="1251"/>
      <c r="F1" s="1251"/>
      <c r="G1" s="1251"/>
      <c r="H1" s="1251"/>
      <c r="I1" s="1251"/>
      <c r="J1" s="1252"/>
      <c r="K1" s="650"/>
      <c r="L1" s="650"/>
      <c r="M1" s="1250" t="s">
        <v>535</v>
      </c>
      <c r="N1" s="1251"/>
      <c r="O1" s="1251"/>
      <c r="P1" s="1251"/>
      <c r="Q1" s="1251"/>
      <c r="R1" s="1251"/>
      <c r="S1" s="1251"/>
      <c r="T1" s="1251"/>
      <c r="U1" s="1251"/>
      <c r="V1" s="1252"/>
      <c r="W1" s="650"/>
      <c r="X1" s="650"/>
      <c r="Y1" s="1250" t="s">
        <v>535</v>
      </c>
      <c r="Z1" s="1251"/>
      <c r="AA1" s="1251"/>
      <c r="AB1" s="1251"/>
      <c r="AC1" s="1251"/>
      <c r="AD1" s="1251"/>
      <c r="AE1" s="1251"/>
      <c r="AF1" s="1251"/>
      <c r="AG1" s="1251"/>
      <c r="AH1" s="1251"/>
      <c r="AI1" s="1251"/>
      <c r="AJ1" s="1251"/>
      <c r="AK1" s="1251"/>
      <c r="AL1" s="1251"/>
      <c r="AM1" s="1251"/>
      <c r="AN1" s="1251"/>
      <c r="AO1" s="1251"/>
      <c r="AP1" s="1251"/>
      <c r="AQ1" s="1251"/>
      <c r="AR1" s="1251"/>
      <c r="AS1" s="1251"/>
      <c r="AT1" s="1251"/>
    </row>
    <row r="2" spans="1:69" ht="14.65" customHeight="1" thickBot="1">
      <c r="A2" s="1253"/>
      <c r="B2" s="1254"/>
      <c r="C2" s="1254"/>
      <c r="D2" s="1254"/>
      <c r="E2" s="1254"/>
      <c r="F2" s="1254"/>
      <c r="G2" s="1254"/>
      <c r="H2" s="1254"/>
      <c r="I2" s="1254"/>
      <c r="J2" s="1255"/>
      <c r="K2" s="651"/>
      <c r="L2" s="651"/>
      <c r="M2" s="1253"/>
      <c r="N2" s="1254"/>
      <c r="O2" s="1254"/>
      <c r="P2" s="1254"/>
      <c r="Q2" s="1254"/>
      <c r="R2" s="1254"/>
      <c r="S2" s="1254"/>
      <c r="T2" s="1254"/>
      <c r="U2" s="1254"/>
      <c r="V2" s="1255"/>
      <c r="W2" s="651"/>
      <c r="X2" s="651"/>
      <c r="Y2" s="1253"/>
      <c r="Z2" s="1254"/>
      <c r="AA2" s="1254"/>
      <c r="AB2" s="1254"/>
      <c r="AC2" s="1254"/>
      <c r="AD2" s="1254"/>
      <c r="AE2" s="1254"/>
      <c r="AF2" s="1254"/>
      <c r="AG2" s="1254"/>
      <c r="AH2" s="1254"/>
      <c r="AI2" s="1254"/>
      <c r="AJ2" s="1254"/>
      <c r="AK2" s="1254"/>
      <c r="AL2" s="1254"/>
      <c r="AM2" s="1254"/>
      <c r="AN2" s="1254"/>
      <c r="AO2" s="1254"/>
      <c r="AP2" s="1254"/>
      <c r="AQ2" s="1254"/>
      <c r="AR2" s="1254"/>
      <c r="AS2" s="1254"/>
      <c r="AT2" s="1254"/>
    </row>
    <row r="3" spans="1:69" ht="35.65" customHeight="1" thickBot="1">
      <c r="A3" s="1230" t="s">
        <v>536</v>
      </c>
      <c r="B3" s="1231"/>
      <c r="C3" s="1231"/>
      <c r="D3" s="1231"/>
      <c r="E3" s="1231"/>
      <c r="F3" s="1231"/>
      <c r="G3" s="1231"/>
      <c r="H3" s="1231"/>
      <c r="I3" s="1231"/>
      <c r="J3" s="1232"/>
      <c r="K3" s="268"/>
      <c r="M3" s="1230" t="s">
        <v>537</v>
      </c>
      <c r="N3" s="1231"/>
      <c r="O3" s="1231"/>
      <c r="P3" s="1231"/>
      <c r="Q3" s="1231"/>
      <c r="R3" s="1231"/>
      <c r="S3" s="1231"/>
      <c r="T3" s="1231"/>
      <c r="U3" s="1231"/>
      <c r="V3" s="1232"/>
      <c r="W3" s="268"/>
      <c r="X3" s="268"/>
      <c r="Y3" s="1244" t="s">
        <v>538</v>
      </c>
      <c r="Z3" s="1245"/>
      <c r="AA3" s="1245"/>
      <c r="AB3" s="1245"/>
      <c r="AC3" s="1245"/>
      <c r="AD3" s="1245"/>
      <c r="AE3" s="1245"/>
      <c r="AF3" s="1245"/>
      <c r="AG3" s="1245"/>
      <c r="AH3" s="1245"/>
      <c r="AI3" s="1245"/>
      <c r="AJ3" s="1245"/>
      <c r="AK3" s="1245"/>
      <c r="AL3" s="1245"/>
      <c r="AM3" s="1245"/>
      <c r="AN3" s="1245"/>
      <c r="AO3" s="1245"/>
      <c r="AP3" s="1245"/>
      <c r="AQ3" s="1245"/>
      <c r="AR3" s="1245"/>
      <c r="AS3" s="1245"/>
      <c r="AT3" s="1246"/>
      <c r="AV3" s="1244" t="s">
        <v>538</v>
      </c>
      <c r="AW3" s="1245"/>
      <c r="AX3" s="1245"/>
      <c r="AY3" s="1245"/>
      <c r="AZ3" s="1245"/>
      <c r="BA3" s="1245"/>
      <c r="BB3" s="1245"/>
      <c r="BC3" s="1245"/>
      <c r="BD3" s="1245"/>
      <c r="BE3" s="1245"/>
      <c r="BF3" s="1245"/>
      <c r="BG3" s="1245"/>
      <c r="BH3" s="1245"/>
      <c r="BI3" s="1245"/>
      <c r="BJ3" s="1245"/>
      <c r="BK3" s="1245"/>
      <c r="BL3" s="1245"/>
      <c r="BM3" s="1245"/>
      <c r="BN3" s="1245"/>
      <c r="BO3" s="1245"/>
      <c r="BP3" s="1245"/>
      <c r="BQ3" s="1246"/>
    </row>
    <row r="4" spans="1:69" ht="16.5" thickBot="1">
      <c r="A4" s="1243" t="s">
        <v>500</v>
      </c>
      <c r="B4" s="1243"/>
      <c r="C4" s="1243"/>
      <c r="E4" s="1243" t="s">
        <v>521</v>
      </c>
      <c r="F4" s="1243"/>
      <c r="G4" s="1243"/>
      <c r="H4" s="268"/>
      <c r="I4" s="634" t="s">
        <v>90</v>
      </c>
      <c r="J4" s="635" t="s">
        <v>91</v>
      </c>
      <c r="K4" s="268"/>
      <c r="M4" s="1243" t="s">
        <v>500</v>
      </c>
      <c r="N4" s="1243"/>
      <c r="O4" s="1243"/>
      <c r="Q4" s="1243" t="s">
        <v>521</v>
      </c>
      <c r="R4" s="1243"/>
      <c r="S4" s="1243"/>
      <c r="T4" s="268"/>
      <c r="U4" s="634" t="s">
        <v>90</v>
      </c>
      <c r="V4" s="635" t="s">
        <v>91</v>
      </c>
      <c r="W4" s="268"/>
      <c r="X4" s="268"/>
    </row>
    <row r="5" spans="1:69" ht="47.25" thickBot="1">
      <c r="A5" s="291" t="s">
        <v>74</v>
      </c>
      <c r="B5" s="527">
        <f>'Fabric Calc'!B2</f>
        <v>43</v>
      </c>
      <c r="E5" s="320" t="b">
        <f>Materials!J1</f>
        <v>0</v>
      </c>
      <c r="F5" s="320">
        <f>Materials!K1</f>
        <v>12</v>
      </c>
      <c r="G5" s="320">
        <f>Materials!L1</f>
        <v>15</v>
      </c>
      <c r="H5" s="320"/>
      <c r="I5" s="587" t="s">
        <v>221</v>
      </c>
      <c r="J5" s="592">
        <f>'Fabric Calc'!BQ7</f>
        <v>0</v>
      </c>
      <c r="K5" s="320"/>
      <c r="M5" s="291" t="s">
        <v>74</v>
      </c>
      <c r="N5" s="527">
        <f>'(GW) (A) (Full)'!E5</f>
        <v>24</v>
      </c>
      <c r="Q5" s="320" t="b">
        <f>Materials!P1</f>
        <v>0</v>
      </c>
      <c r="R5" s="320">
        <f>Materials!Q1</f>
        <v>12</v>
      </c>
      <c r="S5" s="320">
        <f>Materials!R1</f>
        <v>15</v>
      </c>
      <c r="T5" s="320"/>
      <c r="U5" s="587" t="s">
        <v>223</v>
      </c>
      <c r="V5" s="592">
        <f>'Fabric Calc'!AZ87</f>
        <v>0</v>
      </c>
      <c r="W5" s="320"/>
      <c r="X5" s="320"/>
      <c r="Y5" s="1240" t="s">
        <v>539</v>
      </c>
      <c r="Z5" s="1241"/>
      <c r="AA5" s="1241"/>
      <c r="AB5" s="1241"/>
      <c r="AC5" s="1241"/>
      <c r="AD5" s="1241"/>
      <c r="AE5" s="1241"/>
      <c r="AF5" s="1241"/>
      <c r="AG5" s="1241"/>
      <c r="AH5" s="1241"/>
      <c r="AI5" s="1241"/>
      <c r="AJ5" s="1241"/>
      <c r="AK5" s="1241"/>
      <c r="AL5" s="1241"/>
      <c r="AM5" s="1241"/>
      <c r="AN5" s="1241"/>
      <c r="AO5" s="1241"/>
      <c r="AP5" s="1241"/>
      <c r="AQ5" s="1241"/>
      <c r="AR5" s="1241"/>
      <c r="AS5" s="1241"/>
      <c r="AT5" s="1242"/>
      <c r="AV5" s="1240" t="s">
        <v>540</v>
      </c>
      <c r="AW5" s="1241"/>
      <c r="AX5" s="1241"/>
      <c r="AY5" s="1241"/>
      <c r="AZ5" s="1241"/>
      <c r="BA5" s="1241"/>
      <c r="BB5" s="1241"/>
      <c r="BC5" s="1241"/>
      <c r="BD5" s="1241"/>
      <c r="BE5" s="1241"/>
      <c r="BF5" s="1241"/>
      <c r="BG5" s="1241"/>
      <c r="BH5" s="1241"/>
      <c r="BI5" s="1241"/>
      <c r="BJ5" s="1241"/>
      <c r="BK5" s="1241"/>
      <c r="BL5" s="1241"/>
      <c r="BM5" s="1241"/>
      <c r="BN5" s="1241"/>
      <c r="BO5" s="1241"/>
      <c r="BP5" s="1241"/>
      <c r="BQ5" s="1242"/>
    </row>
    <row r="6" spans="1:69" ht="16.5" thickBot="1">
      <c r="A6" s="263" t="s">
        <v>196</v>
      </c>
      <c r="B6" s="524">
        <f>'Fabric Calc'!B3</f>
        <v>6</v>
      </c>
      <c r="E6" s="320" t="b">
        <f>Materials!J2</f>
        <v>1</v>
      </c>
      <c r="F6" s="320">
        <f>Materials!K2</f>
        <v>12</v>
      </c>
      <c r="G6" s="320">
        <f>Materials!L2</f>
        <v>30</v>
      </c>
      <c r="H6" s="320"/>
      <c r="I6" s="587" t="s">
        <v>215</v>
      </c>
      <c r="J6" s="592">
        <f>'Fabric Calc'!BQ5</f>
        <v>12</v>
      </c>
      <c r="K6" s="320"/>
      <c r="M6" s="263" t="s">
        <v>196</v>
      </c>
      <c r="N6" s="524">
        <f>'(GW) (A) (Full)'!E6</f>
        <v>1</v>
      </c>
      <c r="Q6" s="320" t="b">
        <f>Materials!P2</f>
        <v>1</v>
      </c>
      <c r="R6" s="320">
        <f>Materials!Q2</f>
        <v>12</v>
      </c>
      <c r="S6" s="320">
        <f>Materials!R2</f>
        <v>30</v>
      </c>
      <c r="T6" s="320"/>
      <c r="U6" s="587" t="s">
        <v>218</v>
      </c>
      <c r="V6" s="592">
        <f>'Fabric Calc'!AZ88</f>
        <v>0</v>
      </c>
      <c r="W6" s="320"/>
      <c r="X6" s="320"/>
      <c r="Y6" s="1247" t="s">
        <v>541</v>
      </c>
      <c r="Z6" s="1248"/>
      <c r="AA6" s="1249"/>
      <c r="AC6" s="634" t="s">
        <v>90</v>
      </c>
      <c r="AD6" s="635" t="s">
        <v>91</v>
      </c>
      <c r="AF6" s="268"/>
      <c r="AG6" s="1230" t="s">
        <v>518</v>
      </c>
      <c r="AH6" s="1231"/>
      <c r="AI6" s="1231"/>
      <c r="AJ6" s="1231"/>
      <c r="AK6" s="1231"/>
      <c r="AL6" s="1231"/>
      <c r="AM6" s="1231"/>
      <c r="AN6" s="1231"/>
      <c r="AO6" s="1231"/>
      <c r="AP6" s="1231"/>
      <c r="AQ6" s="1231"/>
      <c r="AR6" s="1231"/>
      <c r="AS6" s="1232"/>
      <c r="AT6" s="320"/>
      <c r="AV6" s="1247" t="s">
        <v>541</v>
      </c>
      <c r="AW6" s="1248"/>
      <c r="AX6" s="1249"/>
      <c r="AZ6" s="634" t="s">
        <v>90</v>
      </c>
      <c r="BA6" s="635" t="s">
        <v>91</v>
      </c>
      <c r="BC6" s="268"/>
      <c r="BD6" s="1230" t="s">
        <v>518</v>
      </c>
      <c r="BE6" s="1231"/>
      <c r="BF6" s="1231"/>
      <c r="BG6" s="1231"/>
      <c r="BH6" s="1231"/>
      <c r="BI6" s="1231"/>
      <c r="BJ6" s="1231"/>
      <c r="BK6" s="1231"/>
      <c r="BL6" s="1231"/>
      <c r="BM6" s="1231"/>
      <c r="BN6" s="1231"/>
      <c r="BO6" s="1231"/>
      <c r="BP6" s="1232"/>
      <c r="BQ6" s="320"/>
    </row>
    <row r="7" spans="1:69" ht="16.5" thickBot="1">
      <c r="E7" s="320" t="b">
        <f>Materials!J3</f>
        <v>0</v>
      </c>
      <c r="F7" s="320">
        <f>Materials!K3</f>
        <v>0</v>
      </c>
      <c r="G7" s="320">
        <f>Materials!L3</f>
        <v>0</v>
      </c>
      <c r="H7" s="320"/>
      <c r="I7" s="320"/>
      <c r="J7" s="320"/>
      <c r="K7" s="320"/>
      <c r="Q7" s="320" t="b">
        <f>Materials!P3</f>
        <v>0</v>
      </c>
      <c r="R7" s="320">
        <f>Materials!Q3</f>
        <v>0</v>
      </c>
      <c r="S7" s="320">
        <f>Materials!R3</f>
        <v>0</v>
      </c>
      <c r="T7" s="320"/>
      <c r="W7" s="320"/>
      <c r="X7" s="320"/>
      <c r="AC7" s="587" t="s">
        <v>221</v>
      </c>
      <c r="AD7" s="592">
        <f>IF(AS17='Fabric Calc'!BV15,AR17,0)</f>
        <v>0</v>
      </c>
      <c r="AF7" s="320"/>
      <c r="AT7" s="320"/>
      <c r="AZ7" s="587" t="s">
        <v>223</v>
      </c>
      <c r="BA7" s="592">
        <f>IF(BP17='(GW) (A) (Cut)'!E14,BO17,0)</f>
        <v>0</v>
      </c>
      <c r="BC7" s="320"/>
      <c r="BQ7" s="320"/>
    </row>
    <row r="8" spans="1:69" ht="16.5" thickBot="1">
      <c r="Y8" s="675" t="str">
        <f>'Fabric Calc'!BT5</f>
        <v>15FT</v>
      </c>
      <c r="Z8" s="676">
        <f>'Fabric Calc'!BU5</f>
        <v>0</v>
      </c>
      <c r="AA8" s="675">
        <f>'Fabric Calc'!BV5</f>
        <v>0</v>
      </c>
      <c r="AC8" s="587" t="s">
        <v>215</v>
      </c>
      <c r="AD8" s="592">
        <f>IF(AS17='Fabric Calc'!BV17,AR17,0)</f>
        <v>0</v>
      </c>
      <c r="AF8" s="320"/>
      <c r="AG8" s="1230" t="s">
        <v>542</v>
      </c>
      <c r="AH8" s="1231"/>
      <c r="AI8" s="1231"/>
      <c r="AJ8" s="1231"/>
      <c r="AK8" s="1231"/>
      <c r="AL8" s="1232"/>
      <c r="AN8" s="1230" t="s">
        <v>543</v>
      </c>
      <c r="AO8" s="1231"/>
      <c r="AP8" s="1231"/>
      <c r="AQ8" s="1231"/>
      <c r="AR8" s="1231"/>
      <c r="AS8" s="1232"/>
      <c r="AT8" s="320"/>
      <c r="AV8" s="675" t="str">
        <f>'(GW) (A) (Cut)'!C4</f>
        <v>Linear feet</v>
      </c>
      <c r="AW8" s="676">
        <f>'(GW) (A) (Cut)'!D4</f>
        <v>1</v>
      </c>
      <c r="AX8" s="675" t="str">
        <f>'(GW) (A) (Cut)'!E4</f>
        <v>ft</v>
      </c>
      <c r="AZ8" s="587" t="s">
        <v>218</v>
      </c>
      <c r="BA8" s="592">
        <f>IF(BP17='(GW) (A) (Cut)'!E16,BO17,0)</f>
        <v>1</v>
      </c>
      <c r="BC8" s="320"/>
      <c r="BD8" s="1230" t="s">
        <v>542</v>
      </c>
      <c r="BE8" s="1231"/>
      <c r="BF8" s="1231"/>
      <c r="BG8" s="1231"/>
      <c r="BH8" s="1231"/>
      <c r="BI8" s="1232"/>
      <c r="BK8" s="1230" t="s">
        <v>543</v>
      </c>
      <c r="BL8" s="1231"/>
      <c r="BM8" s="1231"/>
      <c r="BN8" s="1231"/>
      <c r="BO8" s="1231"/>
      <c r="BP8" s="1232"/>
      <c r="BQ8" s="320"/>
    </row>
    <row r="9" spans="1:69" ht="15.75" thickBot="1">
      <c r="T9" s="268"/>
      <c r="U9" s="268"/>
      <c r="V9" s="268"/>
      <c r="W9" s="268"/>
      <c r="X9" s="268"/>
      <c r="Y9" s="358"/>
      <c r="Z9" s="358">
        <f>'Fabric Calc'!BU6</f>
        <v>12</v>
      </c>
      <c r="AF9" s="320"/>
      <c r="AT9" s="320"/>
      <c r="AV9" s="358"/>
      <c r="AW9" s="358">
        <f>'(GW) (A) (Cut)'!D5</f>
        <v>5.416666666666667</v>
      </c>
      <c r="AX9" s="358"/>
      <c r="BC9" s="320"/>
      <c r="BQ9" s="320"/>
    </row>
    <row r="10" spans="1:69" ht="15.75" thickBot="1">
      <c r="Y10" s="675">
        <f>'Fabric Calc'!BT7</f>
        <v>0</v>
      </c>
      <c r="Z10" s="676">
        <f>'Fabric Calc'!BU7</f>
        <v>0</v>
      </c>
      <c r="AA10" s="675">
        <f>'Fabric Calc'!BV7</f>
        <v>0</v>
      </c>
      <c r="AG10" s="1230">
        <f>'Fabric Calc'!ES12</f>
        <v>0</v>
      </c>
      <c r="AH10" s="1231"/>
      <c r="AI10" s="1231"/>
      <c r="AJ10" s="1232"/>
      <c r="AN10" s="1230">
        <f>'Fabric Calc'!FH12</f>
        <v>0</v>
      </c>
      <c r="AO10" s="1231"/>
      <c r="AP10" s="1231"/>
      <c r="AQ10" s="1232"/>
      <c r="AV10" s="675" t="str">
        <f>'(GW) (A) (Cut)'!C6</f>
        <v>Fabric/Linear feet rounded</v>
      </c>
      <c r="AW10" s="676">
        <f>'(GW) (A) (Cut)'!D6</f>
        <v>6</v>
      </c>
      <c r="AX10" s="675" t="str">
        <f>'(GW) (A) (Cut)'!E6</f>
        <v>ft</v>
      </c>
      <c r="BD10" s="1230" t="str">
        <f>'(GW) (A) (Cut)'!AY11</f>
        <v>12.30 (1)</v>
      </c>
      <c r="BE10" s="1231"/>
      <c r="BF10" s="1231"/>
      <c r="BG10" s="1232"/>
      <c r="BK10" s="1230" t="str">
        <f>'(GW) (A) (Cut)'!BN11</f>
        <v>12.30 (1)</v>
      </c>
      <c r="BL10" s="1231"/>
      <c r="BM10" s="1231"/>
      <c r="BN10" s="1232"/>
    </row>
    <row r="11" spans="1:69" ht="15.75" thickBot="1">
      <c r="Y11" s="675">
        <f>'Fabric Calc'!BT8</f>
        <v>0</v>
      </c>
      <c r="Z11" s="676">
        <f>'Fabric Calc'!BU8</f>
        <v>0</v>
      </c>
      <c r="AA11" s="675">
        <f>'Fabric Calc'!BV8</f>
        <v>0</v>
      </c>
      <c r="AF11" s="268"/>
      <c r="AG11" s="1238">
        <f>'Fabric Calc'!ES13</f>
        <v>0</v>
      </c>
      <c r="AH11" s="1239"/>
      <c r="AI11" s="1238">
        <f>'Fabric Calc'!EU13</f>
        <v>0</v>
      </c>
      <c r="AJ11" s="1239"/>
      <c r="AK11" s="1233" t="s">
        <v>544</v>
      </c>
      <c r="AL11" s="1234"/>
      <c r="AN11" s="1238">
        <f>'Fabric Calc'!FH13</f>
        <v>0</v>
      </c>
      <c r="AO11" s="1239"/>
      <c r="AP11" s="1238">
        <f>'Fabric Calc'!FJ13</f>
        <v>0</v>
      </c>
      <c r="AQ11" s="1239"/>
      <c r="AR11" s="1233" t="s">
        <v>544</v>
      </c>
      <c r="AS11" s="1234"/>
      <c r="AT11" s="268"/>
      <c r="AV11" s="358" t="str">
        <f>'(GW) (A) (Cut)'!C7</f>
        <v>total Fabric ft needed (Rounded)</v>
      </c>
      <c r="AW11" s="359">
        <f>'(GW) (A) (Cut)'!D7</f>
        <v>18</v>
      </c>
      <c r="AX11" s="358" t="str">
        <f>'(GW) (A) (Cut)'!E7</f>
        <v>ft</v>
      </c>
      <c r="BC11" s="268"/>
      <c r="BD11" s="1238" t="str">
        <f>'(GW) (A) (Cut)'!AY12</f>
        <v>12"</v>
      </c>
      <c r="BE11" s="1239"/>
      <c r="BF11" s="1238" t="str">
        <f>'(GW) (A) (Cut)'!BA12</f>
        <v>12"</v>
      </c>
      <c r="BG11" s="1239"/>
      <c r="BH11" s="1233" t="s">
        <v>544</v>
      </c>
      <c r="BI11" s="1234"/>
      <c r="BK11" s="1238" t="str">
        <f>'(GW) (A) (Cut)'!BN12</f>
        <v>12"</v>
      </c>
      <c r="BL11" s="1239"/>
      <c r="BM11" s="1238" t="str">
        <f>'(GW) (A) (Cut)'!BP12</f>
        <v>12"</v>
      </c>
      <c r="BN11" s="1239"/>
      <c r="BO11" s="1233" t="s">
        <v>544</v>
      </c>
      <c r="BP11" s="1234"/>
      <c r="BQ11" s="268"/>
    </row>
    <row r="12" spans="1:69" ht="15.75" thickBot="1">
      <c r="Y12" s="675">
        <f>'Fabric Calc'!BT9</f>
        <v>0</v>
      </c>
      <c r="Z12" s="676">
        <f>'Fabric Calc'!BU9</f>
        <v>0</v>
      </c>
      <c r="AA12" s="675"/>
      <c r="AG12" s="1261">
        <f>'Fabric Calc'!ES14</f>
        <v>0</v>
      </c>
      <c r="AH12" s="1262"/>
      <c r="AI12" s="1256">
        <f>'Fabric Calc'!EU14</f>
        <v>0</v>
      </c>
      <c r="AJ12" s="1237"/>
      <c r="AK12" s="1256">
        <f>'Fabric Calc'!EW14</f>
        <v>0</v>
      </c>
      <c r="AL12" s="1237"/>
      <c r="AN12" s="1261">
        <f>'Fabric Calc'!FH14</f>
        <v>0</v>
      </c>
      <c r="AO12" s="1262"/>
      <c r="AP12" s="1256">
        <f>'Fabric Calc'!FJ14</f>
        <v>0</v>
      </c>
      <c r="AQ12" s="1237"/>
      <c r="AR12" s="1256">
        <f>'Fabric Calc'!FL14</f>
        <v>0</v>
      </c>
      <c r="AS12" s="1237"/>
      <c r="AV12" s="358" t="str">
        <f>'(GW) (A) (Cut)'!C8</f>
        <v>Needed Pieces per linear foot</v>
      </c>
      <c r="AW12" s="359">
        <f>'(GW) (A) (Cut)'!D8</f>
        <v>3</v>
      </c>
      <c r="AX12" s="358"/>
      <c r="BD12" s="1235" t="str">
        <f>'(GW) (A) (Cut)'!AY13</f>
        <v xml:space="preserve"> 6' (1)</v>
      </c>
      <c r="BE12" s="1236"/>
      <c r="BF12" s="1235" t="str">
        <f>'(GW) (A) (Cut)'!BA13</f>
        <v/>
      </c>
      <c r="BG12" s="1237"/>
      <c r="BH12" s="1235" t="str">
        <f>'(GW) (A) (Cut)'!BC13</f>
        <v>Total 12'</v>
      </c>
      <c r="BI12" s="1237"/>
      <c r="BK12" s="1235" t="str">
        <f>'(GW) (A) (Cut)'!BN13</f>
        <v xml:space="preserve"> 6' (1)</v>
      </c>
      <c r="BL12" s="1236"/>
      <c r="BM12" s="1235" t="str">
        <f>'(GW) (A) (Cut)'!BP13</f>
        <v/>
      </c>
      <c r="BN12" s="1237"/>
      <c r="BO12" s="1235" t="str">
        <f>'(GW) (A) (Cut)'!BR13</f>
        <v>Total 12'</v>
      </c>
      <c r="BP12" s="1237"/>
    </row>
    <row r="13" spans="1:69" ht="16.5" thickBot="1">
      <c r="A13" s="634" t="s">
        <v>90</v>
      </c>
      <c r="B13" s="635" t="s">
        <v>91</v>
      </c>
      <c r="Y13" s="675" t="str">
        <f>'Fabric Calc'!BT10</f>
        <v>AE</v>
      </c>
      <c r="Z13" s="676" t="str">
        <f>'Fabric Calc'!BU10</f>
        <v>Qty</v>
      </c>
      <c r="AA13" s="675" t="e">
        <f>'Fabric Calc'!#REF!</f>
        <v>#REF!</v>
      </c>
      <c r="AG13" s="1260">
        <f>'Fabric Calc'!ES15</f>
        <v>0</v>
      </c>
      <c r="AH13" s="1239"/>
      <c r="AI13" s="1238">
        <f>'Fabric Calc'!EU15</f>
        <v>0</v>
      </c>
      <c r="AJ13" s="1226"/>
      <c r="AK13" s="655">
        <f>'Fabric Calc'!EW15</f>
        <v>0</v>
      </c>
      <c r="AL13" s="672">
        <f>'Fabric Calc'!EX15</f>
        <v>0</v>
      </c>
      <c r="AN13" s="1260">
        <f>'Fabric Calc'!FH15</f>
        <v>0</v>
      </c>
      <c r="AO13" s="1239"/>
      <c r="AP13" s="1238">
        <f>'Fabric Calc'!FJ15</f>
        <v>0</v>
      </c>
      <c r="AQ13" s="1226"/>
      <c r="AR13" s="655">
        <f>'Fabric Calc'!FL15</f>
        <v>0</v>
      </c>
      <c r="AS13" s="672">
        <f>'Fabric Calc'!FM15</f>
        <v>0</v>
      </c>
      <c r="AV13" s="358" t="str">
        <f>'(GW) (A) (Cut)'!C9</f>
        <v>Leftover Ft for Quantity</v>
      </c>
      <c r="AW13" s="359">
        <f>'(GW) (A) (Cut)'!D9</f>
        <v>12</v>
      </c>
      <c r="AX13" s="358" t="str">
        <f>'(GW) (A) (Cut)'!E9</f>
        <v>ft</v>
      </c>
      <c r="BD13" s="1225" t="str">
        <f>'(GW) (A) (Cut)'!AY14</f>
        <v xml:space="preserve"> 6' (1)</v>
      </c>
      <c r="BE13" s="995"/>
      <c r="BF13" s="1225" t="str">
        <f>'(GW) (A) (Cut)'!BA14</f>
        <v/>
      </c>
      <c r="BG13" s="1226"/>
      <c r="BH13" s="643">
        <f>'(GW) (A) (Cut)'!BC14</f>
        <v>0</v>
      </c>
      <c r="BI13" s="644" t="str">
        <f>'(GW) (A) (Cut)'!BD14</f>
        <v>0' rolls</v>
      </c>
      <c r="BK13" s="1225" t="str">
        <f>'(GW) (A) (Cut)'!BN14</f>
        <v xml:space="preserve"> 6' (1)</v>
      </c>
      <c r="BL13" s="995"/>
      <c r="BM13" s="1225" t="str">
        <f>'(GW) (A) (Cut)'!BP14</f>
        <v/>
      </c>
      <c r="BN13" s="1226"/>
      <c r="BO13" s="643">
        <f>'(GW) (A) (Cut)'!BR14</f>
        <v>0</v>
      </c>
      <c r="BP13" s="644" t="str">
        <f>'(GW) (A) (Cut)'!BS14</f>
        <v>0' rolls</v>
      </c>
    </row>
    <row r="14" spans="1:69" ht="16.5" thickBot="1">
      <c r="A14" s="587" t="s">
        <v>221</v>
      </c>
      <c r="B14" s="592">
        <f>'Fabric Calc'!AB94</f>
        <v>0</v>
      </c>
      <c r="Y14" s="675" t="str">
        <f>'Fabric Calc'!BT11</f>
        <v>30FT</v>
      </c>
      <c r="Z14" s="676">
        <f>'Fabric Calc'!BU11</f>
        <v>12</v>
      </c>
      <c r="AA14" s="675">
        <f>'Fabric Calc'!BV10</f>
        <v>0</v>
      </c>
      <c r="AG14" s="1260">
        <f>'Fabric Calc'!ES16</f>
        <v>0</v>
      </c>
      <c r="AH14" s="1239"/>
      <c r="AI14" s="1238">
        <f>'Fabric Calc'!EU16</f>
        <v>0</v>
      </c>
      <c r="AJ14" s="1226"/>
      <c r="AK14" s="654">
        <f>'Fabric Calc'!EW16</f>
        <v>0</v>
      </c>
      <c r="AL14" s="674">
        <f>'Fabric Calc'!EX16</f>
        <v>0</v>
      </c>
      <c r="AN14" s="1260">
        <f>'Fabric Calc'!FH16</f>
        <v>0</v>
      </c>
      <c r="AO14" s="1239"/>
      <c r="AP14" s="1238">
        <f>'Fabric Calc'!FJ16</f>
        <v>0</v>
      </c>
      <c r="AQ14" s="1226"/>
      <c r="AR14" s="654">
        <f>'Fabric Calc'!FL16</f>
        <v>0</v>
      </c>
      <c r="AS14" s="674">
        <f>'Fabric Calc'!FM16</f>
        <v>0</v>
      </c>
      <c r="AV14" s="358" t="str">
        <f>'(GW) (A) (Cut)'!C10</f>
        <v>Leftover Ft for Materials</v>
      </c>
      <c r="AW14" s="359">
        <f>'(GW) (A) (Cut)'!D10</f>
        <v>12</v>
      </c>
      <c r="AX14" s="358" t="str">
        <f>'(GW) (A) (Cut)'!E10</f>
        <v>ft</v>
      </c>
      <c r="BD14" s="1225" t="str">
        <f>'(GW) (A) (Cut)'!AY15</f>
        <v xml:space="preserve"> 6' (1)</v>
      </c>
      <c r="BE14" s="995"/>
      <c r="BF14" s="1225" t="str">
        <f>'(GW) (A) (Cut)'!BA15</f>
        <v/>
      </c>
      <c r="BG14" s="1226"/>
      <c r="BH14" s="645">
        <f>'(GW) (A) (Cut)'!BC15</f>
        <v>1</v>
      </c>
      <c r="BI14" s="646" t="str">
        <f>'(GW) (A) (Cut)'!BD15</f>
        <v>12' rolls</v>
      </c>
      <c r="BK14" s="1225" t="str">
        <f>'(GW) (A) (Cut)'!BN15</f>
        <v xml:space="preserve"> 6' (1)</v>
      </c>
      <c r="BL14" s="995"/>
      <c r="BM14" s="1225" t="str">
        <f>'(GW) (A) (Cut)'!BP15</f>
        <v/>
      </c>
      <c r="BN14" s="1226"/>
      <c r="BO14" s="645">
        <f>'(GW) (A) (Cut)'!BR15</f>
        <v>1</v>
      </c>
      <c r="BP14" s="646" t="str">
        <f>'(GW) (A) (Cut)'!BS15</f>
        <v>12' rolls</v>
      </c>
    </row>
    <row r="15" spans="1:69" ht="16.5" thickBot="1">
      <c r="A15" s="587" t="s">
        <v>215</v>
      </c>
      <c r="B15" s="592">
        <f>'Fabric Calc'!AB95</f>
        <v>0</v>
      </c>
      <c r="AG15" s="1260">
        <f>'Fabric Calc'!ES17</f>
        <v>0</v>
      </c>
      <c r="AH15" s="1239"/>
      <c r="AI15" s="1238">
        <f>'Fabric Calc'!EU17</f>
        <v>0</v>
      </c>
      <c r="AJ15" s="1226"/>
      <c r="AK15" s="652">
        <f>'Fabric Calc'!EW17</f>
        <v>0</v>
      </c>
      <c r="AL15" s="673">
        <f>'Fabric Calc'!EX17</f>
        <v>0</v>
      </c>
      <c r="AN15" s="1260">
        <f>'Fabric Calc'!FH17</f>
        <v>0</v>
      </c>
      <c r="AO15" s="1239"/>
      <c r="AP15" s="1238">
        <f>'Fabric Calc'!FJ17</f>
        <v>0</v>
      </c>
      <c r="AQ15" s="1226"/>
      <c r="AR15" s="652">
        <f>'Fabric Calc'!FL17</f>
        <v>0</v>
      </c>
      <c r="AS15" s="673">
        <f>'Fabric Calc'!FM17</f>
        <v>0</v>
      </c>
      <c r="BD15" s="1225" t="str">
        <f>'(GW) (A) (Cut)'!AY16</f>
        <v/>
      </c>
      <c r="BE15" s="995"/>
      <c r="BF15" s="1225" t="str">
        <f>'(GW) (A) (Cut)'!BA16</f>
        <v/>
      </c>
      <c r="BG15" s="1226"/>
      <c r="BH15" s="647">
        <f>'(GW) (A) (Cut)'!BC16</f>
        <v>0</v>
      </c>
      <c r="BI15" s="13" t="str">
        <f>'(GW) (A) (Cut)'!BD16</f>
        <v>0' rolls</v>
      </c>
      <c r="BK15" s="1225" t="str">
        <f>'(GW) (A) (Cut)'!BN16</f>
        <v/>
      </c>
      <c r="BL15" s="995"/>
      <c r="BM15" s="1225" t="str">
        <f>'(GW) (A) (Cut)'!BP16</f>
        <v/>
      </c>
      <c r="BN15" s="1226"/>
      <c r="BO15" s="647">
        <f>'(GW) (A) (Cut)'!BR16</f>
        <v>0</v>
      </c>
      <c r="BP15" s="13" t="str">
        <f>'(GW) (A) (Cut)'!BS16</f>
        <v>0' rolls</v>
      </c>
    </row>
    <row r="16" spans="1:69" ht="16.5" thickBot="1">
      <c r="A16" s="587" t="s">
        <v>223</v>
      </c>
      <c r="B16" s="592">
        <f>'Fabric Calc'!AB96</f>
        <v>0</v>
      </c>
      <c r="AG16" s="1260">
        <f>'Fabric Calc'!ES18</f>
        <v>0</v>
      </c>
      <c r="AH16" s="1239"/>
      <c r="AI16" s="1238">
        <f>'Fabric Calc'!EU18</f>
        <v>0</v>
      </c>
      <c r="AJ16" s="1226"/>
      <c r="AK16" s="597"/>
      <c r="AN16" s="1260">
        <f>'Fabric Calc'!FH18</f>
        <v>0</v>
      </c>
      <c r="AO16" s="1239"/>
      <c r="AP16" s="1238">
        <f>'Fabric Calc'!FJ18</f>
        <v>0</v>
      </c>
      <c r="AQ16" s="1226"/>
      <c r="AR16" s="597"/>
      <c r="BD16" s="1225" t="str">
        <f>'(GW) (A) (Cut)'!AY17</f>
        <v/>
      </c>
      <c r="BE16" s="995"/>
      <c r="BF16" s="1225" t="str">
        <f>'(GW) (A) (Cut)'!BA17</f>
        <v/>
      </c>
      <c r="BG16" s="1226"/>
      <c r="BH16" s="597"/>
      <c r="BK16" s="1225" t="str">
        <f>'(GW) (A) (Cut)'!BN17</f>
        <v/>
      </c>
      <c r="BL16" s="995"/>
      <c r="BM16" s="1225" t="str">
        <f>'(GW) (A) (Cut)'!BP17</f>
        <v/>
      </c>
      <c r="BN16" s="1226"/>
      <c r="BO16" s="597"/>
    </row>
    <row r="17" spans="1:68" ht="16.5" thickBot="1">
      <c r="A17" s="587" t="s">
        <v>218</v>
      </c>
      <c r="B17" s="592">
        <f>'Fabric Calc'!AB97</f>
        <v>0</v>
      </c>
      <c r="AG17" s="1257">
        <f>'Fabric Calc'!ES19</f>
        <v>0</v>
      </c>
      <c r="AH17" s="1258"/>
      <c r="AI17" s="1259">
        <f>'Fabric Calc'!EU19</f>
        <v>0</v>
      </c>
      <c r="AJ17" s="1229"/>
      <c r="AK17" s="633">
        <f>'Fabric Calc'!EW19</f>
        <v>0</v>
      </c>
      <c r="AL17" s="633">
        <f>'Fabric Calc'!EX19</f>
        <v>0</v>
      </c>
      <c r="AN17" s="1257">
        <f>'Fabric Calc'!FH19</f>
        <v>0</v>
      </c>
      <c r="AO17" s="1258"/>
      <c r="AP17" s="1259">
        <f>'Fabric Calc'!FJ19</f>
        <v>0</v>
      </c>
      <c r="AQ17" s="1229"/>
      <c r="AR17" s="633">
        <f>'Fabric Calc'!FL19</f>
        <v>0</v>
      </c>
      <c r="AS17" s="633">
        <f>'Fabric Calc'!FM19</f>
        <v>0</v>
      </c>
      <c r="BD17" s="1227" t="str">
        <f>'(GW) (A) (Cut)'!AY18</f>
        <v/>
      </c>
      <c r="BE17" s="1228"/>
      <c r="BF17" s="1227" t="str">
        <f>'(GW) (A) (Cut)'!BA18</f>
        <v/>
      </c>
      <c r="BG17" s="1229"/>
      <c r="BH17" s="649">
        <f>'(GW) (A) (Cut)'!BC18</f>
        <v>1</v>
      </c>
      <c r="BI17" s="649">
        <f>'(GW) (A) (Cut)'!BD18</f>
        <v>30</v>
      </c>
      <c r="BK17" s="1227" t="str">
        <f>'(GW) (A) (Cut)'!BN18</f>
        <v/>
      </c>
      <c r="BL17" s="1228"/>
      <c r="BM17" s="1227" t="str">
        <f>'(GW) (A) (Cut)'!BP18</f>
        <v/>
      </c>
      <c r="BN17" s="1229"/>
      <c r="BO17" s="649">
        <f>'(GW) (A) (Cut)'!BR18</f>
        <v>1</v>
      </c>
      <c r="BP17" s="649">
        <f>'(GW) (A) (Cut)'!BS18</f>
        <v>30</v>
      </c>
    </row>
  </sheetData>
  <mergeCells count="89">
    <mergeCell ref="AP17:AQ17"/>
    <mergeCell ref="AN10:AQ10"/>
    <mergeCell ref="AN11:AO11"/>
    <mergeCell ref="AP11:AQ11"/>
    <mergeCell ref="AN12:AO12"/>
    <mergeCell ref="AP12:AQ12"/>
    <mergeCell ref="AN13:AO13"/>
    <mergeCell ref="AP13:AQ13"/>
    <mergeCell ref="AN14:AO14"/>
    <mergeCell ref="AP14:AQ14"/>
    <mergeCell ref="AN15:AO15"/>
    <mergeCell ref="AP15:AQ15"/>
    <mergeCell ref="AN16:AO16"/>
    <mergeCell ref="AP16:AQ16"/>
    <mergeCell ref="AR12:AS12"/>
    <mergeCell ref="AG17:AH17"/>
    <mergeCell ref="AI17:AJ17"/>
    <mergeCell ref="AV3:BQ3"/>
    <mergeCell ref="AG15:AH15"/>
    <mergeCell ref="AI15:AJ15"/>
    <mergeCell ref="AG16:AH16"/>
    <mergeCell ref="AI16:AJ16"/>
    <mergeCell ref="AG13:AH13"/>
    <mergeCell ref="AI13:AJ13"/>
    <mergeCell ref="AG14:AH14"/>
    <mergeCell ref="AI14:AJ14"/>
    <mergeCell ref="AG12:AH12"/>
    <mergeCell ref="AI12:AJ12"/>
    <mergeCell ref="AK12:AL12"/>
    <mergeCell ref="AN17:AO17"/>
    <mergeCell ref="AG11:AH11"/>
    <mergeCell ref="AI11:AJ11"/>
    <mergeCell ref="AK11:AL11"/>
    <mergeCell ref="Y1:AT2"/>
    <mergeCell ref="Y5:AT5"/>
    <mergeCell ref="Y6:AA6"/>
    <mergeCell ref="AG6:AS6"/>
    <mergeCell ref="AG8:AL8"/>
    <mergeCell ref="AN8:AS8"/>
    <mergeCell ref="AR11:AS11"/>
    <mergeCell ref="BK16:BL16"/>
    <mergeCell ref="BM16:BN16"/>
    <mergeCell ref="BK17:BL17"/>
    <mergeCell ref="BM17:BN17"/>
    <mergeCell ref="A1:J2"/>
    <mergeCell ref="M1:V2"/>
    <mergeCell ref="BK8:BP8"/>
    <mergeCell ref="BK10:BN10"/>
    <mergeCell ref="BK11:BL11"/>
    <mergeCell ref="BM11:BN11"/>
    <mergeCell ref="BO11:BP11"/>
    <mergeCell ref="BK12:BL12"/>
    <mergeCell ref="BM12:BN12"/>
    <mergeCell ref="BO12:BP12"/>
    <mergeCell ref="BK13:BL13"/>
    <mergeCell ref="BM13:BN13"/>
    <mergeCell ref="BK15:BL15"/>
    <mergeCell ref="BM15:BN15"/>
    <mergeCell ref="BH12:BI12"/>
    <mergeCell ref="A3:J3"/>
    <mergeCell ref="M3:V3"/>
    <mergeCell ref="BD10:BG10"/>
    <mergeCell ref="BD11:BE11"/>
    <mergeCell ref="BF11:BG11"/>
    <mergeCell ref="AV5:BQ5"/>
    <mergeCell ref="A4:C4"/>
    <mergeCell ref="M4:O4"/>
    <mergeCell ref="E4:G4"/>
    <mergeCell ref="Q4:S4"/>
    <mergeCell ref="Y3:AT3"/>
    <mergeCell ref="AV6:AX6"/>
    <mergeCell ref="AG10:AJ10"/>
    <mergeCell ref="BD6:BP6"/>
    <mergeCell ref="BD13:BE13"/>
    <mergeCell ref="BF13:BG13"/>
    <mergeCell ref="BD14:BE14"/>
    <mergeCell ref="BF14:BG14"/>
    <mergeCell ref="BK14:BL14"/>
    <mergeCell ref="BM14:BN14"/>
    <mergeCell ref="BD16:BE16"/>
    <mergeCell ref="BF16:BG16"/>
    <mergeCell ref="BD17:BE17"/>
    <mergeCell ref="BF17:BG17"/>
    <mergeCell ref="BD8:BI8"/>
    <mergeCell ref="BH11:BI11"/>
    <mergeCell ref="BD12:BE12"/>
    <mergeCell ref="BF12:BG12"/>
    <mergeCell ref="BD15:BE15"/>
    <mergeCell ref="BF15:BG1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D8C1B-73AA-45FF-A734-95E2BE86C85A}">
  <sheetPr>
    <pageSetUpPr autoPageBreaks="0"/>
  </sheetPr>
  <dimension ref="S13:T128"/>
  <sheetViews>
    <sheetView topLeftCell="I16" zoomScale="102" workbookViewId="0">
      <selection activeCell="S33" sqref="S33"/>
    </sheetView>
  </sheetViews>
  <sheetFormatPr defaultRowHeight="15"/>
  <cols>
    <col min="7" max="7" width="10.140625" bestFit="1" customWidth="1"/>
    <col min="8" max="8" width="19" bestFit="1" customWidth="1"/>
    <col min="9" max="9" width="23.42578125" bestFit="1" customWidth="1"/>
    <col min="10" max="12" width="23.42578125" customWidth="1"/>
    <col min="13" max="13" width="29.28515625" bestFit="1" customWidth="1"/>
    <col min="14" max="14" width="40.5703125" bestFit="1" customWidth="1"/>
    <col min="15" max="15" width="23.42578125" bestFit="1" customWidth="1"/>
    <col min="16" max="16" width="22.85546875" bestFit="1" customWidth="1"/>
    <col min="17" max="17" width="6.85546875" bestFit="1" customWidth="1"/>
    <col min="18" max="18" width="8.28515625" bestFit="1" customWidth="1"/>
    <col min="19" max="19" width="18.140625" bestFit="1" customWidth="1"/>
    <col min="20" max="20" width="6" bestFit="1" customWidth="1"/>
    <col min="21" max="21" width="47.85546875" customWidth="1"/>
    <col min="22" max="22" width="21.28515625" customWidth="1"/>
    <col min="23" max="23" width="8.42578125" bestFit="1" customWidth="1"/>
    <col min="24" max="24" width="22.85546875" bestFit="1" customWidth="1"/>
    <col min="25" max="25" width="5.7109375" bestFit="1" customWidth="1"/>
    <col min="26" max="26" width="8.7109375" bestFit="1" customWidth="1"/>
    <col min="27" max="27" width="13.5703125" bestFit="1" customWidth="1"/>
    <col min="28" max="28" width="56" bestFit="1" customWidth="1"/>
    <col min="29" max="29" width="9.140625" customWidth="1"/>
    <col min="30" max="30" width="9.7109375" bestFit="1" customWidth="1"/>
    <col min="31" max="31" width="9.140625" customWidth="1"/>
    <col min="32" max="32" width="8.28515625" bestFit="1" customWidth="1"/>
    <col min="33" max="33" width="26.85546875" bestFit="1" customWidth="1"/>
    <col min="34" max="34" width="8.140625" bestFit="1" customWidth="1"/>
    <col min="35" max="35" width="11.5703125" bestFit="1" customWidth="1"/>
    <col min="36" max="36" width="24" bestFit="1" customWidth="1"/>
    <col min="37" max="37" width="8.7109375" bestFit="1" customWidth="1"/>
    <col min="38" max="38" width="14.5703125" bestFit="1" customWidth="1"/>
    <col min="39" max="39" width="8.140625" bestFit="1" customWidth="1"/>
    <col min="40" max="40" width="8.42578125" bestFit="1" customWidth="1"/>
    <col min="41" max="41" width="8.140625" bestFit="1" customWidth="1"/>
    <col min="42" max="43" width="7.5703125" bestFit="1" customWidth="1"/>
    <col min="44" max="44" width="8.28515625" bestFit="1" customWidth="1"/>
    <col min="45" max="45" width="7.28515625" bestFit="1" customWidth="1"/>
    <col min="46" max="46" width="9.140625" customWidth="1"/>
    <col min="47" max="47" width="18.140625" bestFit="1" customWidth="1"/>
    <col min="48" max="48" width="7.85546875" bestFit="1" customWidth="1"/>
    <col min="49" max="49" width="27.28515625" bestFit="1" customWidth="1"/>
    <col min="50" max="50" width="6.28515625" bestFit="1" customWidth="1"/>
    <col min="51" max="51" width="8.5703125" bestFit="1" customWidth="1"/>
    <col min="52" max="52" width="14.85546875" bestFit="1" customWidth="1"/>
    <col min="53" max="53" width="6.28515625" bestFit="1" customWidth="1"/>
    <col min="54" max="54" width="9.7109375" bestFit="1" customWidth="1"/>
    <col min="55" max="55" width="8.5703125" bestFit="1" customWidth="1"/>
    <col min="56" max="56" width="9.7109375" bestFit="1" customWidth="1"/>
    <col min="57" max="59" width="7.28515625" bestFit="1" customWidth="1"/>
    <col min="60" max="60" width="9.7109375" bestFit="1" customWidth="1"/>
    <col min="61" max="61" width="10.28515625" bestFit="1" customWidth="1"/>
    <col min="62" max="62" width="7.85546875" bestFit="1" customWidth="1"/>
    <col min="64" max="65" width="7.85546875" bestFit="1" customWidth="1"/>
    <col min="66" max="66" width="10.7109375" bestFit="1" customWidth="1"/>
    <col min="67" max="68" width="7.85546875" bestFit="1" customWidth="1"/>
    <col min="69" max="70" width="8.140625" bestFit="1" customWidth="1"/>
    <col min="71" max="71" width="7.85546875" bestFit="1" customWidth="1"/>
    <col min="72" max="72" width="8.7109375" bestFit="1" customWidth="1"/>
    <col min="73" max="73" width="24" bestFit="1" customWidth="1"/>
    <col min="74" max="74" width="8.140625" bestFit="1" customWidth="1"/>
    <col min="75" max="75" width="10.42578125" bestFit="1" customWidth="1"/>
    <col min="76" max="77" width="8.140625" bestFit="1" customWidth="1"/>
    <col min="78" max="78" width="7.85546875" bestFit="1" customWidth="1"/>
    <col min="88" max="90" width="10.140625" bestFit="1" customWidth="1"/>
    <col min="91" max="91" width="10.28515625" bestFit="1" customWidth="1"/>
    <col min="92" max="92" width="10.140625" bestFit="1" customWidth="1"/>
    <col min="93" max="93" width="1.140625" bestFit="1" customWidth="1"/>
    <col min="94" max="99" width="5.7109375" bestFit="1" customWidth="1"/>
    <col min="100" max="100" width="2.5703125" bestFit="1" customWidth="1"/>
    <col min="101" max="102" width="2.28515625" bestFit="1" customWidth="1"/>
    <col min="104" max="104" width="5.7109375" bestFit="1" customWidth="1"/>
    <col min="105" max="105" width="10.42578125" bestFit="1" customWidth="1"/>
    <col min="106" max="109" width="5.7109375" bestFit="1" customWidth="1"/>
    <col min="110" max="110" width="2.5703125" bestFit="1" customWidth="1"/>
    <col min="111" max="111" width="2.28515625" bestFit="1" customWidth="1"/>
    <col min="115" max="120" width="7.85546875" bestFit="1" customWidth="1"/>
    <col min="123" max="128" width="7.85546875" bestFit="1" customWidth="1"/>
    <col min="131" max="136" width="7.85546875" bestFit="1" customWidth="1"/>
    <col min="139" max="144" width="7.85546875" bestFit="1" customWidth="1"/>
    <col min="147" max="152" width="7.85546875" bestFit="1" customWidth="1"/>
    <col min="155" max="155" width="7" bestFit="1" customWidth="1"/>
    <col min="158" max="158" width="8.28515625" bestFit="1" customWidth="1"/>
    <col min="160" max="160" width="8.28515625" bestFit="1" customWidth="1"/>
    <col min="164" max="164" width="8.42578125" bestFit="1" customWidth="1"/>
    <col min="166" max="166" width="7.85546875" bestFit="1" customWidth="1"/>
    <col min="168" max="168" width="10" bestFit="1" customWidth="1"/>
    <col min="172" max="172" width="13.28515625" bestFit="1" customWidth="1"/>
    <col min="174" max="174" width="19.42578125" bestFit="1" customWidth="1"/>
    <col min="177" max="177" width="14.42578125" bestFit="1" customWidth="1"/>
    <col min="179" max="179" width="14" bestFit="1" customWidth="1"/>
    <col min="181" max="181" width="12.28515625" bestFit="1" customWidth="1"/>
    <col min="183" max="183" width="18.140625" bestFit="1" customWidth="1"/>
    <col min="185" max="185" width="20.5703125" bestFit="1" customWidth="1"/>
    <col min="187" max="187" width="6.42578125" bestFit="1" customWidth="1"/>
    <col min="191" max="191" width="8.85546875" bestFit="1" customWidth="1"/>
    <col min="192" max="192" width="11.42578125" bestFit="1" customWidth="1"/>
    <col min="193" max="193" width="7.85546875" bestFit="1" customWidth="1"/>
    <col min="195" max="196" width="8.85546875" bestFit="1" customWidth="1"/>
    <col min="197" max="197" width="2.140625" bestFit="1" customWidth="1"/>
    <col min="198" max="199" width="8.85546875" bestFit="1" customWidth="1"/>
    <col min="202" max="202" width="7.85546875" bestFit="1" customWidth="1"/>
    <col min="204" max="205" width="8.85546875" bestFit="1" customWidth="1"/>
    <col min="206" max="206" width="2.140625" bestFit="1" customWidth="1"/>
    <col min="207" max="208" width="8.85546875" bestFit="1" customWidth="1"/>
    <col min="211" max="211" width="7.28515625" bestFit="1" customWidth="1"/>
    <col min="217" max="218" width="7.85546875" bestFit="1" customWidth="1"/>
    <col min="222" max="229" width="7.85546875" bestFit="1" customWidth="1"/>
    <col min="232" max="237" width="5.7109375" bestFit="1" customWidth="1"/>
    <col min="238" max="238" width="2.5703125" bestFit="1" customWidth="1"/>
    <col min="239" max="239" width="2.28515625" bestFit="1" customWidth="1"/>
    <col min="243" max="243" width="27.5703125" bestFit="1" customWidth="1"/>
    <col min="244" max="244" width="5.5703125" bestFit="1" customWidth="1"/>
    <col min="247" max="247" width="27.5703125" bestFit="1" customWidth="1"/>
    <col min="248" max="248" width="5.5703125" bestFit="1" customWidth="1"/>
  </cols>
  <sheetData>
    <row r="13" ht="51.75" customHeight="1"/>
    <row r="45" ht="14.45" customHeight="1"/>
    <row r="46" ht="14.45" customHeight="1"/>
    <row r="47" ht="14.45" customHeight="1"/>
    <row r="48" ht="14.45" customHeight="1"/>
    <row r="49" spans="19:20" ht="14.45" customHeight="1"/>
    <row r="50" spans="19:20" ht="43.15" customHeight="1"/>
    <row r="52" spans="19:20" ht="43.15" customHeight="1"/>
    <row r="54" spans="19:20">
      <c r="S54" s="358"/>
      <c r="T54" s="358"/>
    </row>
    <row r="55" spans="19:20">
      <c r="S55" s="358"/>
      <c r="T55" s="358"/>
    </row>
    <row r="56" spans="19:20">
      <c r="S56" s="358"/>
      <c r="T56" s="358"/>
    </row>
    <row r="57" spans="19:20" ht="30.75" customHeight="1">
      <c r="S57" s="358"/>
      <c r="T57" s="358"/>
    </row>
    <row r="58" spans="19:20">
      <c r="S58" s="358"/>
      <c r="T58" s="358"/>
    </row>
    <row r="59" spans="19:20">
      <c r="S59" s="358"/>
      <c r="T59" s="358"/>
    </row>
    <row r="60" spans="19:20">
      <c r="S60" s="358"/>
      <c r="T60" s="358"/>
    </row>
    <row r="61" spans="19:20" ht="45.75" customHeight="1">
      <c r="S61" s="358"/>
      <c r="T61" s="358"/>
    </row>
    <row r="62" spans="19:20" ht="76.5" customHeight="1">
      <c r="S62" s="358"/>
      <c r="T62" s="358"/>
    </row>
    <row r="63" spans="19:20">
      <c r="S63" s="358"/>
      <c r="T63" s="358"/>
    </row>
    <row r="64" spans="19:20">
      <c r="S64" s="358"/>
      <c r="T64" s="358"/>
    </row>
    <row r="65" spans="19:20">
      <c r="S65" s="358"/>
      <c r="T65" s="358"/>
    </row>
    <row r="66" spans="19:20" ht="57.75" customHeight="1">
      <c r="S66" s="358"/>
      <c r="T66" s="358"/>
    </row>
    <row r="67" spans="19:20">
      <c r="S67" s="358"/>
      <c r="T67" s="358"/>
    </row>
    <row r="68" spans="19:20">
      <c r="S68" s="358"/>
      <c r="T68" s="358"/>
    </row>
    <row r="69" spans="19:20">
      <c r="S69" s="358"/>
      <c r="T69" s="358"/>
    </row>
    <row r="70" spans="19:20">
      <c r="S70" s="358"/>
      <c r="T70" s="358"/>
    </row>
    <row r="71" spans="19:20">
      <c r="S71" s="358"/>
      <c r="T71" s="358"/>
    </row>
    <row r="72" spans="19:20">
      <c r="S72" s="358"/>
      <c r="T72" s="358"/>
    </row>
    <row r="73" spans="19:20">
      <c r="S73" s="358"/>
      <c r="T73" s="358"/>
    </row>
    <row r="74" spans="19:20">
      <c r="S74" s="358"/>
      <c r="T74" s="358"/>
    </row>
    <row r="75" spans="19:20" ht="45.75" customHeight="1">
      <c r="S75" s="358"/>
      <c r="T75" s="358"/>
    </row>
    <row r="76" spans="19:20">
      <c r="S76" s="358"/>
      <c r="T76" s="358"/>
    </row>
    <row r="77" spans="19:20">
      <c r="S77" s="358"/>
      <c r="T77" s="358"/>
    </row>
    <row r="78" spans="19:20">
      <c r="S78" s="358"/>
      <c r="T78" s="358"/>
    </row>
    <row r="79" spans="19:20">
      <c r="S79" s="358"/>
      <c r="T79" s="358"/>
    </row>
    <row r="80" spans="19:20">
      <c r="S80" s="358"/>
      <c r="T80" s="358"/>
    </row>
    <row r="81" spans="19:20">
      <c r="S81" s="358"/>
      <c r="T81" s="358"/>
    </row>
    <row r="82" spans="19:20">
      <c r="S82" s="358"/>
      <c r="T82" s="358"/>
    </row>
    <row r="83" spans="19:20">
      <c r="S83" s="358"/>
      <c r="T83" s="358"/>
    </row>
    <row r="84" spans="19:20">
      <c r="S84" s="358"/>
      <c r="T84" s="358"/>
    </row>
    <row r="85" spans="19:20">
      <c r="S85" s="358"/>
      <c r="T85" s="358"/>
    </row>
    <row r="86" spans="19:20">
      <c r="S86" s="358"/>
      <c r="T86" s="358"/>
    </row>
    <row r="87" spans="19:20">
      <c r="S87" s="358"/>
      <c r="T87" s="358"/>
    </row>
    <row r="88" spans="19:20">
      <c r="S88" s="358"/>
      <c r="T88" s="358"/>
    </row>
    <row r="89" spans="19:20" ht="45.75" customHeight="1">
      <c r="S89" s="358"/>
      <c r="T89" s="358"/>
    </row>
    <row r="90" spans="19:20">
      <c r="S90" s="358"/>
      <c r="T90" s="358"/>
    </row>
    <row r="91" spans="19:20">
      <c r="S91" s="358"/>
      <c r="T91" s="358"/>
    </row>
    <row r="92" spans="19:20">
      <c r="S92" s="358"/>
      <c r="T92" s="358"/>
    </row>
    <row r="93" spans="19:20">
      <c r="S93" s="358"/>
      <c r="T93" s="358"/>
    </row>
    <row r="94" spans="19:20">
      <c r="S94" s="358"/>
      <c r="T94" s="358"/>
    </row>
    <row r="95" spans="19:20">
      <c r="S95" s="358"/>
      <c r="T95" s="358"/>
    </row>
    <row r="96" spans="19:20">
      <c r="S96" s="358"/>
      <c r="T96" s="358"/>
    </row>
    <row r="97" spans="19:20">
      <c r="S97" s="358"/>
      <c r="T97" s="358"/>
    </row>
    <row r="98" spans="19:20">
      <c r="S98" s="358"/>
      <c r="T98" s="358"/>
    </row>
    <row r="99" spans="19:20">
      <c r="S99" s="358"/>
      <c r="T99" s="358"/>
    </row>
    <row r="100" spans="19:20">
      <c r="S100" s="358"/>
      <c r="T100" s="358"/>
    </row>
    <row r="101" spans="19:20">
      <c r="S101" s="358"/>
      <c r="T101" s="358"/>
    </row>
    <row r="102" spans="19:20">
      <c r="S102" s="358"/>
      <c r="T102" s="358"/>
    </row>
    <row r="103" spans="19:20">
      <c r="S103" s="358"/>
      <c r="T103" s="358"/>
    </row>
    <row r="104" spans="19:20">
      <c r="S104" s="358"/>
      <c r="T104" s="358"/>
    </row>
    <row r="105" spans="19:20">
      <c r="S105" s="358"/>
      <c r="T105" s="358"/>
    </row>
    <row r="106" spans="19:20">
      <c r="S106" s="358"/>
      <c r="T106" s="358"/>
    </row>
    <row r="107" spans="19:20">
      <c r="S107" s="358"/>
      <c r="T107" s="358"/>
    </row>
    <row r="108" spans="19:20">
      <c r="S108" s="358"/>
      <c r="T108" s="358"/>
    </row>
    <row r="109" spans="19:20">
      <c r="S109" s="358"/>
      <c r="T109" s="358"/>
    </row>
    <row r="110" spans="19:20">
      <c r="S110" s="358"/>
      <c r="T110" s="358"/>
    </row>
    <row r="111" spans="19:20">
      <c r="S111" s="358"/>
      <c r="T111" s="358"/>
    </row>
    <row r="112" spans="19:20">
      <c r="S112" s="358"/>
      <c r="T112" s="358"/>
    </row>
    <row r="113" spans="19:20">
      <c r="S113" s="358"/>
      <c r="T113" s="358"/>
    </row>
    <row r="114" spans="19:20">
      <c r="S114" s="358"/>
      <c r="T114" s="358"/>
    </row>
    <row r="115" spans="19:20">
      <c r="S115" s="358"/>
      <c r="T115" s="358"/>
    </row>
    <row r="116" spans="19:20">
      <c r="S116" s="358"/>
      <c r="T116" s="358"/>
    </row>
    <row r="117" spans="19:20">
      <c r="S117" s="358"/>
      <c r="T117" s="358"/>
    </row>
    <row r="118" spans="19:20">
      <c r="S118" s="358"/>
      <c r="T118" s="358"/>
    </row>
    <row r="119" spans="19:20">
      <c r="S119" s="358"/>
      <c r="T119" s="358"/>
    </row>
    <row r="120" spans="19:20">
      <c r="S120" s="358"/>
      <c r="T120" s="358"/>
    </row>
    <row r="121" spans="19:20">
      <c r="S121" s="358"/>
      <c r="T121" s="358"/>
    </row>
    <row r="122" spans="19:20">
      <c r="S122" s="358"/>
      <c r="T122" s="358"/>
    </row>
    <row r="123" spans="19:20">
      <c r="S123" s="358"/>
      <c r="T123" s="358"/>
    </row>
    <row r="124" spans="19:20">
      <c r="S124" s="358"/>
      <c r="T124" s="358"/>
    </row>
    <row r="125" spans="19:20" ht="14.45" customHeight="1">
      <c r="S125" s="358"/>
      <c r="T125" s="358"/>
    </row>
    <row r="126" spans="19:20" ht="14.45" customHeight="1">
      <c r="S126" s="358"/>
      <c r="T126" s="358"/>
    </row>
    <row r="127" spans="19:20" ht="14.45" customHeight="1">
      <c r="S127" s="358"/>
      <c r="T127" s="358"/>
    </row>
    <row r="128" spans="19:20" ht="14.45" customHeight="1">
      <c r="S128" s="358"/>
      <c r="T128" s="358"/>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846B4-DFC0-4C0D-81E9-EBA502E47E46}">
  <sheetPr>
    <tabColor theme="4" tint="0.59999389629810485"/>
  </sheetPr>
  <dimension ref="B1:IG137"/>
  <sheetViews>
    <sheetView topLeftCell="B1" zoomScaleNormal="100" workbookViewId="0">
      <selection activeCell="F4" sqref="F4"/>
    </sheetView>
  </sheetViews>
  <sheetFormatPr defaultRowHeight="15"/>
  <cols>
    <col min="3" max="3" width="41.42578125" customWidth="1"/>
    <col min="9" max="9" width="56.28515625" bestFit="1" customWidth="1"/>
    <col min="11" max="11" width="25.85546875" bestFit="1" customWidth="1"/>
    <col min="13" max="13" width="12.42578125" customWidth="1"/>
    <col min="14" max="14" width="26.140625" customWidth="1"/>
    <col min="16" max="16" width="15.140625" customWidth="1"/>
    <col min="17" max="17" width="9.28515625" customWidth="1"/>
    <col min="18" max="18" width="15.140625" customWidth="1"/>
    <col min="27" max="27" width="17.7109375" bestFit="1" customWidth="1"/>
    <col min="29" max="29" width="40.85546875" customWidth="1"/>
    <col min="35" max="35" width="26.85546875" bestFit="1" customWidth="1"/>
    <col min="54" max="147" width="9.140625" customWidth="1"/>
    <col min="148" max="148" width="17" bestFit="1" customWidth="1"/>
    <col min="149" max="157" width="9.140625" customWidth="1"/>
    <col min="158" max="158" width="15" bestFit="1" customWidth="1"/>
    <col min="159" max="163" width="15" customWidth="1"/>
    <col min="164" max="164" width="19.5703125" bestFit="1" customWidth="1"/>
    <col min="165" max="165" width="15" customWidth="1"/>
    <col min="166" max="166" width="9.140625" customWidth="1"/>
    <col min="167" max="167" width="15" bestFit="1" customWidth="1"/>
    <col min="168" max="172" width="15" customWidth="1"/>
    <col min="173" max="173" width="18" bestFit="1" customWidth="1"/>
    <col min="174" max="174" width="18" customWidth="1"/>
    <col min="175" max="175" width="20.42578125" bestFit="1" customWidth="1"/>
    <col min="176" max="177" width="18" customWidth="1"/>
    <col min="178" max="179" width="9.140625" customWidth="1"/>
    <col min="180" max="199" width="15.42578125" customWidth="1"/>
    <col min="200" max="201" width="9.140625" customWidth="1"/>
    <col min="233" max="233" width="27.5703125" bestFit="1" customWidth="1"/>
    <col min="234" max="234" width="11" customWidth="1"/>
    <col min="237" max="237" width="27.5703125" bestFit="1" customWidth="1"/>
  </cols>
  <sheetData>
    <row r="1" spans="3:241">
      <c r="C1" s="528"/>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1221" t="s">
        <v>545</v>
      </c>
      <c r="BN1" s="1221"/>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1221" t="s">
        <v>545</v>
      </c>
      <c r="CR1" s="1221"/>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c r="DR1" s="210"/>
      <c r="DS1" s="210"/>
      <c r="DT1" s="210"/>
      <c r="DU1" s="210"/>
      <c r="DV1" s="210"/>
      <c r="DW1" s="210"/>
      <c r="DX1" s="210"/>
      <c r="DY1" s="210"/>
      <c r="DZ1" s="210"/>
      <c r="EA1" s="210"/>
      <c r="EB1" s="210"/>
      <c r="EC1" s="210"/>
      <c r="ED1" s="210"/>
      <c r="EE1" s="210"/>
      <c r="EF1" s="210"/>
      <c r="EG1" s="210"/>
      <c r="EH1" s="210"/>
      <c r="EI1" s="210"/>
      <c r="EJ1" s="210"/>
      <c r="EK1" s="210"/>
      <c r="EL1" s="210"/>
      <c r="EM1" s="210"/>
      <c r="EN1" s="210"/>
      <c r="EO1" s="210"/>
      <c r="EP1" s="210"/>
      <c r="EQ1" s="210"/>
      <c r="ER1" s="210"/>
      <c r="ES1" s="210"/>
      <c r="ET1" s="210"/>
      <c r="EU1" s="210"/>
      <c r="EV1" s="210"/>
      <c r="EW1" s="210"/>
      <c r="EX1" s="210"/>
      <c r="EY1" s="210"/>
      <c r="EZ1" s="210"/>
      <c r="FA1" s="210"/>
      <c r="FB1" s="210"/>
      <c r="FC1" s="210"/>
      <c r="FD1" s="210"/>
      <c r="FE1" s="210"/>
      <c r="FF1" s="210"/>
      <c r="FG1" s="210"/>
      <c r="FH1" s="210"/>
      <c r="FI1" s="210"/>
      <c r="FJ1" s="210"/>
      <c r="FK1" s="210"/>
      <c r="FL1" s="210"/>
      <c r="FM1" s="210"/>
      <c r="FN1" s="210"/>
      <c r="FO1" s="210"/>
      <c r="FP1" s="210"/>
      <c r="FQ1" s="210"/>
      <c r="FR1" s="210"/>
      <c r="FS1" s="210"/>
      <c r="FT1" s="210"/>
      <c r="FU1" s="210"/>
      <c r="FV1" s="210"/>
      <c r="FW1" s="210"/>
      <c r="FX1" s="210"/>
      <c r="FY1" s="210"/>
      <c r="FZ1" s="210"/>
      <c r="GA1" s="210"/>
      <c r="GB1" s="210"/>
      <c r="GC1" s="210"/>
      <c r="GD1" s="210"/>
      <c r="GE1" s="210"/>
      <c r="GF1" s="210"/>
      <c r="GG1" s="210"/>
      <c r="GH1" s="210"/>
      <c r="GS1" s="210"/>
      <c r="GT1" s="210"/>
      <c r="GU1" s="210"/>
      <c r="GV1" s="210"/>
      <c r="GW1" s="210"/>
      <c r="GX1" s="210"/>
      <c r="GY1" s="210"/>
      <c r="GZ1" s="210"/>
      <c r="HA1" s="211"/>
      <c r="HB1" s="210"/>
      <c r="HC1" s="210"/>
      <c r="HD1" s="210"/>
      <c r="HE1" s="210"/>
      <c r="HF1" s="210"/>
      <c r="HG1" s="210"/>
      <c r="HH1" s="210"/>
      <c r="HI1" s="210"/>
      <c r="HJ1" s="210"/>
      <c r="HK1" s="210"/>
      <c r="HL1" s="210"/>
      <c r="HM1" s="210"/>
      <c r="HN1" s="210"/>
      <c r="HO1" s="210"/>
      <c r="HP1" s="210"/>
      <c r="HQ1" s="210"/>
      <c r="HR1" s="210"/>
      <c r="HS1" s="210"/>
      <c r="HT1" s="210"/>
      <c r="HU1" s="210"/>
      <c r="HV1" s="210"/>
      <c r="HW1" s="211"/>
      <c r="HX1" s="528"/>
      <c r="HY1" s="210"/>
      <c r="HZ1" s="210"/>
      <c r="IA1" s="210"/>
      <c r="IB1" s="210"/>
      <c r="IC1" s="210"/>
      <c r="ID1" s="210"/>
      <c r="IE1" s="210"/>
      <c r="IF1" s="210"/>
      <c r="IG1" s="211"/>
    </row>
    <row r="2" spans="3:241">
      <c r="C2" s="1230" t="s">
        <v>179</v>
      </c>
      <c r="D2" s="1231"/>
      <c r="E2" s="1231"/>
      <c r="F2" s="1232"/>
      <c r="G2" s="268"/>
      <c r="BM2" s="264" t="s">
        <v>546</v>
      </c>
      <c r="BN2" s="264" t="s">
        <v>547</v>
      </c>
      <c r="CQ2" s="264" t="s">
        <v>546</v>
      </c>
      <c r="CR2" s="264" t="s">
        <v>547</v>
      </c>
      <c r="HA2" s="47"/>
      <c r="HW2" s="47"/>
      <c r="HX2" s="532"/>
      <c r="IG2" s="47"/>
    </row>
    <row r="3" spans="3:241">
      <c r="C3" s="740" t="s">
        <v>477</v>
      </c>
      <c r="D3" s="588">
        <f>R91</f>
        <v>20</v>
      </c>
      <c r="E3" s="268"/>
      <c r="F3" s="268"/>
      <c r="G3" s="268"/>
      <c r="BM3" s="264"/>
      <c r="BN3" s="264"/>
      <c r="CQ3" s="264"/>
      <c r="CR3" s="264"/>
      <c r="HA3" s="47"/>
      <c r="HW3" s="47"/>
      <c r="HX3" s="532"/>
      <c r="IG3" s="47"/>
    </row>
    <row r="4" spans="3:241">
      <c r="C4" s="532" t="s">
        <v>548</v>
      </c>
      <c r="D4" s="320">
        <f>MAX(Materials!E1:E3)</f>
        <v>12</v>
      </c>
      <c r="BM4" s="524">
        <f>MIN($E$15,$E$17,$E$19)</f>
        <v>6</v>
      </c>
      <c r="BN4" s="524">
        <f>MAX($E$15,$E$17,$E$19)</f>
        <v>12</v>
      </c>
      <c r="CQ4" s="524">
        <f>MIN($E$15,$E$17,$E$19)</f>
        <v>6</v>
      </c>
      <c r="CR4" s="524">
        <f>MAX($E$15,$E$17,$E$19)</f>
        <v>12</v>
      </c>
      <c r="HA4" s="47"/>
      <c r="HW4" s="47"/>
      <c r="HX4" s="532"/>
      <c r="IG4" s="47"/>
    </row>
    <row r="5" spans="3:241">
      <c r="C5" s="661" t="s">
        <v>549</v>
      </c>
      <c r="D5" s="482">
        <f>R92</f>
        <v>6</v>
      </c>
      <c r="E5" t="s">
        <v>75</v>
      </c>
      <c r="H5" s="695"/>
      <c r="K5" t="s">
        <v>550</v>
      </c>
      <c r="AS5" s="1261" t="s">
        <v>551</v>
      </c>
      <c r="AT5" s="1237"/>
      <c r="BB5" t="str">
        <f>AS12</f>
        <v>6.20 (6)</v>
      </c>
      <c r="BC5" s="320" t="str">
        <f>AS26</f>
        <v>12.15 (3)</v>
      </c>
      <c r="BD5" s="320" t="str">
        <f>AS40</f>
        <v>12.30 (3)</v>
      </c>
      <c r="BF5" t="str">
        <f>BB5</f>
        <v>6.20 (6)</v>
      </c>
      <c r="BG5" t="str">
        <f>BC5</f>
        <v>12.15 (3)</v>
      </c>
      <c r="BH5" t="str">
        <f>BD5</f>
        <v>12.30 (3)</v>
      </c>
      <c r="BJ5" t="str" cm="1">
        <f t="array" ref="BJ5">_xlfn.IFS(BF6=BJ6,BF5,BG6=BJ6,BG5,BH6=BJ6,BH5)</f>
        <v>12.30 (3)</v>
      </c>
      <c r="CF5">
        <f>BW12</f>
        <v>0</v>
      </c>
      <c r="CG5" s="320">
        <f>BW26</f>
        <v>0</v>
      </c>
      <c r="CH5" s="320" t="str">
        <f>BW40</f>
        <v>12.30 (3)</v>
      </c>
      <c r="CJ5">
        <f>CF5</f>
        <v>0</v>
      </c>
      <c r="CK5">
        <f>CG5</f>
        <v>0</v>
      </c>
      <c r="CL5" t="str">
        <f>CH5</f>
        <v>12.30 (3)</v>
      </c>
      <c r="CN5" t="str" cm="1">
        <f t="array" ref="CN5">_xlfn.IFS(CJ6=CN6,CJ5,CK6=CN6,CK5,CL6=CN6,CL5)</f>
        <v>12.30 (3)</v>
      </c>
      <c r="HA5" s="47"/>
      <c r="HW5" s="47"/>
      <c r="HX5" s="532"/>
      <c r="IG5" s="47"/>
    </row>
    <row r="6" spans="3:241" ht="45">
      <c r="C6" s="661"/>
      <c r="D6" s="358">
        <f>Q99</f>
        <v>10.471975511965978</v>
      </c>
      <c r="K6" t="s">
        <v>552</v>
      </c>
      <c r="AS6" s="727" t="s">
        <v>553</v>
      </c>
      <c r="AT6" s="728">
        <v>3</v>
      </c>
      <c r="AY6" s="289" t="s">
        <v>553</v>
      </c>
      <c r="AZ6">
        <f>MIN(AZ21,AZ35,AZ49)</f>
        <v>3</v>
      </c>
      <c r="BB6">
        <f>IF($AZ21=$AZ6,$AT6,0)</f>
        <v>0</v>
      </c>
      <c r="BC6">
        <f>IF($AZ35=$AZ6,$AT6,0)</f>
        <v>3</v>
      </c>
      <c r="BD6">
        <f>IF($AZ49=$AZ6,$AT6,0)</f>
        <v>3</v>
      </c>
      <c r="BF6">
        <f>SUM(BB6:BB8)</f>
        <v>0.5</v>
      </c>
      <c r="BG6">
        <f>SUM(BC6:BC8)</f>
        <v>3</v>
      </c>
      <c r="BH6">
        <f>SUM(BD6:BD8)</f>
        <v>4</v>
      </c>
      <c r="BJ6">
        <f>MAX(BF6,BG6,BH6)</f>
        <v>4</v>
      </c>
      <c r="BM6" s="263" t="s">
        <v>554</v>
      </c>
      <c r="BN6" s="263" cm="1">
        <f t="array" ref="BN6">_xlfn.IFS(BF6=BJ6,$E$15,BG6=BJ6,$E$17,BH6=BJ6,$E$19)</f>
        <v>12</v>
      </c>
      <c r="CC6" s="289" t="s">
        <v>553</v>
      </c>
      <c r="CD6" cm="1">
        <f t="array" ref="CD6">IFERROR(MIN(_xlfn._xlws.FILTER(CHOOSE({1,2,3},CD21,CD35,CD49),CHOOSE({1,2,3},CD21,CD35,CD49)&lt;&gt;0)),0)</f>
        <v>3</v>
      </c>
      <c r="CF6">
        <f>IF($CD21=$CD6,$AT6,0)</f>
        <v>0</v>
      </c>
      <c r="CG6">
        <f>IF($CD35=$CD6,$AT6,0)</f>
        <v>0</v>
      </c>
      <c r="CH6">
        <f>IF($CD49=$CD6,$AT6,0)</f>
        <v>3</v>
      </c>
      <c r="CJ6">
        <f>SUM(CF6:CF8)</f>
        <v>0</v>
      </c>
      <c r="CK6">
        <f>SUM(CG6:CG8)</f>
        <v>0</v>
      </c>
      <c r="CL6">
        <f>SUM(CH6:CH8)</f>
        <v>4.5</v>
      </c>
      <c r="CN6">
        <f>MAX(CJ6,CK6,CL6)</f>
        <v>4.5</v>
      </c>
      <c r="CQ6" s="263" t="s">
        <v>554</v>
      </c>
      <c r="CR6" s="263" cm="1">
        <f t="array" ref="CR6">_xlfn.IFS(CJ6=CN6,$E$15,CK6=CN6,$E$17,CL6=CN6,$E$19)</f>
        <v>12</v>
      </c>
      <c r="HA6" s="47"/>
      <c r="HW6" s="47"/>
      <c r="HX6" s="532"/>
      <c r="IG6" s="47"/>
    </row>
    <row r="7" spans="3:241">
      <c r="C7" s="661" t="s">
        <v>555</v>
      </c>
      <c r="D7" s="591">
        <f>ROUNDUP(D6,0)</f>
        <v>11</v>
      </c>
      <c r="E7" s="358" t="s">
        <v>75</v>
      </c>
      <c r="F7">
        <f>ROUNDUP(D6,0)</f>
        <v>11</v>
      </c>
      <c r="G7" s="358"/>
      <c r="AS7" s="729" t="s">
        <v>556</v>
      </c>
      <c r="AT7" s="730">
        <v>1</v>
      </c>
      <c r="AY7" s="289" t="s">
        <v>556</v>
      </c>
      <c r="AZ7">
        <f>MIN(AZ22,AZ36,AZ50)</f>
        <v>2</v>
      </c>
      <c r="BB7">
        <f>IF($AZ22=$AZ7,$AT7,0)</f>
        <v>0</v>
      </c>
      <c r="BC7">
        <f>IF($AZ35=$AZ7,$AT7,0)</f>
        <v>0</v>
      </c>
      <c r="BD7">
        <f>IF($AZ50=$AZ7,$AT7,0)</f>
        <v>1</v>
      </c>
      <c r="CC7" s="289" t="s">
        <v>556</v>
      </c>
      <c r="CD7" cm="1">
        <f t="array" ref="CD7">IFERROR(MIN(_xlfn._xlws.FILTER(CHOOSE({1,2,3},CD22,CD36,CD50),CHOOSE({1,2,3},CD22,CD36,CD50)&lt;&gt;0)),0)</f>
        <v>2</v>
      </c>
      <c r="CF7">
        <f>IF($CD22=$CD7,$AT7,0)</f>
        <v>0</v>
      </c>
      <c r="CG7">
        <f>IF($CD36=$CD7,$AT7,0)</f>
        <v>0</v>
      </c>
      <c r="CH7">
        <f>IF($CD50=$CD7,$AT7,0)</f>
        <v>1</v>
      </c>
      <c r="HA7" s="47"/>
      <c r="HW7" s="47"/>
      <c r="HX7" s="532"/>
      <c r="IG7" s="47"/>
    </row>
    <row r="8" spans="3:241" ht="30">
      <c r="C8" s="661" t="s">
        <v>557</v>
      </c>
      <c r="D8" s="490">
        <f>D7*D9*D5</f>
        <v>66</v>
      </c>
      <c r="E8" t="s">
        <v>75</v>
      </c>
      <c r="AS8" s="731" t="s">
        <v>558</v>
      </c>
      <c r="AT8" s="732">
        <v>0.5</v>
      </c>
      <c r="AY8" s="289" t="s">
        <v>558</v>
      </c>
      <c r="AZ8">
        <f>MIN(AZ23,AZ37,AZ51)</f>
        <v>2</v>
      </c>
      <c r="BB8">
        <f>IF($AZ23=$AZ8,$AT8,0)</f>
        <v>0.5</v>
      </c>
      <c r="BC8">
        <f>IF($AZ37=$AZ8,$AT8,0)</f>
        <v>0</v>
      </c>
      <c r="BD8">
        <f>IF($AZ51=$AZ8,$AT8,0)</f>
        <v>0</v>
      </c>
      <c r="CC8" s="289" t="s">
        <v>558</v>
      </c>
      <c r="CD8" cm="1">
        <f t="array" ref="CD8">IFERROR(MIN(_xlfn._xlws.FILTER(CHOOSE({1,2,3},CD23,CD37,CD51),CHOOSE({1,2,3},CD23,CD37,CD51)&lt;&gt;0)),0)</f>
        <v>11</v>
      </c>
      <c r="CF8">
        <f>IF($CD23=$CD8,$AT8,0)</f>
        <v>0</v>
      </c>
      <c r="CG8">
        <f>IF($CD37=$CD8,$AT8,0)</f>
        <v>0</v>
      </c>
      <c r="CH8">
        <f>IF($CD51=$CD8,$AT8,0)</f>
        <v>0.5</v>
      </c>
      <c r="HA8" s="47"/>
      <c r="HW8" s="47"/>
      <c r="HX8" s="532"/>
      <c r="IG8" s="47"/>
    </row>
    <row r="9" spans="3:241">
      <c r="C9" s="532" t="s">
        <v>559</v>
      </c>
      <c r="D9" s="657">
        <v>1</v>
      </c>
      <c r="HA9" s="47"/>
      <c r="HW9" s="47"/>
      <c r="HX9" s="532"/>
      <c r="IG9" s="47"/>
    </row>
    <row r="10" spans="3:241">
      <c r="C10" s="532" t="s">
        <v>560</v>
      </c>
      <c r="D10" s="490"/>
      <c r="E10" t="s">
        <v>75</v>
      </c>
      <c r="AY10" s="592"/>
      <c r="BB10" s="1230" t="s">
        <v>561</v>
      </c>
      <c r="BC10" s="1231"/>
      <c r="BD10" s="1231"/>
      <c r="BE10" s="1231"/>
      <c r="BF10" s="1231"/>
      <c r="BG10" s="1231"/>
      <c r="BH10" s="1231"/>
      <c r="BI10" s="1232"/>
      <c r="BJ10" s="268"/>
      <c r="BK10" s="268"/>
      <c r="BL10" s="1230" t="s">
        <v>562</v>
      </c>
      <c r="BM10" s="1231"/>
      <c r="BN10" s="1231"/>
      <c r="BO10" s="1231"/>
      <c r="BP10" s="1231"/>
      <c r="BQ10" s="1231"/>
      <c r="BR10" s="1231"/>
      <c r="BS10" s="1232"/>
      <c r="BT10" s="268"/>
      <c r="BU10" s="268"/>
      <c r="BV10" s="268"/>
      <c r="BW10" s="268"/>
      <c r="BX10" s="268"/>
      <c r="BY10" s="268"/>
      <c r="BZ10" s="268"/>
      <c r="CA10" s="268"/>
      <c r="CB10" s="268"/>
      <c r="CC10" s="268"/>
      <c r="CD10" s="268"/>
      <c r="CF10" s="1230" t="s">
        <v>563</v>
      </c>
      <c r="CG10" s="1231"/>
      <c r="CH10" s="1231"/>
      <c r="CI10" s="1231"/>
      <c r="CJ10" s="1231"/>
      <c r="CK10" s="1231"/>
      <c r="CL10" s="1231"/>
      <c r="CM10" s="1232"/>
      <c r="CN10" s="268"/>
      <c r="CO10" s="268"/>
      <c r="CP10" s="1230" t="s">
        <v>564</v>
      </c>
      <c r="CQ10" s="1231"/>
      <c r="CR10" s="1231"/>
      <c r="CS10" s="1231"/>
      <c r="CT10" s="1231"/>
      <c r="CU10" s="1231"/>
      <c r="CV10" s="1231"/>
      <c r="CW10" s="1232"/>
      <c r="CX10" s="268"/>
      <c r="HA10" s="47"/>
      <c r="HD10" s="1230" t="str">
        <f>BB10</f>
        <v>OPTIMAL</v>
      </c>
      <c r="HE10" s="1231"/>
      <c r="HF10" s="1231"/>
      <c r="HG10" s="1231"/>
      <c r="HH10" s="1231"/>
      <c r="HI10" s="1231"/>
      <c r="HJ10" s="1231"/>
      <c r="HK10" s="1232"/>
      <c r="HN10" s="1230" t="str">
        <f>CF10</f>
        <v>OPTIMAL BASED ON MATERIALS</v>
      </c>
      <c r="HO10" s="1231"/>
      <c r="HP10" s="1231"/>
      <c r="HQ10" s="1231"/>
      <c r="HR10" s="1231"/>
      <c r="HS10" s="1231"/>
      <c r="HT10" s="1231"/>
      <c r="HU10" s="1232"/>
      <c r="HW10" s="47"/>
      <c r="HX10" s="532"/>
      <c r="HY10" s="1230" t="str">
        <f>HD10</f>
        <v>OPTIMAL</v>
      </c>
      <c r="HZ10" s="1231"/>
      <c r="IA10" s="1232"/>
      <c r="IC10" s="1230" t="str">
        <f>HN10</f>
        <v>OPTIMAL BASED ON MATERIALS</v>
      </c>
      <c r="ID10" s="1231"/>
      <c r="IE10" s="1232"/>
      <c r="IG10" s="47"/>
    </row>
    <row r="11" spans="3:241">
      <c r="C11" s="532" t="s">
        <v>565</v>
      </c>
      <c r="D11" s="359"/>
      <c r="E11" t="s">
        <v>75</v>
      </c>
      <c r="AN11" t="s">
        <v>566</v>
      </c>
      <c r="AO11" t="s">
        <v>567</v>
      </c>
      <c r="AP11" t="s">
        <v>568</v>
      </c>
      <c r="AQ11" t="s">
        <v>524</v>
      </c>
      <c r="HA11" s="47"/>
      <c r="HW11" s="47"/>
      <c r="HX11" s="532"/>
      <c r="IG11" s="47"/>
    </row>
    <row r="12" spans="3:241" ht="45">
      <c r="C12" s="532"/>
      <c r="AE12" s="696"/>
      <c r="AH12" s="696"/>
      <c r="AN12" t="b">
        <f>IF('(GW) (IW) (Full) (Combo)'!L21=0,FALSE,TRUE)</f>
        <v>1</v>
      </c>
      <c r="AO12" s="320" t="b">
        <f>Materials!$D$1</f>
        <v>0</v>
      </c>
      <c r="AP12" s="320" t="b">
        <f>AND(AN12,AO12)</f>
        <v>0</v>
      </c>
      <c r="AQ12" t="b">
        <f>AND(AP12=TRUE,BI19=20)</f>
        <v>0</v>
      </c>
      <c r="AS12" s="1230" t="str">
        <f>"" &amp; D15 &amp; " (" &amp;ET14 &amp; ")"</f>
        <v>6.20 (6)</v>
      </c>
      <c r="AT12" s="1231"/>
      <c r="AU12" s="1231"/>
      <c r="AV12" s="1231"/>
      <c r="AW12" s="1231"/>
      <c r="AX12" s="1232"/>
      <c r="BB12" s="1230" t="str">
        <f>BJ5</f>
        <v>12.30 (3)</v>
      </c>
      <c r="BC12" s="1231"/>
      <c r="BD12" s="1231"/>
      <c r="BE12" s="1231"/>
      <c r="BF12" s="1231"/>
      <c r="BG12" s="1232"/>
      <c r="BL12" s="1230" t="str">
        <f>BB12</f>
        <v>12.30 (3)</v>
      </c>
      <c r="BM12" s="1231"/>
      <c r="BN12" s="1231"/>
      <c r="BO12" s="1231"/>
      <c r="BP12" s="1231"/>
      <c r="BQ12" s="1232"/>
      <c r="BW12" s="1230">
        <f>IF($AP$12=TRUE,AS12,0)</f>
        <v>0</v>
      </c>
      <c r="BX12" s="1231"/>
      <c r="BY12" s="1231"/>
      <c r="BZ12" s="1231"/>
      <c r="CA12" s="1231"/>
      <c r="CB12" s="1232"/>
      <c r="CF12" s="1230" t="str">
        <f>CN5</f>
        <v>12.30 (3)</v>
      </c>
      <c r="CG12" s="1231"/>
      <c r="CH12" s="1231"/>
      <c r="CI12" s="1231"/>
      <c r="CJ12" s="1231"/>
      <c r="CK12" s="1232"/>
      <c r="CP12" s="1230" t="str">
        <f>CF12</f>
        <v>12.30 (3)</v>
      </c>
      <c r="CQ12" s="1231"/>
      <c r="CR12" s="1231"/>
      <c r="CS12" s="1231"/>
      <c r="CT12" s="1231"/>
      <c r="CU12" s="1232"/>
      <c r="DA12" s="263">
        <f t="shared" ref="DA12:DF12" si="0">SUM(DA14:DA19)</f>
        <v>1</v>
      </c>
      <c r="DB12" s="263">
        <f t="shared" si="0"/>
        <v>1</v>
      </c>
      <c r="DC12" s="263">
        <f t="shared" si="0"/>
        <v>1</v>
      </c>
      <c r="DD12" s="263">
        <f t="shared" si="0"/>
        <v>1</v>
      </c>
      <c r="DE12" s="263">
        <f t="shared" si="0"/>
        <v>1</v>
      </c>
      <c r="DF12" s="263">
        <f t="shared" si="0"/>
        <v>1</v>
      </c>
      <c r="DG12" s="268"/>
      <c r="DI12" s="689">
        <f t="shared" ref="DI12:DN12" si="1">SUM(DI14:DI19)</f>
        <v>11</v>
      </c>
      <c r="DJ12" s="689">
        <f t="shared" si="1"/>
        <v>11</v>
      </c>
      <c r="DK12" s="689">
        <f t="shared" si="1"/>
        <v>11</v>
      </c>
      <c r="DL12" s="689">
        <f t="shared" si="1"/>
        <v>11</v>
      </c>
      <c r="DM12" s="689">
        <f t="shared" si="1"/>
        <v>11</v>
      </c>
      <c r="DN12" s="263">
        <f t="shared" si="1"/>
        <v>11</v>
      </c>
      <c r="DO12" s="268"/>
      <c r="DP12" s="268"/>
      <c r="DQ12" s="1230" t="s">
        <v>569</v>
      </c>
      <c r="DR12" s="1231"/>
      <c r="DS12" s="1231"/>
      <c r="DT12" s="1231"/>
      <c r="DU12" s="1231"/>
      <c r="DV12" s="1232"/>
      <c r="DW12" s="268"/>
      <c r="DX12" s="268"/>
      <c r="DY12" s="1230" t="s">
        <v>570</v>
      </c>
      <c r="DZ12" s="1231"/>
      <c r="EA12" s="1231"/>
      <c r="EB12" s="1231"/>
      <c r="EC12" s="1231"/>
      <c r="ED12" s="1232"/>
      <c r="EE12" s="268"/>
      <c r="EF12" s="268"/>
      <c r="EG12" s="1230" t="s">
        <v>571</v>
      </c>
      <c r="EH12" s="1231"/>
      <c r="EI12" s="1231"/>
      <c r="EJ12" s="1231"/>
      <c r="EK12" s="1231"/>
      <c r="EL12" s="1232"/>
      <c r="EM12" s="268"/>
      <c r="EN12" s="268"/>
      <c r="EO12" s="724" t="s">
        <v>572</v>
      </c>
      <c r="EP12" s="268"/>
      <c r="EQ12" s="268"/>
      <c r="ER12" s="724" t="s">
        <v>573</v>
      </c>
      <c r="ES12" s="268"/>
      <c r="ET12" s="724" t="s">
        <v>574</v>
      </c>
      <c r="EU12" s="268"/>
      <c r="EV12" s="268"/>
      <c r="EW12" s="268"/>
      <c r="EX12" s="552" t="s">
        <v>575</v>
      </c>
      <c r="EY12" s="268"/>
      <c r="EZ12" s="721" t="s">
        <v>576</v>
      </c>
      <c r="FA12" s="268"/>
      <c r="FB12" s="552" t="s">
        <v>577</v>
      </c>
      <c r="FC12" s="268"/>
      <c r="FD12" s="552" t="s">
        <v>578</v>
      </c>
      <c r="FE12" s="268"/>
      <c r="FF12" s="552" t="s">
        <v>579</v>
      </c>
      <c r="FG12" s="268"/>
      <c r="FH12" s="552" t="s">
        <v>580</v>
      </c>
      <c r="FJ12" s="268"/>
      <c r="FK12" s="552" t="s">
        <v>581</v>
      </c>
      <c r="FL12" s="268"/>
      <c r="FM12" s="552" t="s">
        <v>582</v>
      </c>
      <c r="FN12" s="268"/>
      <c r="FO12" s="552" t="s">
        <v>583</v>
      </c>
      <c r="FP12" s="268"/>
      <c r="FQ12" s="552" t="s">
        <v>584</v>
      </c>
      <c r="FR12" s="268"/>
      <c r="FS12" s="552" t="s">
        <v>585</v>
      </c>
      <c r="FT12" s="268"/>
      <c r="FU12" s="552" t="s">
        <v>586</v>
      </c>
      <c r="FV12" s="268"/>
      <c r="FY12" s="627" t="s">
        <v>587</v>
      </c>
      <c r="FZ12" t="s">
        <v>588</v>
      </c>
      <c r="GA12" s="627" t="s">
        <v>589</v>
      </c>
      <c r="GC12" s="627" t="s">
        <v>587</v>
      </c>
      <c r="GD12" s="627" t="s">
        <v>590</v>
      </c>
      <c r="GE12" s="268"/>
      <c r="GF12" s="627" t="s">
        <v>587</v>
      </c>
      <c r="GG12" s="627" t="s">
        <v>590</v>
      </c>
      <c r="GH12" s="1"/>
      <c r="GI12" s="1"/>
      <c r="GJ12" s="627" t="s">
        <v>589</v>
      </c>
      <c r="GL12" s="627" t="s">
        <v>587</v>
      </c>
      <c r="GM12" s="627" t="s">
        <v>590</v>
      </c>
      <c r="GN12" s="268"/>
      <c r="GO12" s="627" t="s">
        <v>587</v>
      </c>
      <c r="GP12" s="627" t="s">
        <v>590</v>
      </c>
      <c r="GQ12" s="1"/>
      <c r="HA12" s="47"/>
      <c r="HD12" s="1230" t="str">
        <f>BL12</f>
        <v>12.30 (3)</v>
      </c>
      <c r="HE12" s="1231"/>
      <c r="HF12" s="1231"/>
      <c r="HG12" s="1231"/>
      <c r="HH12" s="1231"/>
      <c r="HI12" s="1232"/>
      <c r="HN12" s="1230" t="str">
        <f t="shared" ref="HN12:HT19" si="2">CP12</f>
        <v>12.30 (3)</v>
      </c>
      <c r="HO12" s="1231"/>
      <c r="HP12" s="1231"/>
      <c r="HQ12" s="1231"/>
      <c r="HR12" s="1231"/>
      <c r="HS12" s="1232"/>
      <c r="HW12" s="47"/>
      <c r="HX12" s="532"/>
      <c r="IG12" s="47"/>
    </row>
    <row r="13" spans="3:241" ht="60">
      <c r="C13" s="532"/>
      <c r="H13" s="480" t="str">
        <f>"Linear foot per (" &amp; D7 &amp; ") ft roll"</f>
        <v>Linear foot per (11) ft roll</v>
      </c>
      <c r="I13" s="483" t="s">
        <v>271</v>
      </c>
      <c r="K13" s="483" t="s">
        <v>591</v>
      </c>
      <c r="M13" s="480" t="s">
        <v>592</v>
      </c>
      <c r="P13" s="480" t="s">
        <v>593</v>
      </c>
      <c r="R13" s="480" t="s">
        <v>594</v>
      </c>
      <c r="V13" s="480" t="s">
        <v>595</v>
      </c>
      <c r="X13" s="658" t="s">
        <v>596</v>
      </c>
      <c r="Y13" s="659" t="s">
        <v>597</v>
      </c>
      <c r="Z13" s="659" t="s">
        <v>598</v>
      </c>
      <c r="AA13" s="659" t="s">
        <v>599</v>
      </c>
      <c r="AB13" s="659" t="s">
        <v>600</v>
      </c>
      <c r="AC13" s="659" t="s">
        <v>601</v>
      </c>
      <c r="AE13" s="291" t="s">
        <v>602</v>
      </c>
      <c r="AF13" s="480" t="s">
        <v>603</v>
      </c>
      <c r="AG13" s="480" t="s">
        <v>604</v>
      </c>
      <c r="AH13" s="480" t="s">
        <v>605</v>
      </c>
      <c r="AK13" s="418" t="s">
        <v>606</v>
      </c>
      <c r="AL13" s="291" t="s">
        <v>607</v>
      </c>
      <c r="AS13" s="1256" t="s">
        <v>608</v>
      </c>
      <c r="AT13" s="1262"/>
      <c r="AU13" s="1256" t="s">
        <v>608</v>
      </c>
      <c r="AV13" s="1262"/>
      <c r="AW13" s="1256" t="s">
        <v>608</v>
      </c>
      <c r="AX13" s="1262"/>
      <c r="AY13" s="1263" t="s">
        <v>544</v>
      </c>
      <c r="AZ13" s="1234"/>
      <c r="BA13" s="268"/>
      <c r="BB13" s="1256" t="s">
        <v>608</v>
      </c>
      <c r="BC13" s="1262"/>
      <c r="BD13" s="1256" t="s">
        <v>608</v>
      </c>
      <c r="BE13" s="1262"/>
      <c r="BF13" s="1256" t="s">
        <v>608</v>
      </c>
      <c r="BG13" s="1262"/>
      <c r="BH13" s="1233" t="s">
        <v>544</v>
      </c>
      <c r="BI13" s="1234"/>
      <c r="BJ13" s="268"/>
      <c r="BK13" s="268"/>
      <c r="BL13" s="1230" t="s">
        <v>608</v>
      </c>
      <c r="BM13" s="1264"/>
      <c r="BN13" s="1265" t="s">
        <v>608</v>
      </c>
      <c r="BO13" s="1264"/>
      <c r="BP13" s="1265" t="s">
        <v>608</v>
      </c>
      <c r="BQ13" s="1232"/>
      <c r="BR13" s="1233" t="s">
        <v>544</v>
      </c>
      <c r="BS13" s="1234"/>
      <c r="BT13" s="268"/>
      <c r="BU13" s="268"/>
      <c r="BV13" s="268"/>
      <c r="BW13" s="1256" t="s">
        <v>608</v>
      </c>
      <c r="BX13" s="1262"/>
      <c r="BY13" s="1256" t="s">
        <v>608</v>
      </c>
      <c r="BZ13" s="1262"/>
      <c r="CA13" s="1256" t="s">
        <v>608</v>
      </c>
      <c r="CB13" s="1262"/>
      <c r="CC13" s="1233" t="s">
        <v>544</v>
      </c>
      <c r="CD13" s="1234"/>
      <c r="CE13" s="268"/>
      <c r="CF13" s="1256" t="s">
        <v>608</v>
      </c>
      <c r="CG13" s="1262"/>
      <c r="CH13" s="1256" t="s">
        <v>608</v>
      </c>
      <c r="CI13" s="1262"/>
      <c r="CJ13" s="1256" t="s">
        <v>608</v>
      </c>
      <c r="CK13" s="1262"/>
      <c r="CL13" s="1233" t="s">
        <v>544</v>
      </c>
      <c r="CM13" s="1234"/>
      <c r="CN13" s="268"/>
      <c r="CO13" s="268"/>
      <c r="CP13" s="1261" t="s">
        <v>608</v>
      </c>
      <c r="CQ13" s="1262"/>
      <c r="CR13" s="1256" t="s">
        <v>608</v>
      </c>
      <c r="CS13" s="1262"/>
      <c r="CT13" s="1256" t="s">
        <v>608</v>
      </c>
      <c r="CU13" s="1237"/>
      <c r="CV13" s="1233" t="s">
        <v>544</v>
      </c>
      <c r="CW13" s="1234"/>
      <c r="CX13" s="268"/>
      <c r="CY13" s="268"/>
      <c r="EO13" s="374"/>
      <c r="ER13" s="374"/>
      <c r="ET13" s="374"/>
      <c r="GH13" s="1"/>
      <c r="GI13" s="1"/>
      <c r="GQ13" s="1"/>
      <c r="GS13" s="724" t="s">
        <v>437</v>
      </c>
      <c r="HA13" s="47"/>
      <c r="HD13" s="1266" t="str">
        <f>BL13</f>
        <v>12"</v>
      </c>
      <c r="HE13" s="1267"/>
      <c r="HF13" s="1266" t="str">
        <f>BD13</f>
        <v>12"</v>
      </c>
      <c r="HG13" s="1267"/>
      <c r="HH13" s="1266" t="str">
        <f>BF13</f>
        <v>12"</v>
      </c>
      <c r="HI13" s="1267"/>
      <c r="HJ13" s="1266" t="str">
        <f>BH13</f>
        <v>OVERFLOW</v>
      </c>
      <c r="HK13" s="1267"/>
      <c r="HN13" s="1266" t="str">
        <f t="shared" si="2"/>
        <v>12"</v>
      </c>
      <c r="HO13" s="1267"/>
      <c r="HP13" s="1266" t="str">
        <f>BN13</f>
        <v>12"</v>
      </c>
      <c r="HQ13" s="1267"/>
      <c r="HR13" s="1266" t="str">
        <f>BP13</f>
        <v>12"</v>
      </c>
      <c r="HS13" s="1267"/>
      <c r="HT13" s="1266" t="str">
        <f>BR13</f>
        <v>OVERFLOW</v>
      </c>
      <c r="HU13" s="1267"/>
      <c r="HW13" s="47"/>
      <c r="HX13" s="532"/>
      <c r="HY13" s="693" t="s">
        <v>90</v>
      </c>
      <c r="HZ13" s="694" t="s">
        <v>91</v>
      </c>
      <c r="IC13" s="693" t="s">
        <v>90</v>
      </c>
      <c r="ID13" s="694" t="s">
        <v>91</v>
      </c>
      <c r="IG13" s="47"/>
    </row>
    <row r="14" spans="3:241" ht="15.75">
      <c r="C14" s="532"/>
      <c r="E14" s="264" t="s">
        <v>609</v>
      </c>
      <c r="F14" s="264" t="s">
        <v>84</v>
      </c>
      <c r="X14" s="532"/>
      <c r="AS14" s="690" t="str">
        <f t="shared" ref="AS14:AX19" si="3">_xlfn.LET(
_xlpm.total,IF($H$15=0,$D$7,$AL$15),
_xlpm.fullName,IF($H$15=0,$AH$15,$AC$15),
_xlpm.leftName,$AE$15,
_xlpm.perNum,$Z$15,
_xlpm.allowCols,IF($D$5=1,1,$AF$15),
_xlpm.fullCount,INT(_xlpm.total/_xlpm.fullName),
_xlpm.leftOver,MOD(_xlpm.total,_xlpm.fullName),
_xlpm.maxCount,_xlpm.fullCount+IF(_xlpm.leftOver&gt;0,1,0),
_xlpm.rowsPerCol,IF($H$15=0,_xlpm.maxCount,$D$9),
_xlpm.rowInCol,ROW()-ROW($AS$14)+1,
_xlpm.colBlock,INT((COLUMN()-COLUMN($AS$14))/2),
_xlpm.n,IF(
    $H$15=0,
    _xlpm.rowInCol,
    (_xlpm.rowInCol-1)*_xlpm.allowCols+_xlpm.colBlock+1
),
IF($H$15&lt;&gt;0,
    IF(OR(
        _xlpm.rowInCol&gt;_xlpm.rowsPerCol,
        _xlpm.colBlock+1&gt;_xlpm.allowCols,
        _xlpm.n&gt;$AF$15*$AK$15
    ),
        "",
        TEXT(_xlpm.fullName,"0.00")&amp;" ("&amp;ROUNDUP(_xlpm.n/_xlpm.perNum,0)&amp;")"
    ),
    IF(OR(_xlpm.rowInCol&gt;_xlpm.rowsPerCol,_xlpm.colBlock+1&gt;_xlpm.allowCols),
        "",
        IF(_xlpm.n&lt;=_xlpm.fullCount,
            TEXT(_xlpm.fullName,"0")&amp;"' ("&amp;_xlpm.n&amp;")",
            TEXT(_xlpm.leftName,"0")&amp;"' ("&amp;_xlpm.n&amp;")"
        )
    )
)
)</f>
        <v xml:space="preserve"> 11' (2)</v>
      </c>
      <c r="AT14" s="713" t="str">
        <f t="shared" si="3"/>
        <v xml:space="preserve"> 11' (2)</v>
      </c>
      <c r="AU14" s="690" t="str">
        <f t="shared" si="3"/>
        <v xml:space="preserve"> 11' (4)</v>
      </c>
      <c r="AV14" s="713" t="str">
        <f t="shared" si="3"/>
        <v xml:space="preserve"> 11' (4)</v>
      </c>
      <c r="AW14" s="690" t="str">
        <f t="shared" si="3"/>
        <v xml:space="preserve"> 11' (6)</v>
      </c>
      <c r="AX14" s="713" t="str">
        <f t="shared" si="3"/>
        <v xml:space="preserve"> 11' (6)</v>
      </c>
      <c r="AY14" s="1268" t="str">
        <f>GY14</f>
        <v>Total 2'</v>
      </c>
      <c r="AZ14" s="1269"/>
      <c r="BA14" s="1"/>
      <c r="BB14" s="1261" t="str" cm="1">
        <f t="array" ref="BB14">_xlfn.IFS($AS$12=$BB$12,AS14,$AS$26=$BB$12,AS28,$AS$40=$BB$12,AS42)</f>
        <v xml:space="preserve"> 11' (1)</v>
      </c>
      <c r="BC14" s="1237"/>
      <c r="BD14" s="1261" t="str" cm="1">
        <f t="array" ref="BD14">_xlfn.IFS($AS$12=$BB$12,AU14,$AS$26=$BB$12,AU28,$AS$40=$BB$12,AU42)</f>
        <v xml:space="preserve"> 11' (1)</v>
      </c>
      <c r="BE14" s="1237"/>
      <c r="BF14" s="1261" t="str" cm="1">
        <f t="array" ref="BF14">_xlfn.IFS($AS$12=$BB$12,AW14,$AS$26=$BB$12,AW28,$AS$40=$BB$12,AW42)</f>
        <v xml:space="preserve"> 11' (2)</v>
      </c>
      <c r="BG14" s="1237"/>
      <c r="BH14" s="1261" t="str" cm="1">
        <f t="array" ref="BH14">_xlfn.IFS($AS$12=$BB$12,AY14,$AS$26=$BB$12,AY28,$AS$40=$BB$12,AY42)</f>
        <v>Total 11'</v>
      </c>
      <c r="BI14" s="1237"/>
      <c r="BJ14" s="268"/>
      <c r="BK14" s="268"/>
      <c r="BL14" s="737" t="str">
        <f t="shared" ref="BL14:BQ19" si="4">IF($BN$6=$BN$4,BB28,BB42)</f>
        <v>               11</v>
      </c>
      <c r="BM14" s="739" t="str">
        <f t="shared" si="4"/>
        <v>' (1)          ┃</v>
      </c>
      <c r="BN14" s="739" t="str">
        <f t="shared" si="4"/>
        <v>               11</v>
      </c>
      <c r="BO14" s="739" t="str">
        <f t="shared" si="4"/>
        <v>' (1)          ┃</v>
      </c>
      <c r="BP14" s="739" t="str">
        <f t="shared" si="4"/>
        <v>               11</v>
      </c>
      <c r="BQ14" s="733" t="str">
        <f t="shared" si="4"/>
        <v>' (2)          ┃</v>
      </c>
      <c r="BR14" s="1270" t="str">
        <f>BH14</f>
        <v>Total 11'</v>
      </c>
      <c r="BS14" s="1267"/>
      <c r="BT14" s="268"/>
      <c r="BU14" s="268"/>
      <c r="BV14" s="268"/>
      <c r="BW14" s="1261">
        <f t="shared" ref="BW14:BW19" si="5">IF($AP$12=TRUE,AS14,0)</f>
        <v>0</v>
      </c>
      <c r="BX14" s="1262"/>
      <c r="BY14" s="1256">
        <f t="shared" ref="BY14:BY19" si="6">IF($AP$12=TRUE,AU14,0)</f>
        <v>0</v>
      </c>
      <c r="BZ14" s="1262"/>
      <c r="CA14" s="1256">
        <f t="shared" ref="CA14:CA19" si="7">IF($AP$12=TRUE,AW14,0)</f>
        <v>0</v>
      </c>
      <c r="CB14" s="1262"/>
      <c r="CC14" s="1265">
        <f>IF($AP$12=TRUE,AY14,0)</f>
        <v>0</v>
      </c>
      <c r="CD14" s="1232"/>
      <c r="CE14" s="1"/>
      <c r="CF14" s="1261" t="str" cm="1">
        <f t="array" ref="CF14">_xlfn.IFS($BW$12=$CF$12,BW14,$BW$26=$CF$12,BW28,$BW$40=$CF$12,BW42)</f>
        <v xml:space="preserve"> 11' (1)</v>
      </c>
      <c r="CG14" s="1237"/>
      <c r="CH14" s="1261" t="str" cm="1">
        <f t="array" ref="CH14">_xlfn.IFS($BW$12=$CF$12,BY14,$BW$26=$CF$12,BY28,$BW$40=$CF$12,BY42)</f>
        <v xml:space="preserve"> 11' (1)</v>
      </c>
      <c r="CI14" s="1237"/>
      <c r="CJ14" s="1261" t="str" cm="1">
        <f t="array" ref="CJ14">_xlfn.IFS($BW$12=$CF$12,CA14,$BW$26=$CF$12,CA28,$BW$40=$CF$12,CA42)</f>
        <v xml:space="preserve"> 11' (2)</v>
      </c>
      <c r="CK14" s="1237"/>
      <c r="CL14" s="1261" t="str" cm="1">
        <f t="array" ref="CL14">_xlfn.IFS($BW$12=$CF$12,CC14,$BW$26=$CF$12,CC28,$BW$40=$CF$12,CC42)</f>
        <v>Total 11'</v>
      </c>
      <c r="CM14" s="1237"/>
      <c r="CN14" s="268"/>
      <c r="CO14" s="734"/>
      <c r="CP14" s="737" t="str">
        <f t="shared" ref="CP14:CU19" si="8">IF($CR$6=$CR$4,CF28,CF42)</f>
        <v>               11</v>
      </c>
      <c r="CQ14" s="739" t="str">
        <f t="shared" si="8"/>
        <v>' (1)          ┃</v>
      </c>
      <c r="CR14" s="739" t="str">
        <f t="shared" si="8"/>
        <v>               11</v>
      </c>
      <c r="CS14" s="739" t="str">
        <f t="shared" si="8"/>
        <v>' (1)          ┃</v>
      </c>
      <c r="CT14" s="739" t="str">
        <f t="shared" si="8"/>
        <v>               11</v>
      </c>
      <c r="CU14" s="733" t="str">
        <f t="shared" si="8"/>
        <v>' (2)          ┃</v>
      </c>
      <c r="CV14" s="1270" t="str">
        <f>CL14</f>
        <v>Total 11'</v>
      </c>
      <c r="CW14" s="1267"/>
      <c r="CX14" s="268"/>
      <c r="CY14" s="1"/>
      <c r="DA14" s="689">
        <f t="shared" ref="DA14:DF19" si="9">IF(LEN(AS14)&gt;0,1,0)</f>
        <v>1</v>
      </c>
      <c r="DB14" s="689">
        <f t="shared" si="9"/>
        <v>1</v>
      </c>
      <c r="DC14" s="689">
        <f t="shared" si="9"/>
        <v>1</v>
      </c>
      <c r="DD14" s="689">
        <f t="shared" si="9"/>
        <v>1</v>
      </c>
      <c r="DE14" s="689">
        <f t="shared" si="9"/>
        <v>1</v>
      </c>
      <c r="DF14" s="689">
        <f t="shared" si="9"/>
        <v>1</v>
      </c>
      <c r="DG14" s="268"/>
      <c r="DI14" s="689">
        <f t="shared" ref="DI14:DN19" si="10">IF(AS14="","",--_xlfn.TEXTBEFORE(AS14,"'"))</f>
        <v>11</v>
      </c>
      <c r="DJ14" s="689">
        <f t="shared" si="10"/>
        <v>11</v>
      </c>
      <c r="DK14" s="689">
        <f t="shared" si="10"/>
        <v>11</v>
      </c>
      <c r="DL14" s="689">
        <f t="shared" si="10"/>
        <v>11</v>
      </c>
      <c r="DM14" s="689">
        <f t="shared" si="10"/>
        <v>11</v>
      </c>
      <c r="DN14" s="263">
        <f t="shared" si="10"/>
        <v>11</v>
      </c>
      <c r="DO14" s="268"/>
      <c r="DP14" s="268"/>
      <c r="DQ14" s="689">
        <f t="shared" ref="DQ14:DV19" si="11">IF(DI14=$GS$15,DI14,"")</f>
        <v>11</v>
      </c>
      <c r="DR14" s="689">
        <f t="shared" si="11"/>
        <v>11</v>
      </c>
      <c r="DS14" s="689">
        <f t="shared" si="11"/>
        <v>11</v>
      </c>
      <c r="DT14" s="689">
        <f t="shared" si="11"/>
        <v>11</v>
      </c>
      <c r="DU14" s="689">
        <f t="shared" si="11"/>
        <v>11</v>
      </c>
      <c r="DV14" s="263">
        <f t="shared" si="11"/>
        <v>11</v>
      </c>
      <c r="DW14" s="268"/>
      <c r="DX14" s="268"/>
      <c r="DY14" s="689" t="str">
        <f t="shared" ref="DY14:ED19" si="12">IF(DQ14=$GS$15,"",IF(DI14="","",IF(DI14=$GS$15,$AH$15-DI14,$AH$15-$AD$15)))</f>
        <v/>
      </c>
      <c r="DZ14" s="689" t="str">
        <f t="shared" si="12"/>
        <v/>
      </c>
      <c r="EA14" s="689" t="str">
        <f t="shared" si="12"/>
        <v/>
      </c>
      <c r="EB14" s="689" t="str">
        <f t="shared" si="12"/>
        <v/>
      </c>
      <c r="EC14" s="689" t="str">
        <f t="shared" si="12"/>
        <v/>
      </c>
      <c r="ED14" s="263" t="str">
        <f t="shared" si="12"/>
        <v/>
      </c>
      <c r="EG14" s="506">
        <f t="shared" ref="EG14:EL19" si="13">IF(DI14="","",$F$15-DI14)</f>
        <v>9</v>
      </c>
      <c r="EH14" s="506">
        <f t="shared" si="13"/>
        <v>9</v>
      </c>
      <c r="EI14" s="506">
        <f t="shared" si="13"/>
        <v>9</v>
      </c>
      <c r="EJ14" s="506">
        <f t="shared" si="13"/>
        <v>9</v>
      </c>
      <c r="EK14" s="506">
        <f t="shared" si="13"/>
        <v>9</v>
      </c>
      <c r="EL14" s="524">
        <f t="shared" si="13"/>
        <v>9</v>
      </c>
      <c r="EO14" s="724">
        <f>COUNT(DQ14:DV19)</f>
        <v>6</v>
      </c>
      <c r="ER14" s="725">
        <f>IF(EZ17=0,GL14+GO14,0)</f>
        <v>0</v>
      </c>
      <c r="ET14" s="725">
        <f>EO14+ER14</f>
        <v>6</v>
      </c>
      <c r="EX14" s="718">
        <f>MAX(DY14:ED19)</f>
        <v>0</v>
      </c>
      <c r="EY14" s="320"/>
      <c r="EZ14" s="320"/>
      <c r="FA14" s="320"/>
      <c r="FB14" s="718">
        <f>IF(IFERROR(ROUNDDOWN($F$15/EX14,0),0)&lt;=FU14,IFERROR(ROUNDDOWN($F$15/EX14,0),0),FU14)</f>
        <v>0</v>
      </c>
      <c r="FC14" s="320"/>
      <c r="FD14" s="718">
        <f>FB14*EX14</f>
        <v>0</v>
      </c>
      <c r="FE14" s="320"/>
      <c r="FF14" s="718">
        <f>IF($F$15-FD14=$F$15,0,$F$15-FD14)</f>
        <v>0</v>
      </c>
      <c r="FG14" s="320"/>
      <c r="FH14" s="718">
        <f>IFERROR(ROUNDDOWN(FK14/FD14,0),0)</f>
        <v>0</v>
      </c>
      <c r="FJ14" s="268"/>
      <c r="FK14" s="632">
        <f>SUM(DY14:ED19)</f>
        <v>0</v>
      </c>
      <c r="FM14" s="718">
        <f>IF($F$15-(FK14-FD14)=$F$15,0,$F$15-(FK14-FD14))</f>
        <v>0</v>
      </c>
      <c r="FN14" s="320"/>
      <c r="FO14" s="718">
        <f>IF(FM14=0,0,1)</f>
        <v>0</v>
      </c>
      <c r="FQ14" s="632">
        <f>IFERROR(IF(FF14=0,0,ROUNDUP(FK14/$F$15,0)),0)</f>
        <v>0</v>
      </c>
      <c r="FS14" s="718">
        <f>FQ14*$F$15</f>
        <v>0</v>
      </c>
      <c r="FU14" s="632">
        <f>COUNT(DY14:ED19)</f>
        <v>0</v>
      </c>
      <c r="FY14" s="720">
        <f>GC14+GF14</f>
        <v>0</v>
      </c>
      <c r="GA14" s="718">
        <f>(GC14*GD14)+(GF14*GG14)</f>
        <v>0</v>
      </c>
      <c r="GC14" s="687">
        <f>FH14</f>
        <v>0</v>
      </c>
      <c r="GD14" s="719">
        <f>FF14</f>
        <v>0</v>
      </c>
      <c r="GE14" s="1" t="s">
        <v>441</v>
      </c>
      <c r="GF14" s="687">
        <f>FO14</f>
        <v>0</v>
      </c>
      <c r="GG14" s="719">
        <f>FM14</f>
        <v>0</v>
      </c>
      <c r="GH14" s="1"/>
      <c r="GI14" s="1"/>
      <c r="GJ14" s="718">
        <f>IF($EZ$17=0,GA14,GA17)</f>
        <v>2</v>
      </c>
      <c r="GL14" s="718">
        <f>IF($EZ$17=0,GC14,GC17)</f>
        <v>2</v>
      </c>
      <c r="GM14" s="718">
        <f>IF($EZ$17=0,GD14,GD17)</f>
        <v>9</v>
      </c>
      <c r="GN14" s="1" t="s">
        <v>441</v>
      </c>
      <c r="GO14" s="718">
        <f>IF($EZ$17=0,GF14,GF17)</f>
        <v>1</v>
      </c>
      <c r="GP14" s="718">
        <f>IF($EZ$17=0,GG14,GG17)</f>
        <v>-16</v>
      </c>
      <c r="GQ14" s="1"/>
      <c r="GS14" s="374"/>
      <c r="GY14" s="1271" t="str">
        <f>"Total " &amp; GJ14&amp; "'"</f>
        <v>Total 2'</v>
      </c>
      <c r="GZ14" s="1272"/>
      <c r="HA14" s="12"/>
      <c r="HB14" s="1"/>
      <c r="HC14" s="1"/>
      <c r="HD14" s="528" t="str">
        <f>BL14</f>
        <v>               11</v>
      </c>
      <c r="HE14" s="210" t="str">
        <f>BM14</f>
        <v>' (1)          ┃</v>
      </c>
      <c r="HF14" s="210" t="str">
        <f t="shared" ref="HF14:HK19" si="14">BN14</f>
        <v>               11</v>
      </c>
      <c r="HG14" s="210" t="str">
        <f t="shared" si="14"/>
        <v>' (1)          ┃</v>
      </c>
      <c r="HH14" s="210" t="str">
        <f t="shared" si="14"/>
        <v>               11</v>
      </c>
      <c r="HI14" s="211" t="str">
        <f t="shared" si="14"/>
        <v>' (2)          ┃</v>
      </c>
      <c r="HJ14" s="1270" t="str">
        <f>BR14</f>
        <v>Total 11'</v>
      </c>
      <c r="HK14" s="1267"/>
      <c r="HL14" s="1"/>
      <c r="HN14" s="528" t="str">
        <f t="shared" si="2"/>
        <v>               11</v>
      </c>
      <c r="HO14" s="210" t="str">
        <f t="shared" si="2"/>
        <v>' (1)          ┃</v>
      </c>
      <c r="HP14" s="210" t="str">
        <f t="shared" si="2"/>
        <v>               11</v>
      </c>
      <c r="HQ14" s="210" t="str">
        <f t="shared" si="2"/>
        <v>' (1)          ┃</v>
      </c>
      <c r="HR14" s="210" t="str">
        <f t="shared" si="2"/>
        <v>               11</v>
      </c>
      <c r="HS14" s="211" t="str">
        <f t="shared" si="2"/>
        <v>' (2)          ┃</v>
      </c>
      <c r="HT14" s="1230" t="str">
        <f t="shared" si="2"/>
        <v>Total 11'</v>
      </c>
      <c r="HU14" s="1232"/>
      <c r="HW14" s="47"/>
      <c r="HX14" s="532"/>
      <c r="HY14" s="439" t="s">
        <v>243</v>
      </c>
      <c r="HZ14" s="438">
        <f>IF(HK$19=$F$15,HK$18,0)</f>
        <v>0</v>
      </c>
      <c r="IC14" s="439" t="s">
        <v>243</v>
      </c>
      <c r="ID14" s="438">
        <f>IF(HU$19=$F$15,HU$18,0)</f>
        <v>0</v>
      </c>
      <c r="IG14" s="47"/>
    </row>
    <row r="15" spans="3:241" ht="15.75">
      <c r="C15" s="1273" t="s">
        <v>275</v>
      </c>
      <c r="D15" s="595" t="str">
        <f>TEXT(6.2,"0.00")</f>
        <v>6.20</v>
      </c>
      <c r="E15" s="712">
        <f>Materials!E1</f>
        <v>6</v>
      </c>
      <c r="F15" s="712">
        <f>Materials!F1</f>
        <v>20</v>
      </c>
      <c r="H15" s="465">
        <f>ROUNDDOWN((F15/D7),0)/(D4/E15)</f>
        <v>0.5</v>
      </c>
      <c r="I15" s="483" t="str">
        <f>"which is (" &amp; (H15) &amp; ") pieces of (" &amp; (D7) &amp; ") ft equal length from 12 inch roll"</f>
        <v>which is (0.5) pieces of (11) ft equal length from 12 inch roll</v>
      </c>
      <c r="K15" s="484" t="str">
        <f>"which is (" &amp; (H15) &amp; ") Linear foot total"</f>
        <v>which is (0.5) Linear foot total</v>
      </c>
      <c r="M15" s="486">
        <f>IF(((D5)-(H15))&lt;=0,0,((D5)-(H15)))</f>
        <v>5.5</v>
      </c>
      <c r="N15" t="str">
        <f>"which are (" &amp; (D7) &amp; ") ft in length"</f>
        <v>which are (11) ft in length</v>
      </c>
      <c r="P15" s="484">
        <f>IFERROR(ROUNDUP(M15/H15,0),M15)</f>
        <v>11</v>
      </c>
      <c r="R15" s="491">
        <f>((P15)+(H15))</f>
        <v>11.5</v>
      </c>
      <c r="T15" s="325">
        <f>IFERROR(R15/H15,R15)*2</f>
        <v>46</v>
      </c>
      <c r="V15" s="325">
        <f>ROUNDUP(T15,0)</f>
        <v>46</v>
      </c>
      <c r="W15" s="711">
        <f>ROUNDUP(D7/F15,0)</f>
        <v>1</v>
      </c>
      <c r="X15" s="776">
        <v>12.15</v>
      </c>
      <c r="Y15" s="765">
        <f>V15</f>
        <v>46</v>
      </c>
      <c r="Z15" s="765">
        <f>IF((H15)=0,IFERROR(ROUNDUP(IF(((D5)-(H15))&lt;=0,0,((D5)-(H15)))/(H15),0),IF(((D5)-(H15))&lt;=0,0,((D5)-(H15))))+(H15),(H15))</f>
        <v>0.5</v>
      </c>
      <c r="AA15" s="765">
        <f>(Y15*Z15)</f>
        <v>23</v>
      </c>
      <c r="AB15" s="594">
        <f>(AA15/D9)</f>
        <v>23</v>
      </c>
      <c r="AC15" s="491" t="str">
        <f>" " &amp; D7 &amp; "'"</f>
        <v xml:space="preserve"> 11'</v>
      </c>
      <c r="AD15" s="711">
        <f>(W15*AH15)-D7</f>
        <v>9</v>
      </c>
      <c r="AE15" s="263">
        <f>D7-(ROUNDDOWN(D7/F15,0)*F15)</f>
        <v>11</v>
      </c>
      <c r="AF15" s="686">
        <f>D5</f>
        <v>6</v>
      </c>
      <c r="AG15" s="685">
        <f>IFERROR(ROUNDUP(AF15/AB15,0),0)</f>
        <v>1</v>
      </c>
      <c r="AH15" s="524">
        <f>F15</f>
        <v>20</v>
      </c>
      <c r="AK15" s="685">
        <f>AG15*AA15</f>
        <v>23</v>
      </c>
      <c r="AL15" s="263">
        <f>AF15*AK15</f>
        <v>138</v>
      </c>
      <c r="AS15" s="691" t="str">
        <f t="shared" si="3"/>
        <v/>
      </c>
      <c r="AT15" s="714" t="str">
        <f t="shared" si="3"/>
        <v/>
      </c>
      <c r="AU15" s="691" t="str">
        <f t="shared" si="3"/>
        <v/>
      </c>
      <c r="AV15" s="714" t="str">
        <f t="shared" si="3"/>
        <v/>
      </c>
      <c r="AW15" s="691" t="str">
        <f t="shared" si="3"/>
        <v/>
      </c>
      <c r="AX15" s="714" t="str">
        <f t="shared" si="3"/>
        <v/>
      </c>
      <c r="AY15" s="455">
        <f>GY15</f>
        <v>2</v>
      </c>
      <c r="AZ15" s="455" t="str">
        <f>GZ15</f>
        <v>9' rolls</v>
      </c>
      <c r="BA15" s="1"/>
      <c r="BB15" s="1260" t="str" cm="1">
        <f t="array" ref="BB15">_xlfn.IFS($AS$12=$BB$12,AS15,$AS$26=$BB$12,AS29,$AS$40=$BB$12,AS43)</f>
        <v/>
      </c>
      <c r="BC15" s="1226"/>
      <c r="BD15" s="1260" t="str" cm="1">
        <f t="array" ref="BD15">_xlfn.IFS($AS$12=$BB$12,AU15,$AS$26=$BB$12,AU29,$AS$40=$BB$12,AU43)</f>
        <v/>
      </c>
      <c r="BE15" s="1226"/>
      <c r="BF15" s="1260" t="str" cm="1">
        <f t="array" ref="BF15">_xlfn.IFS($AS$12=$BB$12,AW15,$AS$26=$BB$12,AW29,$AS$40=$BB$12,AW43)</f>
        <v/>
      </c>
      <c r="BG15" s="1226"/>
      <c r="BH15" s="637" cm="1">
        <f t="array" ref="BH15">_xlfn.IFS($AS$12=$BB$12,AY15,$AS$26=$BB$12,AY29,$AS$40=$BB$12,AY43)</f>
        <v>1</v>
      </c>
      <c r="BI15" s="648" t="str" cm="1">
        <f t="array" ref="BI15">_xlfn.IFS($AS$12=$BB$12,AZ15,$AS$26=$BB$12,AZ29,$AS$40=$BB$12,AZ43)</f>
        <v>19' rolls</v>
      </c>
      <c r="BJ15" s="1"/>
      <c r="BK15" s="1"/>
      <c r="BL15" s="740" t="str">
        <f t="shared" si="4"/>
        <v/>
      </c>
      <c r="BM15" s="734" t="str">
        <f t="shared" si="4"/>
        <v>                  ┃          ┃</v>
      </c>
      <c r="BN15" s="734" t="str">
        <f t="shared" si="4"/>
        <v/>
      </c>
      <c r="BO15" s="734" t="str">
        <f t="shared" si="4"/>
        <v>                  ┃          ┃</v>
      </c>
      <c r="BP15" s="734" t="str">
        <f t="shared" si="4"/>
        <v/>
      </c>
      <c r="BQ15" s="735" t="str">
        <f t="shared" si="4"/>
        <v>                  ┃          ┃</v>
      </c>
      <c r="BR15" s="633">
        <f>BH15</f>
        <v>1</v>
      </c>
      <c r="BS15" s="633" t="str">
        <f>BI15</f>
        <v>19' rolls</v>
      </c>
      <c r="BT15" s="1"/>
      <c r="BU15" s="1"/>
      <c r="BV15" s="1"/>
      <c r="BW15" s="1260">
        <f t="shared" si="5"/>
        <v>0</v>
      </c>
      <c r="BX15" s="1239"/>
      <c r="BY15" s="1238">
        <f t="shared" si="6"/>
        <v>0</v>
      </c>
      <c r="BZ15" s="1239"/>
      <c r="CA15" s="1238">
        <f t="shared" si="7"/>
        <v>0</v>
      </c>
      <c r="CB15" s="1226"/>
      <c r="CC15" s="637">
        <f>IF($AP$12=TRUE,AY15,0)</f>
        <v>0</v>
      </c>
      <c r="CD15" s="44">
        <f>IF($AP$12=TRUE,AZ15,0)</f>
        <v>0</v>
      </c>
      <c r="CE15" s="1"/>
      <c r="CF15" s="1260" t="str" cm="1">
        <f t="array" ref="CF15">_xlfn.IFS($BW$12=$CF$12,BW15,$BW$26=$CF$12,BW29,$BW$40=$CF$12,BW43)</f>
        <v/>
      </c>
      <c r="CG15" s="1226"/>
      <c r="CH15" s="1260" t="str" cm="1">
        <f t="array" ref="CH15">_xlfn.IFS($BW$12=$CF$12,BY15,$BW$26=$CF$12,BY29,$BW$40=$CF$12,BY43)</f>
        <v/>
      </c>
      <c r="CI15" s="1226"/>
      <c r="CJ15" s="1260" t="str" cm="1">
        <f t="array" ref="CJ15">_xlfn.IFS($BW$12=$CF$12,CA15,$BW$26=$CF$12,CA29,$BW$40=$CF$12,CA43)</f>
        <v/>
      </c>
      <c r="CK15" s="1226"/>
      <c r="CL15" s="637" cm="1">
        <f t="array" ref="CL15">_xlfn.IFS($BW$12=$CF$12,CC15,$BW$26=$CF$12,CC29,$BW$40=$CF$12,CC43)</f>
        <v>1</v>
      </c>
      <c r="CM15" s="637" t="str" cm="1">
        <f t="array" ref="CM15">_xlfn.IFS($BW$12=$CF$12,CD15,$BW$26=$CF$12,CD29,$BW$40=$CF$12,CD43)</f>
        <v>19' rolls</v>
      </c>
      <c r="CN15" s="1"/>
      <c r="CO15" s="743"/>
      <c r="CP15" s="740" t="str">
        <f t="shared" si="8"/>
        <v/>
      </c>
      <c r="CQ15" s="734" t="str">
        <f t="shared" si="8"/>
        <v>                  ┃          ┃</v>
      </c>
      <c r="CR15" s="734" t="str">
        <f t="shared" si="8"/>
        <v/>
      </c>
      <c r="CS15" s="734" t="str">
        <f t="shared" si="8"/>
        <v>                  ┃          ┃</v>
      </c>
      <c r="CT15" s="734" t="str">
        <f t="shared" si="8"/>
        <v/>
      </c>
      <c r="CU15" s="735" t="str">
        <f t="shared" si="8"/>
        <v>                  ┃          ┃</v>
      </c>
      <c r="CV15" s="633">
        <f>CL15</f>
        <v>1</v>
      </c>
      <c r="CW15" s="633" t="str">
        <f>CM15</f>
        <v>19' rolls</v>
      </c>
      <c r="CX15" s="1"/>
      <c r="CY15" s="1"/>
      <c r="DA15" s="689">
        <f t="shared" si="9"/>
        <v>0</v>
      </c>
      <c r="DB15" s="689">
        <f t="shared" si="9"/>
        <v>0</v>
      </c>
      <c r="DC15" s="689">
        <f t="shared" si="9"/>
        <v>0</v>
      </c>
      <c r="DD15" s="689">
        <f t="shared" si="9"/>
        <v>0</v>
      </c>
      <c r="DE15" s="689">
        <f t="shared" si="9"/>
        <v>0</v>
      </c>
      <c r="DF15" s="689">
        <f t="shared" si="9"/>
        <v>0</v>
      </c>
      <c r="DG15" s="268"/>
      <c r="DI15" s="689" t="str">
        <f t="shared" si="10"/>
        <v/>
      </c>
      <c r="DJ15" s="689" t="str">
        <f t="shared" si="10"/>
        <v/>
      </c>
      <c r="DK15" s="689" t="str">
        <f t="shared" si="10"/>
        <v/>
      </c>
      <c r="DL15" s="689" t="str">
        <f t="shared" si="10"/>
        <v/>
      </c>
      <c r="DM15" s="689" t="str">
        <f t="shared" si="10"/>
        <v/>
      </c>
      <c r="DN15" s="263" t="str">
        <f t="shared" si="10"/>
        <v/>
      </c>
      <c r="DO15" s="268"/>
      <c r="DP15" s="268"/>
      <c r="DQ15" s="689" t="str">
        <f t="shared" si="11"/>
        <v/>
      </c>
      <c r="DR15" s="689" t="str">
        <f t="shared" si="11"/>
        <v/>
      </c>
      <c r="DS15" s="689" t="str">
        <f t="shared" si="11"/>
        <v/>
      </c>
      <c r="DT15" s="689" t="str">
        <f t="shared" si="11"/>
        <v/>
      </c>
      <c r="DU15" s="689" t="str">
        <f t="shared" si="11"/>
        <v/>
      </c>
      <c r="DV15" s="263" t="str">
        <f t="shared" si="11"/>
        <v/>
      </c>
      <c r="DW15" s="268"/>
      <c r="DX15" s="268"/>
      <c r="DY15" s="689" t="str">
        <f t="shared" si="12"/>
        <v/>
      </c>
      <c r="DZ15" s="689" t="str">
        <f t="shared" si="12"/>
        <v/>
      </c>
      <c r="EA15" s="689" t="str">
        <f t="shared" si="12"/>
        <v/>
      </c>
      <c r="EB15" s="689" t="str">
        <f t="shared" si="12"/>
        <v/>
      </c>
      <c r="EC15" s="689" t="str">
        <f t="shared" si="12"/>
        <v/>
      </c>
      <c r="ED15" s="263" t="str">
        <f t="shared" si="12"/>
        <v/>
      </c>
      <c r="EG15" s="506" t="str">
        <f t="shared" si="13"/>
        <v/>
      </c>
      <c r="EH15" s="506" t="str">
        <f t="shared" si="13"/>
        <v/>
      </c>
      <c r="EI15" s="506" t="str">
        <f t="shared" si="13"/>
        <v/>
      </c>
      <c r="EJ15" s="506" t="str">
        <f t="shared" si="13"/>
        <v/>
      </c>
      <c r="EK15" s="506" t="str">
        <f t="shared" si="13"/>
        <v/>
      </c>
      <c r="EL15" s="524" t="str">
        <f t="shared" si="13"/>
        <v/>
      </c>
      <c r="FY15" s="268"/>
      <c r="GC15" s="268"/>
      <c r="GD15" s="268"/>
      <c r="GE15" s="268"/>
      <c r="GF15" s="268"/>
      <c r="GG15" s="268"/>
      <c r="GH15" s="1"/>
      <c r="GI15" s="1"/>
      <c r="GL15" s="268"/>
      <c r="GM15" s="268"/>
      <c r="GN15" s="268"/>
      <c r="GO15" s="268"/>
      <c r="GP15" s="268"/>
      <c r="GQ15" s="1"/>
      <c r="GS15" s="724">
        <f>MAX(DI14:DJ19)</f>
        <v>11</v>
      </c>
      <c r="GY15" s="723">
        <f>GL14</f>
        <v>2</v>
      </c>
      <c r="GZ15" s="649" t="str">
        <f>""&amp;GM14&amp;"' rolls"</f>
        <v>9' rolls</v>
      </c>
      <c r="HA15" s="12"/>
      <c r="HB15" s="1"/>
      <c r="HC15" s="1"/>
      <c r="HD15" s="532" t="str">
        <f t="shared" ref="HD15:HE19" si="15">BL15</f>
        <v/>
      </c>
      <c r="HE15" t="str">
        <f t="shared" si="15"/>
        <v>                  ┃          ┃</v>
      </c>
      <c r="HF15" t="str">
        <f t="shared" si="14"/>
        <v/>
      </c>
      <c r="HG15" t="str">
        <f t="shared" si="14"/>
        <v>                  ┃          ┃</v>
      </c>
      <c r="HH15" t="str">
        <f t="shared" si="14"/>
        <v/>
      </c>
      <c r="HI15" s="47" t="str">
        <f t="shared" si="14"/>
        <v>                  ┃          ┃</v>
      </c>
      <c r="HJ15" s="738">
        <f>BR15</f>
        <v>1</v>
      </c>
      <c r="HK15" s="738" t="str">
        <f>BS15</f>
        <v>19' rolls</v>
      </c>
      <c r="HL15" s="1"/>
      <c r="HN15" s="532" t="str">
        <f t="shared" si="2"/>
        <v/>
      </c>
      <c r="HO15" t="str">
        <f t="shared" si="2"/>
        <v>                  ┃          ┃</v>
      </c>
      <c r="HP15" t="str">
        <f t="shared" si="2"/>
        <v/>
      </c>
      <c r="HQ15" t="str">
        <f t="shared" si="2"/>
        <v>                  ┃          ┃</v>
      </c>
      <c r="HR15" t="str">
        <f t="shared" si="2"/>
        <v/>
      </c>
      <c r="HS15" s="47" t="str">
        <f t="shared" si="2"/>
        <v>                  ┃          ┃</v>
      </c>
      <c r="HT15" s="738">
        <f>CV15</f>
        <v>1</v>
      </c>
      <c r="HU15" s="738" t="str">
        <f>CW15</f>
        <v>19' rolls</v>
      </c>
      <c r="HW15" s="47"/>
      <c r="HX15" s="532"/>
      <c r="HY15" s="439" t="s">
        <v>252</v>
      </c>
      <c r="HZ15" s="438">
        <f>IF(HK$19=$F$17,HK$18,0)</f>
        <v>0</v>
      </c>
      <c r="IC15" s="439" t="s">
        <v>252</v>
      </c>
      <c r="ID15" s="438">
        <f>IF(HU$19=$F$17,HU$18,0)</f>
        <v>0</v>
      </c>
      <c r="IG15" s="47"/>
    </row>
    <row r="16" spans="3:241" ht="15.75">
      <c r="C16" s="1274"/>
      <c r="D16" s="479"/>
      <c r="E16" s="268"/>
      <c r="F16" s="268"/>
      <c r="H16" s="477"/>
      <c r="I16" s="477"/>
      <c r="K16" s="485"/>
      <c r="M16" s="487"/>
      <c r="P16" s="485"/>
      <c r="X16" s="660"/>
      <c r="Y16" s="629"/>
      <c r="Z16" s="629"/>
      <c r="AA16" s="629"/>
      <c r="AB16" s="268"/>
      <c r="AF16" s="451"/>
      <c r="AG16" s="451"/>
      <c r="AK16" s="451"/>
      <c r="AS16" s="691" t="str">
        <f t="shared" si="3"/>
        <v/>
      </c>
      <c r="AT16" s="714" t="str">
        <f t="shared" si="3"/>
        <v/>
      </c>
      <c r="AU16" s="691" t="str">
        <f t="shared" si="3"/>
        <v/>
      </c>
      <c r="AV16" s="714" t="str">
        <f t="shared" si="3"/>
        <v/>
      </c>
      <c r="AW16" s="691" t="str">
        <f t="shared" si="3"/>
        <v/>
      </c>
      <c r="AX16" s="714" t="str">
        <f t="shared" si="3"/>
        <v/>
      </c>
      <c r="AY16" s="642">
        <f>GY16</f>
        <v>1</v>
      </c>
      <c r="AZ16" s="633" t="str">
        <f>GZ16</f>
        <v>-16' rolls</v>
      </c>
      <c r="BB16" s="1260" t="str" cm="1">
        <f t="array" ref="BB16">_xlfn.IFS($AS$12=$BB$12,AS16,$AS$26=$BB$12,AS30,$AS$40=$BB$12,AS44)</f>
        <v/>
      </c>
      <c r="BC16" s="1226"/>
      <c r="BD16" s="1260" t="str" cm="1">
        <f t="array" ref="BD16">_xlfn.IFS($AS$12=$BB$12,AU16,$AS$26=$BB$12,AU30,$AS$40=$BB$12,AU44)</f>
        <v/>
      </c>
      <c r="BE16" s="1226"/>
      <c r="BF16" s="1260" t="str" cm="1">
        <f t="array" ref="BF16">_xlfn.IFS($AS$12=$BB$12,AW16,$AS$26=$BB$12,AW30,$AS$40=$BB$12,AW44)</f>
        <v/>
      </c>
      <c r="BG16" s="1226"/>
      <c r="BH16" s="642" cm="1">
        <f t="array" ref="BH16">_xlfn.IFS($AS$12=$BB$12,AY16,$AS$26=$BB$12,AY30,$AS$40=$BB$12,AY44)</f>
        <v>1</v>
      </c>
      <c r="BI16" s="649" t="str" cm="1">
        <f t="array" ref="BI16">_xlfn.IFS($AS$12=$BB$12,AZ16,$AS$26=$BB$12,AZ30,$AS$40=$BB$12,AZ44)</f>
        <v>-8' rolls</v>
      </c>
      <c r="BL16" s="740" t="str">
        <f t="shared" si="4"/>
        <v/>
      </c>
      <c r="BM16" s="734" t="str">
        <f t="shared" si="4"/>
        <v>                  ┃          ┃</v>
      </c>
      <c r="BN16" s="734" t="str">
        <f t="shared" si="4"/>
        <v/>
      </c>
      <c r="BO16" s="734" t="str">
        <f t="shared" si="4"/>
        <v>                  ┃          ┃</v>
      </c>
      <c r="BP16" s="734" t="str">
        <f t="shared" si="4"/>
        <v/>
      </c>
      <c r="BQ16" s="735" t="str">
        <f t="shared" si="4"/>
        <v>                  ┃          ┃</v>
      </c>
      <c r="BR16" s="13">
        <f>BH16</f>
        <v>1</v>
      </c>
      <c r="BS16" s="13" t="str">
        <f>BI16</f>
        <v>-8' rolls</v>
      </c>
      <c r="BV16" s="1"/>
      <c r="BW16" s="1260">
        <f t="shared" si="5"/>
        <v>0</v>
      </c>
      <c r="BX16" s="1239"/>
      <c r="BY16" s="1238">
        <f t="shared" si="6"/>
        <v>0</v>
      </c>
      <c r="BZ16" s="1239"/>
      <c r="CA16" s="1238">
        <f t="shared" si="7"/>
        <v>0</v>
      </c>
      <c r="CB16" s="1226"/>
      <c r="CC16" s="642">
        <f>IF($AP$12=TRUE,AY16,0)</f>
        <v>0</v>
      </c>
      <c r="CD16" s="633">
        <f>IF($AP$12=TRUE,AZ16,0)</f>
        <v>0</v>
      </c>
      <c r="CE16" s="1"/>
      <c r="CF16" s="1260" t="str" cm="1">
        <f t="array" ref="CF16">_xlfn.IFS($BW$12=$CF$12,BW16,$BW$26=$CF$12,BW30,$BW$40=$CF$12,BW44)</f>
        <v/>
      </c>
      <c r="CG16" s="1226"/>
      <c r="CH16" s="1260" t="str" cm="1">
        <f t="array" ref="CH16">_xlfn.IFS($BW$12=$CF$12,BY16,$BW$26=$CF$12,BY30,$BW$40=$CF$12,BY44)</f>
        <v/>
      </c>
      <c r="CI16" s="1226"/>
      <c r="CJ16" s="1260" t="str" cm="1">
        <f t="array" ref="CJ16">_xlfn.IFS($BW$12=$CF$12,CA16,$BW$26=$CF$12,CA30,$BW$40=$CF$12,CA44)</f>
        <v/>
      </c>
      <c r="CK16" s="1226"/>
      <c r="CL16" s="642" cm="1">
        <f t="array" ref="CL16">_xlfn.IFS($BW$12=$CF$12,CC16,$BW$26=$CF$12,CC30,$BW$40=$CF$12,CC44)</f>
        <v>1</v>
      </c>
      <c r="CM16" s="649" t="str" cm="1">
        <f t="array" ref="CM16">_xlfn.IFS($BW$12=$CF$12,CD16,$BW$26=$CF$12,CD30,$BW$40=$CF$12,CD44)</f>
        <v>-8' rolls</v>
      </c>
      <c r="CO16" s="734"/>
      <c r="CP16" s="740" t="str">
        <f t="shared" si="8"/>
        <v/>
      </c>
      <c r="CQ16" s="734" t="str">
        <f t="shared" si="8"/>
        <v>                  ┃          ┃</v>
      </c>
      <c r="CR16" s="734" t="str">
        <f t="shared" si="8"/>
        <v/>
      </c>
      <c r="CS16" s="734" t="str">
        <f t="shared" si="8"/>
        <v>                  ┃          ┃</v>
      </c>
      <c r="CT16" s="734" t="str">
        <f t="shared" si="8"/>
        <v/>
      </c>
      <c r="CU16" s="735" t="str">
        <f t="shared" si="8"/>
        <v>                  ┃          ┃</v>
      </c>
      <c r="CV16" s="13">
        <f>CL16</f>
        <v>1</v>
      </c>
      <c r="CW16" s="13" t="str">
        <f>CM16</f>
        <v>-8' rolls</v>
      </c>
      <c r="CY16" s="1"/>
      <c r="DA16" s="689">
        <f t="shared" si="9"/>
        <v>0</v>
      </c>
      <c r="DB16" s="689">
        <f t="shared" si="9"/>
        <v>0</v>
      </c>
      <c r="DC16" s="689">
        <f t="shared" si="9"/>
        <v>0</v>
      </c>
      <c r="DD16" s="689">
        <f t="shared" si="9"/>
        <v>0</v>
      </c>
      <c r="DE16" s="689">
        <f t="shared" si="9"/>
        <v>0</v>
      </c>
      <c r="DF16" s="689">
        <f t="shared" si="9"/>
        <v>0</v>
      </c>
      <c r="DG16" s="268"/>
      <c r="DI16" s="689" t="str">
        <f t="shared" si="10"/>
        <v/>
      </c>
      <c r="DJ16" s="689" t="str">
        <f t="shared" si="10"/>
        <v/>
      </c>
      <c r="DK16" s="689" t="str">
        <f t="shared" si="10"/>
        <v/>
      </c>
      <c r="DL16" s="689" t="str">
        <f t="shared" si="10"/>
        <v/>
      </c>
      <c r="DM16" s="689" t="str">
        <f t="shared" si="10"/>
        <v/>
      </c>
      <c r="DN16" s="263" t="str">
        <f t="shared" si="10"/>
        <v/>
      </c>
      <c r="DO16" s="268"/>
      <c r="DP16" s="268"/>
      <c r="DQ16" s="689" t="str">
        <f t="shared" si="11"/>
        <v/>
      </c>
      <c r="DR16" s="689" t="str">
        <f t="shared" si="11"/>
        <v/>
      </c>
      <c r="DS16" s="689" t="str">
        <f t="shared" si="11"/>
        <v/>
      </c>
      <c r="DT16" s="689" t="str">
        <f t="shared" si="11"/>
        <v/>
      </c>
      <c r="DU16" s="689" t="str">
        <f t="shared" si="11"/>
        <v/>
      </c>
      <c r="DV16" s="263" t="str">
        <f t="shared" si="11"/>
        <v/>
      </c>
      <c r="DW16" s="268"/>
      <c r="DX16" s="268"/>
      <c r="DY16" s="689" t="str">
        <f t="shared" si="12"/>
        <v/>
      </c>
      <c r="DZ16" s="689" t="str">
        <f t="shared" si="12"/>
        <v/>
      </c>
      <c r="EA16" s="689" t="str">
        <f t="shared" si="12"/>
        <v/>
      </c>
      <c r="EB16" s="689" t="str">
        <f t="shared" si="12"/>
        <v/>
      </c>
      <c r="EC16" s="689" t="str">
        <f t="shared" si="12"/>
        <v/>
      </c>
      <c r="ED16" s="263" t="str">
        <f t="shared" si="12"/>
        <v/>
      </c>
      <c r="EG16" s="506" t="str">
        <f t="shared" si="13"/>
        <v/>
      </c>
      <c r="EH16" s="506" t="str">
        <f t="shared" si="13"/>
        <v/>
      </c>
      <c r="EI16" s="506" t="str">
        <f t="shared" si="13"/>
        <v/>
      </c>
      <c r="EJ16" s="506" t="str">
        <f t="shared" si="13"/>
        <v/>
      </c>
      <c r="EK16" s="506" t="str">
        <f t="shared" si="13"/>
        <v/>
      </c>
      <c r="EL16" s="524" t="str">
        <f t="shared" si="13"/>
        <v/>
      </c>
      <c r="GS16" s="374"/>
      <c r="GY16" s="722">
        <f>GO14</f>
        <v>1</v>
      </c>
      <c r="GZ16" s="13" t="str">
        <f>""&amp;GP14&amp;"' rolls"</f>
        <v>-16' rolls</v>
      </c>
      <c r="HA16" s="12"/>
      <c r="HB16" s="1"/>
      <c r="HC16" s="1"/>
      <c r="HD16" s="532" t="str">
        <f t="shared" si="15"/>
        <v/>
      </c>
      <c r="HE16" t="str">
        <f t="shared" si="15"/>
        <v>                  ┃          ┃</v>
      </c>
      <c r="HF16" t="str">
        <f t="shared" si="14"/>
        <v/>
      </c>
      <c r="HG16" t="str">
        <f t="shared" si="14"/>
        <v>                  ┃          ┃</v>
      </c>
      <c r="HH16" t="str">
        <f t="shared" si="14"/>
        <v/>
      </c>
      <c r="HI16" s="47" t="str">
        <f t="shared" si="14"/>
        <v>                  ┃          ┃</v>
      </c>
      <c r="HJ16" s="738">
        <f t="shared" si="14"/>
        <v>1</v>
      </c>
      <c r="HK16" s="738" t="str">
        <f t="shared" si="14"/>
        <v>-8' rolls</v>
      </c>
      <c r="HL16" s="1"/>
      <c r="HN16" s="532" t="str">
        <f t="shared" si="2"/>
        <v/>
      </c>
      <c r="HO16" t="str">
        <f t="shared" si="2"/>
        <v>                  ┃          ┃</v>
      </c>
      <c r="HP16" t="str">
        <f t="shared" si="2"/>
        <v/>
      </c>
      <c r="HQ16" t="str">
        <f t="shared" si="2"/>
        <v>                  ┃          ┃</v>
      </c>
      <c r="HR16" t="str">
        <f t="shared" si="2"/>
        <v/>
      </c>
      <c r="HS16" s="47" t="str">
        <f t="shared" si="2"/>
        <v>                  ┃          ┃</v>
      </c>
      <c r="HT16" s="738">
        <f t="shared" si="2"/>
        <v>1</v>
      </c>
      <c r="HU16" s="738" t="str">
        <f>CW16</f>
        <v>-8' rolls</v>
      </c>
      <c r="HW16" s="47"/>
      <c r="HX16" s="532"/>
      <c r="HY16" s="439" t="s">
        <v>256</v>
      </c>
      <c r="HZ16" s="438">
        <f>IF(HK$19=$F$19,HK$18,0)</f>
        <v>3</v>
      </c>
      <c r="IC16" s="439" t="s">
        <v>256</v>
      </c>
      <c r="ID16" s="438">
        <f>IF(HU$19=$F$19,HU$18,0)</f>
        <v>3</v>
      </c>
      <c r="IG16" s="47"/>
    </row>
    <row r="17" spans="3:241" ht="16.5" customHeight="1">
      <c r="C17" s="1274"/>
      <c r="D17" s="595" t="str">
        <f>TEXT(12.15,"0.00")</f>
        <v>12.15</v>
      </c>
      <c r="E17" s="712">
        <f>Materials!E2</f>
        <v>12</v>
      </c>
      <c r="F17" s="712">
        <f>Materials!F2</f>
        <v>15</v>
      </c>
      <c r="H17" s="465">
        <f>ROUNDDOWN((F17/D7),0)/(D4/E17)</f>
        <v>1</v>
      </c>
      <c r="I17" s="483" t="str">
        <f>"which is (" &amp; (H17) &amp; ") pieces of (" &amp; (D7) &amp; ") ft equal length from 12 inch roll"</f>
        <v>which is (1) pieces of (11) ft equal length from 12 inch roll</v>
      </c>
      <c r="K17" s="484" t="str">
        <f>"which is (" &amp; (H17) &amp; ") Linear foot total"</f>
        <v>which is (1) Linear foot total</v>
      </c>
      <c r="M17" s="486">
        <f>IF(((D5)-(H17))&lt;=0,0,((D5)-(H17)))</f>
        <v>5</v>
      </c>
      <c r="N17" t="str">
        <f>"which are (" &amp; (D7) &amp; ") ft in length"</f>
        <v>which are (11) ft in length</v>
      </c>
      <c r="P17" s="484">
        <f>IFERROR(ROUNDUP(M17/H17,0),M17)</f>
        <v>5</v>
      </c>
      <c r="R17" s="491">
        <f>((P17)+(H17))</f>
        <v>6</v>
      </c>
      <c r="T17" s="325">
        <f>IFERROR(R17/H17,R17)</f>
        <v>6</v>
      </c>
      <c r="V17" s="325">
        <f>ROUNDUP(T17,0)</f>
        <v>6</v>
      </c>
      <c r="W17" s="711">
        <f>ROUNDUP(D7/F17,0)</f>
        <v>1</v>
      </c>
      <c r="X17" s="776">
        <v>12.15</v>
      </c>
      <c r="Y17" s="765">
        <f>V17</f>
        <v>6</v>
      </c>
      <c r="Z17" s="765">
        <f>IF((H17)=0,IFERROR(ROUNDUP(IF(((D5)-(H17))&lt;=0,0,((D5)-(H17)))/(H17),0),IF(((D5)-(H17))&lt;=0,0,((D5)-(H17))))+(H17),(H17))</f>
        <v>1</v>
      </c>
      <c r="AA17" s="765">
        <f>(Y17*Z17)</f>
        <v>6</v>
      </c>
      <c r="AB17" s="594">
        <f>(AA17/D9)</f>
        <v>6</v>
      </c>
      <c r="AC17" s="491" t="str">
        <f>" " &amp; D7 &amp; "'"</f>
        <v xml:space="preserve"> 11'</v>
      </c>
      <c r="AD17" s="711">
        <f>(W17*AH17)-D7</f>
        <v>4</v>
      </c>
      <c r="AE17" s="263">
        <f>D7-(ROUNDDOWN(D7/F17,0)*F17)</f>
        <v>11</v>
      </c>
      <c r="AF17" s="686">
        <f>D5</f>
        <v>6</v>
      </c>
      <c r="AG17" s="685">
        <f>IFERROR(ROUNDUP(AF17/AB17,0),0)</f>
        <v>1</v>
      </c>
      <c r="AH17" s="524">
        <f>F17</f>
        <v>15</v>
      </c>
      <c r="AK17" s="685">
        <f>AG17*AA17</f>
        <v>6</v>
      </c>
      <c r="AL17" s="263">
        <f>AF17*AK17</f>
        <v>36</v>
      </c>
      <c r="AS17" s="691" t="str">
        <f t="shared" si="3"/>
        <v/>
      </c>
      <c r="AT17" s="714" t="str">
        <f t="shared" si="3"/>
        <v/>
      </c>
      <c r="AU17" s="691" t="str">
        <f t="shared" si="3"/>
        <v/>
      </c>
      <c r="AV17" s="714" t="str">
        <f t="shared" si="3"/>
        <v/>
      </c>
      <c r="AW17" s="691" t="str">
        <f t="shared" si="3"/>
        <v/>
      </c>
      <c r="AX17" s="714" t="str">
        <f t="shared" si="3"/>
        <v/>
      </c>
      <c r="BA17" s="1"/>
      <c r="BB17" s="1260" t="str" cm="1">
        <f t="array" ref="BB17">_xlfn.IFS($AS$12=$BB$12,AS17,$AS$26=$BB$12,AS31,$AS$40=$BB$12,AS45)</f>
        <v/>
      </c>
      <c r="BC17" s="1226"/>
      <c r="BD17" s="1260" t="str" cm="1">
        <f t="array" ref="BD17">_xlfn.IFS($AS$12=$BB$12,AU17,$AS$26=$BB$12,AU31,$AS$40=$BB$12,AU45)</f>
        <v/>
      </c>
      <c r="BE17" s="1226"/>
      <c r="BF17" s="1260" t="str" cm="1">
        <f t="array" ref="BF17">_xlfn.IFS($AS$12=$BB$12,AW17,$AS$26=$BB$12,AW31,$AS$40=$BB$12,AW45)</f>
        <v/>
      </c>
      <c r="BG17" s="1226"/>
      <c r="BH17" s="1276" t="s">
        <v>610</v>
      </c>
      <c r="BI17" s="1277"/>
      <c r="BJ17" s="1"/>
      <c r="BK17" s="1"/>
      <c r="BL17" s="740" t="str">
        <f t="shared" si="4"/>
        <v/>
      </c>
      <c r="BM17" s="734" t="str">
        <f t="shared" si="4"/>
        <v>                  ┃          ┃</v>
      </c>
      <c r="BN17" s="734" t="str">
        <f t="shared" si="4"/>
        <v/>
      </c>
      <c r="BO17" s="734" t="str">
        <f t="shared" si="4"/>
        <v>                  ┃          ┃</v>
      </c>
      <c r="BP17" s="734" t="str">
        <f t="shared" si="4"/>
        <v/>
      </c>
      <c r="BQ17" s="735" t="str">
        <f t="shared" si="4"/>
        <v>                  ┃          ┃</v>
      </c>
      <c r="BR17" s="1230" t="s">
        <v>610</v>
      </c>
      <c r="BS17" s="1232"/>
      <c r="BT17" s="1"/>
      <c r="BU17" s="1"/>
      <c r="BV17" s="1"/>
      <c r="BW17" s="1260">
        <f t="shared" si="5"/>
        <v>0</v>
      </c>
      <c r="BX17" s="1239"/>
      <c r="BY17" s="1238">
        <f t="shared" si="6"/>
        <v>0</v>
      </c>
      <c r="BZ17" s="1239"/>
      <c r="CA17" s="1238">
        <f t="shared" si="7"/>
        <v>0</v>
      </c>
      <c r="CB17" s="1226"/>
      <c r="CE17" s="1"/>
      <c r="CF17" s="1260" t="str" cm="1">
        <f t="array" ref="CF17">_xlfn.IFS($BW$12=$CF$12,BW17,$BW$26=$CF$12,BW31,$BW$40=$CF$12,BW45)</f>
        <v/>
      </c>
      <c r="CG17" s="1226"/>
      <c r="CH17" s="1260" t="str" cm="1">
        <f t="array" ref="CH17">_xlfn.IFS($BW$12=$CF$12,BY17,$BW$26=$CF$12,BY31,$BW$40=$CF$12,BY45)</f>
        <v/>
      </c>
      <c r="CI17" s="1226"/>
      <c r="CJ17" s="1260" t="str" cm="1">
        <f t="array" ref="CJ17">_xlfn.IFS($BW$12=$CF$12,CA17,$BW$26=$CF$12,CA31,$BW$40=$CF$12,CA45)</f>
        <v/>
      </c>
      <c r="CK17" s="1226"/>
      <c r="CL17" s="1230" t="s">
        <v>610</v>
      </c>
      <c r="CM17" s="1232"/>
      <c r="CN17" s="1"/>
      <c r="CO17" s="743"/>
      <c r="CP17" s="740" t="str">
        <f t="shared" si="8"/>
        <v/>
      </c>
      <c r="CQ17" s="734" t="str">
        <f t="shared" si="8"/>
        <v>                  ┃          ┃</v>
      </c>
      <c r="CR17" s="734" t="str">
        <f t="shared" si="8"/>
        <v/>
      </c>
      <c r="CS17" s="734" t="str">
        <f t="shared" si="8"/>
        <v>                  ┃          ┃</v>
      </c>
      <c r="CT17" s="734" t="str">
        <f t="shared" si="8"/>
        <v/>
      </c>
      <c r="CU17" s="735" t="str">
        <f t="shared" si="8"/>
        <v>                  ┃          ┃</v>
      </c>
      <c r="CV17" s="1231" t="s">
        <v>610</v>
      </c>
      <c r="CW17" s="1232"/>
      <c r="CX17" s="1"/>
      <c r="CY17" s="1"/>
      <c r="DA17" s="689">
        <f t="shared" si="9"/>
        <v>0</v>
      </c>
      <c r="DB17" s="689">
        <f t="shared" si="9"/>
        <v>0</v>
      </c>
      <c r="DC17" s="689">
        <f t="shared" si="9"/>
        <v>0</v>
      </c>
      <c r="DD17" s="689">
        <f t="shared" si="9"/>
        <v>0</v>
      </c>
      <c r="DE17" s="689">
        <f t="shared" si="9"/>
        <v>0</v>
      </c>
      <c r="DF17" s="689">
        <f t="shared" si="9"/>
        <v>0</v>
      </c>
      <c r="DG17" s="268"/>
      <c r="DI17" s="689" t="str">
        <f t="shared" si="10"/>
        <v/>
      </c>
      <c r="DJ17" s="689" t="str">
        <f t="shared" si="10"/>
        <v/>
      </c>
      <c r="DK17" s="689" t="str">
        <f t="shared" si="10"/>
        <v/>
      </c>
      <c r="DL17" s="689" t="str">
        <f t="shared" si="10"/>
        <v/>
      </c>
      <c r="DM17" s="689" t="str">
        <f t="shared" si="10"/>
        <v/>
      </c>
      <c r="DN17" s="263" t="str">
        <f t="shared" si="10"/>
        <v/>
      </c>
      <c r="DO17" s="268"/>
      <c r="DP17" s="268"/>
      <c r="DQ17" s="689" t="str">
        <f t="shared" si="11"/>
        <v/>
      </c>
      <c r="DR17" s="689" t="str">
        <f t="shared" si="11"/>
        <v/>
      </c>
      <c r="DS17" s="689" t="str">
        <f t="shared" si="11"/>
        <v/>
      </c>
      <c r="DT17" s="689" t="str">
        <f t="shared" si="11"/>
        <v/>
      </c>
      <c r="DU17" s="689" t="str">
        <f t="shared" si="11"/>
        <v/>
      </c>
      <c r="DV17" s="263" t="str">
        <f t="shared" si="11"/>
        <v/>
      </c>
      <c r="DW17" s="268"/>
      <c r="DX17" s="268"/>
      <c r="DY17" s="689" t="str">
        <f t="shared" si="12"/>
        <v/>
      </c>
      <c r="DZ17" s="689" t="str">
        <f t="shared" si="12"/>
        <v/>
      </c>
      <c r="EA17" s="689" t="str">
        <f t="shared" si="12"/>
        <v/>
      </c>
      <c r="EB17" s="689" t="str">
        <f t="shared" si="12"/>
        <v/>
      </c>
      <c r="EC17" s="689" t="str">
        <f t="shared" si="12"/>
        <v/>
      </c>
      <c r="ED17" s="263" t="str">
        <f t="shared" si="12"/>
        <v/>
      </c>
      <c r="EG17" s="506" t="str">
        <f t="shared" si="13"/>
        <v/>
      </c>
      <c r="EH17" s="506" t="str">
        <f t="shared" si="13"/>
        <v/>
      </c>
      <c r="EI17" s="506" t="str">
        <f t="shared" si="13"/>
        <v/>
      </c>
      <c r="EJ17" s="506" t="str">
        <f t="shared" si="13"/>
        <v/>
      </c>
      <c r="EK17" s="506" t="str">
        <f t="shared" si="13"/>
        <v/>
      </c>
      <c r="EL17" s="524" t="str">
        <f t="shared" si="13"/>
        <v/>
      </c>
      <c r="EX17" s="718">
        <f>MAX(EG14:EL19)</f>
        <v>9</v>
      </c>
      <c r="EY17" s="320"/>
      <c r="EZ17" s="718">
        <f>IF(EX14+EX17=$F$15,0,EX17)</f>
        <v>9</v>
      </c>
      <c r="FA17" s="320"/>
      <c r="FB17" s="718">
        <f>IF(IFERROR(ROUNDDOWN($F$15/EZ17,0),0)&lt;=FU17,IFERROR(ROUNDDOWN($F$15/EZ17,0),0),FU17)</f>
        <v>2</v>
      </c>
      <c r="FC17" s="320"/>
      <c r="FD17" s="718">
        <f>FB17*EZ17</f>
        <v>18</v>
      </c>
      <c r="FE17" s="320"/>
      <c r="FF17" s="718">
        <f>EZ17</f>
        <v>9</v>
      </c>
      <c r="FG17" s="320"/>
      <c r="FH17" s="718">
        <f>FB17</f>
        <v>2</v>
      </c>
      <c r="FJ17" s="268"/>
      <c r="FK17" s="718">
        <f>IF(EZ17=0,0,SUM(EG14:EL19))</f>
        <v>54</v>
      </c>
      <c r="FM17" s="718">
        <f>IF($F$15-(FK17-FD17)=$F$15,0,$F$15-(FK17-FD17))</f>
        <v>-16</v>
      </c>
      <c r="FN17" s="320"/>
      <c r="FO17" s="718">
        <f>IF(FM17=0,0,1)</f>
        <v>1</v>
      </c>
      <c r="FQ17" s="632">
        <f>IFERROR(IF(FF17=0,0,ROUNDUP(FK17/$F$15,0)),0)</f>
        <v>3</v>
      </c>
      <c r="FS17" s="718">
        <f>FQ17*$F$15</f>
        <v>60</v>
      </c>
      <c r="FU17" s="632">
        <f>COUNT(EG14:EL19)</f>
        <v>6</v>
      </c>
      <c r="FY17" s="720">
        <f>GC17+GF17</f>
        <v>3</v>
      </c>
      <c r="GA17" s="718">
        <f>(GC17*GD17)+(GF17*GG17)</f>
        <v>2</v>
      </c>
      <c r="GC17" s="687">
        <f>FH17</f>
        <v>2</v>
      </c>
      <c r="GD17" s="719">
        <f>FF17</f>
        <v>9</v>
      </c>
      <c r="GE17" s="1" t="s">
        <v>441</v>
      </c>
      <c r="GF17" s="687">
        <f>FO17</f>
        <v>1</v>
      </c>
      <c r="GG17" s="719">
        <f>FM17</f>
        <v>-16</v>
      </c>
      <c r="GS17" s="268"/>
      <c r="HA17" s="12"/>
      <c r="HB17" s="1"/>
      <c r="HC17" s="1"/>
      <c r="HD17" s="532" t="str">
        <f t="shared" si="15"/>
        <v/>
      </c>
      <c r="HE17" t="str">
        <f t="shared" si="15"/>
        <v>                  ┃          ┃</v>
      </c>
      <c r="HF17" t="str">
        <f t="shared" si="14"/>
        <v/>
      </c>
      <c r="HG17" t="str">
        <f t="shared" si="14"/>
        <v>                  ┃          ┃</v>
      </c>
      <c r="HH17" t="str">
        <f t="shared" si="14"/>
        <v/>
      </c>
      <c r="HI17" s="47" t="str">
        <f t="shared" si="14"/>
        <v>                  ┃          ┃</v>
      </c>
      <c r="HJ17" s="1276" t="str">
        <f t="shared" si="14"/>
        <v>MATERIALS</v>
      </c>
      <c r="HK17" s="1278"/>
      <c r="HL17" s="1"/>
      <c r="HN17" s="532" t="str">
        <f t="shared" si="2"/>
        <v/>
      </c>
      <c r="HO17" t="str">
        <f t="shared" si="2"/>
        <v>                  ┃          ┃</v>
      </c>
      <c r="HP17" t="str">
        <f t="shared" si="2"/>
        <v/>
      </c>
      <c r="HQ17" t="str">
        <f t="shared" si="2"/>
        <v>                  ┃          ┃</v>
      </c>
      <c r="HR17" t="str">
        <f t="shared" si="2"/>
        <v/>
      </c>
      <c r="HS17" s="47" t="str">
        <f t="shared" si="2"/>
        <v>                  ┃          ┃</v>
      </c>
      <c r="HT17" s="1279" t="str">
        <f t="shared" si="2"/>
        <v>MATERIALS</v>
      </c>
      <c r="HU17" s="1278"/>
      <c r="HW17" s="47"/>
      <c r="HX17" s="532"/>
      <c r="IG17" s="47"/>
    </row>
    <row r="18" spans="3:241">
      <c r="C18" s="1274"/>
      <c r="D18" s="479"/>
      <c r="E18" s="268"/>
      <c r="F18" s="268"/>
      <c r="H18" s="477"/>
      <c r="I18" s="477"/>
      <c r="K18" s="485"/>
      <c r="M18" s="487"/>
      <c r="P18" s="485"/>
      <c r="R18" s="320"/>
      <c r="Y18" s="583"/>
      <c r="Z18" s="764"/>
      <c r="AA18" s="764"/>
      <c r="AB18" s="764"/>
      <c r="AS18" s="691" t="str">
        <f t="shared" si="3"/>
        <v/>
      </c>
      <c r="AT18" s="714" t="str">
        <f t="shared" si="3"/>
        <v/>
      </c>
      <c r="AU18" s="691" t="str">
        <f t="shared" si="3"/>
        <v/>
      </c>
      <c r="AV18" s="714" t="str">
        <f t="shared" si="3"/>
        <v/>
      </c>
      <c r="AW18" s="691" t="str">
        <f t="shared" si="3"/>
        <v/>
      </c>
      <c r="AX18" s="714" t="str">
        <f t="shared" si="3"/>
        <v/>
      </c>
      <c r="BB18" s="1260" t="str" cm="1">
        <f t="array" ref="BB18">_xlfn.IFS($AS$12=$BB$12,AS18,$AS$26=$BB$12,AS32,$AS$40=$BB$12,AS46)</f>
        <v/>
      </c>
      <c r="BC18" s="1226"/>
      <c r="BD18" s="1260" t="str" cm="1">
        <f t="array" ref="BD18">_xlfn.IFS($AS$12=$BB$12,AU18,$AS$26=$BB$12,AU32,$AS$40=$BB$12,AU46)</f>
        <v/>
      </c>
      <c r="BE18" s="1226"/>
      <c r="BF18" s="1260" t="str" cm="1">
        <f t="array" ref="BF18">_xlfn.IFS($AS$12=$BB$12,AW18,$AS$26=$BB$12,AW32,$AS$40=$BB$12,AW46)</f>
        <v/>
      </c>
      <c r="BG18" s="1226"/>
      <c r="BH18" s="654" t="s">
        <v>611</v>
      </c>
      <c r="BI18" s="632" cm="1">
        <f t="array" ref="BI18">_xlfn.IFS($AS$12=$BB$12,AZ21,$AS$26=$BB$12,AZ35,$AS$40=$BB$12,AZ49)</f>
        <v>3</v>
      </c>
      <c r="BL18" s="740" t="str">
        <f t="shared" si="4"/>
        <v/>
      </c>
      <c r="BM18" s="734" t="str">
        <f t="shared" si="4"/>
        <v>                  ┃          ┃</v>
      </c>
      <c r="BN18" s="734" t="str">
        <f t="shared" si="4"/>
        <v/>
      </c>
      <c r="BO18" s="734" t="str">
        <f t="shared" si="4"/>
        <v>                  ┃          ┃</v>
      </c>
      <c r="BP18" s="734" t="str">
        <f t="shared" si="4"/>
        <v/>
      </c>
      <c r="BQ18" s="735" t="str">
        <f t="shared" si="4"/>
        <v>                  ┃          ┃</v>
      </c>
      <c r="BR18" s="655" t="s">
        <v>611</v>
      </c>
      <c r="BS18" s="683">
        <f>BI18</f>
        <v>3</v>
      </c>
      <c r="BW18" s="1260">
        <f t="shared" si="5"/>
        <v>0</v>
      </c>
      <c r="BX18" s="1239"/>
      <c r="BY18" s="1238">
        <f t="shared" si="6"/>
        <v>0</v>
      </c>
      <c r="BZ18" s="1239"/>
      <c r="CA18" s="1238">
        <f t="shared" si="7"/>
        <v>0</v>
      </c>
      <c r="CB18" s="1226"/>
      <c r="CF18" s="1260" t="str" cm="1">
        <f t="array" ref="CF18">_xlfn.IFS($BW$12=$CF$12,BW18,$BW$26=$CF$12,BW32,$BW$40=$CF$12,BW46)</f>
        <v/>
      </c>
      <c r="CG18" s="1226"/>
      <c r="CH18" s="1260" t="str" cm="1">
        <f t="array" ref="CH18">_xlfn.IFS($BW$12=$CF$12,BY18,$BW$26=$CF$12,BY32,$BW$40=$CF$12,BY46)</f>
        <v/>
      </c>
      <c r="CI18" s="1226"/>
      <c r="CJ18" s="1260" t="str" cm="1">
        <f t="array" ref="CJ18">_xlfn.IFS($BW$12=$CF$12,CA18,$BW$26=$CF$12,CA32,$BW$40=$CF$12,CA46)</f>
        <v/>
      </c>
      <c r="CK18" s="1226"/>
      <c r="CL18" s="655" t="s">
        <v>611</v>
      </c>
      <c r="CM18" s="683" cm="1">
        <f t="array" ref="CM18">_xlfn.IFS($BW$12=$CF$12,CD21,$BW$26=$CF$12,CD35,$BW$40=$CF$12,CD49)</f>
        <v>3</v>
      </c>
      <c r="CO18" s="734"/>
      <c r="CP18" s="740" t="str">
        <f t="shared" si="8"/>
        <v/>
      </c>
      <c r="CQ18" s="734" t="str">
        <f t="shared" si="8"/>
        <v>                  ┃          ┃</v>
      </c>
      <c r="CR18" s="734" t="str">
        <f t="shared" si="8"/>
        <v/>
      </c>
      <c r="CS18" s="734" t="str">
        <f t="shared" si="8"/>
        <v>                  ┃          ┃</v>
      </c>
      <c r="CT18" s="734" t="str">
        <f t="shared" si="8"/>
        <v/>
      </c>
      <c r="CU18" s="735" t="str">
        <f t="shared" si="8"/>
        <v>                  ┃          ┃</v>
      </c>
      <c r="CV18" s="656" t="s">
        <v>611</v>
      </c>
      <c r="CW18" s="683">
        <f>CM18</f>
        <v>3</v>
      </c>
      <c r="DA18" s="689">
        <f t="shared" si="9"/>
        <v>0</v>
      </c>
      <c r="DB18" s="689">
        <f t="shared" si="9"/>
        <v>0</v>
      </c>
      <c r="DC18" s="689">
        <f t="shared" si="9"/>
        <v>0</v>
      </c>
      <c r="DD18" s="689">
        <f t="shared" si="9"/>
        <v>0</v>
      </c>
      <c r="DE18" s="689">
        <f t="shared" si="9"/>
        <v>0</v>
      </c>
      <c r="DF18" s="689">
        <f t="shared" si="9"/>
        <v>0</v>
      </c>
      <c r="DG18" s="268"/>
      <c r="DI18" s="689" t="str">
        <f t="shared" si="10"/>
        <v/>
      </c>
      <c r="DJ18" s="689" t="str">
        <f t="shared" si="10"/>
        <v/>
      </c>
      <c r="DK18" s="689" t="str">
        <f t="shared" si="10"/>
        <v/>
      </c>
      <c r="DL18" s="689" t="str">
        <f t="shared" si="10"/>
        <v/>
      </c>
      <c r="DM18" s="689" t="str">
        <f t="shared" si="10"/>
        <v/>
      </c>
      <c r="DN18" s="263" t="str">
        <f t="shared" si="10"/>
        <v/>
      </c>
      <c r="DO18" s="268"/>
      <c r="DP18" s="268"/>
      <c r="DQ18" s="689" t="str">
        <f t="shared" si="11"/>
        <v/>
      </c>
      <c r="DR18" s="689" t="str">
        <f t="shared" si="11"/>
        <v/>
      </c>
      <c r="DS18" s="689" t="str">
        <f t="shared" si="11"/>
        <v/>
      </c>
      <c r="DT18" s="689" t="str">
        <f t="shared" si="11"/>
        <v/>
      </c>
      <c r="DU18" s="689" t="str">
        <f t="shared" si="11"/>
        <v/>
      </c>
      <c r="DV18" s="263" t="str">
        <f t="shared" si="11"/>
        <v/>
      </c>
      <c r="DW18" s="268"/>
      <c r="DX18" s="268"/>
      <c r="DY18" s="689" t="str">
        <f t="shared" si="12"/>
        <v/>
      </c>
      <c r="DZ18" s="689" t="str">
        <f t="shared" si="12"/>
        <v/>
      </c>
      <c r="EA18" s="689" t="str">
        <f t="shared" si="12"/>
        <v/>
      </c>
      <c r="EB18" s="689" t="str">
        <f t="shared" si="12"/>
        <v/>
      </c>
      <c r="EC18" s="689" t="str">
        <f t="shared" si="12"/>
        <v/>
      </c>
      <c r="ED18" s="263" t="str">
        <f t="shared" si="12"/>
        <v/>
      </c>
      <c r="EG18" s="506" t="str">
        <f t="shared" si="13"/>
        <v/>
      </c>
      <c r="EH18" s="506" t="str">
        <f t="shared" si="13"/>
        <v/>
      </c>
      <c r="EI18" s="506" t="str">
        <f t="shared" si="13"/>
        <v/>
      </c>
      <c r="EJ18" s="506" t="str">
        <f t="shared" si="13"/>
        <v/>
      </c>
      <c r="EK18" s="506" t="str">
        <f t="shared" si="13"/>
        <v/>
      </c>
      <c r="EL18" s="524" t="str">
        <f t="shared" si="13"/>
        <v/>
      </c>
      <c r="HA18" s="47"/>
      <c r="HD18" s="532" t="str">
        <f t="shared" si="15"/>
        <v/>
      </c>
      <c r="HE18" t="str">
        <f t="shared" si="15"/>
        <v>                  ┃          ┃</v>
      </c>
      <c r="HF18" t="str">
        <f t="shared" si="14"/>
        <v/>
      </c>
      <c r="HG18" t="str">
        <f t="shared" si="14"/>
        <v>                  ┃          ┃</v>
      </c>
      <c r="HH18" t="str">
        <f t="shared" si="14"/>
        <v/>
      </c>
      <c r="HI18" s="47" t="str">
        <f t="shared" si="14"/>
        <v>                  ┃          ┃</v>
      </c>
      <c r="HJ18" s="738" t="str">
        <f t="shared" si="14"/>
        <v>Q</v>
      </c>
      <c r="HK18" s="738">
        <f t="shared" si="14"/>
        <v>3</v>
      </c>
      <c r="HN18" s="532" t="str">
        <f t="shared" si="2"/>
        <v/>
      </c>
      <c r="HO18" t="str">
        <f t="shared" si="2"/>
        <v>                  ┃          ┃</v>
      </c>
      <c r="HP18" t="str">
        <f t="shared" si="2"/>
        <v/>
      </c>
      <c r="HQ18" t="str">
        <f t="shared" si="2"/>
        <v>                  ┃          ┃</v>
      </c>
      <c r="HR18" t="str">
        <f t="shared" si="2"/>
        <v/>
      </c>
      <c r="HS18" s="47" t="str">
        <f t="shared" si="2"/>
        <v>                  ┃          ┃</v>
      </c>
      <c r="HT18" s="738" t="str">
        <f t="shared" si="2"/>
        <v>Q</v>
      </c>
      <c r="HU18" s="738">
        <f>CW18</f>
        <v>3</v>
      </c>
      <c r="HW18" s="47"/>
      <c r="HX18" s="532"/>
      <c r="IG18" s="47"/>
    </row>
    <row r="19" spans="3:241" ht="16.5" customHeight="1">
      <c r="C19" s="1275"/>
      <c r="D19" s="595" t="str">
        <f>TEXT(12.3,"0.00")</f>
        <v>12.30</v>
      </c>
      <c r="E19" s="712">
        <f>Materials!E3</f>
        <v>12</v>
      </c>
      <c r="F19" s="712">
        <f>Materials!F3</f>
        <v>30</v>
      </c>
      <c r="H19" s="465">
        <f>ROUNDDOWN((F19/D7),0)/(D4/E19)</f>
        <v>2</v>
      </c>
      <c r="I19" s="483" t="str">
        <f>"which is (" &amp; (H19) &amp; ") pieces of (" &amp; (D7) &amp; ") ft equal length from 12 inch roll"</f>
        <v>which is (2) pieces of (11) ft equal length from 12 inch roll</v>
      </c>
      <c r="K19" s="484" t="str">
        <f>"which is (" &amp; (H19) &amp; ") Linear foot total"</f>
        <v>which is (2) Linear foot total</v>
      </c>
      <c r="M19" s="486">
        <f>IF(((D5)-(H19))&lt;=0,0,((D5)-(H19)))</f>
        <v>4</v>
      </c>
      <c r="N19" t="str">
        <f>"which are (" &amp; (D9) &amp; ") ft in length"</f>
        <v>which are (1) ft in length</v>
      </c>
      <c r="P19" s="484">
        <f>IFERROR(ROUNDUP(M19/H19,0),M19)</f>
        <v>2</v>
      </c>
      <c r="R19" s="491">
        <f>((P19)+(H19))</f>
        <v>4</v>
      </c>
      <c r="T19" s="325">
        <f>IFERROR(R19/H19,R19)</f>
        <v>2</v>
      </c>
      <c r="V19" s="325">
        <f>ROUNDUP(T19,0)</f>
        <v>2</v>
      </c>
      <c r="W19" s="711">
        <f>ROUNDUP(D7/F19,0)</f>
        <v>1</v>
      </c>
      <c r="X19" s="776">
        <v>12.15</v>
      </c>
      <c r="Y19" s="765">
        <f>V19</f>
        <v>2</v>
      </c>
      <c r="Z19" s="765">
        <f>IF((H19)=0,IFERROR(ROUNDUP(IF(((D5)-(H19))&lt;=0,0,((D5)-(H19)))/(H19),0),IF(((D5)-(H19))&lt;=0,0,((D5)-(H19))))+(H19),(H19))</f>
        <v>2</v>
      </c>
      <c r="AA19" s="765">
        <f>(Y19*Z19)</f>
        <v>4</v>
      </c>
      <c r="AB19" s="594">
        <f>(AA19/D9)</f>
        <v>4</v>
      </c>
      <c r="AC19" s="491" t="str">
        <f>" " &amp; D7 &amp; "'"</f>
        <v xml:space="preserve"> 11'</v>
      </c>
      <c r="AD19" s="711">
        <f>(W19*AH19)-D7</f>
        <v>19</v>
      </c>
      <c r="AE19" s="263">
        <f>D7-(ROUNDDOWN(D7/F19,0)*F19)</f>
        <v>11</v>
      </c>
      <c r="AF19" s="686">
        <f>D5</f>
        <v>6</v>
      </c>
      <c r="AG19" s="685">
        <f>IFERROR(ROUNDUP(AF19/AB19,0),0)</f>
        <v>2</v>
      </c>
      <c r="AH19" s="524">
        <f>F19</f>
        <v>30</v>
      </c>
      <c r="AK19" s="685">
        <f>AG19*AA19</f>
        <v>8</v>
      </c>
      <c r="AL19" s="263">
        <f>AF19*AK19</f>
        <v>48</v>
      </c>
      <c r="AS19" s="692" t="str">
        <f t="shared" si="3"/>
        <v/>
      </c>
      <c r="AT19" s="715" t="str">
        <f t="shared" si="3"/>
        <v/>
      </c>
      <c r="AU19" s="692" t="str">
        <f t="shared" si="3"/>
        <v/>
      </c>
      <c r="AV19" s="715" t="str">
        <f t="shared" si="3"/>
        <v/>
      </c>
      <c r="AW19" s="692" t="str">
        <f t="shared" si="3"/>
        <v/>
      </c>
      <c r="AX19" s="715" t="str">
        <f t="shared" si="3"/>
        <v/>
      </c>
      <c r="AY19" t="s">
        <v>506</v>
      </c>
      <c r="AZ19" s="726">
        <f>ET14</f>
        <v>6</v>
      </c>
      <c r="BB19" s="1257" t="str" cm="1">
        <f t="array" ref="BB19">_xlfn.IFS($AS$12=$BB$12,AS19,$AS$26=$BB$12,AS33,$AS$40=$BB$12,AS47)</f>
        <v/>
      </c>
      <c r="BC19" s="1229"/>
      <c r="BD19" s="1257" t="str" cm="1">
        <f t="array" ref="BD19">_xlfn.IFS($AS$12=$BB$12,AU19,$AS$26=$BB$12,AU33,$AS$40=$BB$12,AU47)</f>
        <v/>
      </c>
      <c r="BE19" s="1229"/>
      <c r="BF19" s="1257" t="str" cm="1">
        <f t="array" ref="BF19">_xlfn.IFS($AS$12=$BB$12,AW19,$AS$26=$BB$12,AW33,$AS$40=$BB$12,AW47)</f>
        <v/>
      </c>
      <c r="BG19" s="1229"/>
      <c r="BH19" s="744" cm="1">
        <f t="array" ref="BH19">_xlfn.IFS($AS$12=$BB$12,E15,$AS$26=$BB$12,E17,$AS$40=$BB$12,E19)</f>
        <v>12</v>
      </c>
      <c r="BI19" s="716" cm="1">
        <f t="array" ref="BI19">_xlfn.IFS($AS$12=$BB$12,F15,$AS$26=$BB$12,F17,$AS$40=$BB$12,F19)</f>
        <v>30</v>
      </c>
      <c r="BJ19" s="597"/>
      <c r="BK19" s="597"/>
      <c r="BL19" s="741" t="str">
        <f t="shared" si="4"/>
        <v/>
      </c>
      <c r="BM19" s="742" t="str">
        <f t="shared" si="4"/>
        <v>                  ┃          ┃</v>
      </c>
      <c r="BN19" s="742" t="str">
        <f t="shared" si="4"/>
        <v/>
      </c>
      <c r="BO19" s="742" t="str">
        <f t="shared" si="4"/>
        <v>                  ┃          ┃</v>
      </c>
      <c r="BP19" s="742" t="str">
        <f t="shared" si="4"/>
        <v/>
      </c>
      <c r="BQ19" s="736" t="str">
        <f t="shared" si="4"/>
        <v>                  ┃          ┃</v>
      </c>
      <c r="BR19" s="717">
        <f>BH19</f>
        <v>12</v>
      </c>
      <c r="BS19" s="552">
        <f>BI19</f>
        <v>30</v>
      </c>
      <c r="BT19" s="597"/>
      <c r="BU19" s="597"/>
      <c r="BV19" s="597"/>
      <c r="BW19" s="1257">
        <f t="shared" si="5"/>
        <v>0</v>
      </c>
      <c r="BX19" s="1258"/>
      <c r="BY19" s="1259">
        <f t="shared" si="6"/>
        <v>0</v>
      </c>
      <c r="BZ19" s="1258"/>
      <c r="CA19" s="1259">
        <f t="shared" si="7"/>
        <v>0</v>
      </c>
      <c r="CB19" s="1229"/>
      <c r="CC19" t="s">
        <v>506</v>
      </c>
      <c r="CD19">
        <f>IF($AP$12=TRUE,AZ19,0)</f>
        <v>0</v>
      </c>
      <c r="CF19" s="1257" t="str" cm="1">
        <f t="array" ref="CF19">_xlfn.IFS($BW$12=$CF$12,BW19,$BW$26=$CF$12,BW33,$BW$40=$CF$12,BW47)</f>
        <v/>
      </c>
      <c r="CG19" s="1229"/>
      <c r="CH19" s="1257" t="str" cm="1">
        <f t="array" ref="CH19">_xlfn.IFS($BW$12=$CF$12,BY19,$BW$26=$CF$12,BY33,$BW$40=$CF$12,BY47)</f>
        <v/>
      </c>
      <c r="CI19" s="1229"/>
      <c r="CJ19" s="1257" t="str" cm="1">
        <f t="array" ref="CJ19">_xlfn.IFS($BW$12=$CF$12,CA19,$BW$26=$CF$12,CA33,$BW$40=$CF$12,CA47)</f>
        <v/>
      </c>
      <c r="CK19" s="1229"/>
      <c r="CL19" s="717" cm="1">
        <f t="array" ref="CL19">_xlfn.IFS($BW$12=$CF$12,E15,$BW$26=$CF$12,E17,$BW$40=$CF$12,E19)</f>
        <v>12</v>
      </c>
      <c r="CM19" s="552" cm="1">
        <f t="array" ref="CM19">_xlfn.IFS($BW$12=$CF$12,F15,$BW$26=$CF$12,F17,$BW$40=$CF$12,F19)</f>
        <v>30</v>
      </c>
      <c r="CN19" s="597"/>
      <c r="CO19" s="743"/>
      <c r="CP19" s="741" t="str">
        <f t="shared" si="8"/>
        <v/>
      </c>
      <c r="CQ19" s="742" t="str">
        <f t="shared" si="8"/>
        <v>                  ┃          ┃</v>
      </c>
      <c r="CR19" s="742" t="str">
        <f t="shared" si="8"/>
        <v/>
      </c>
      <c r="CS19" s="742" t="str">
        <f t="shared" si="8"/>
        <v>                  ┃          ┃</v>
      </c>
      <c r="CT19" s="742" t="str">
        <f t="shared" si="8"/>
        <v/>
      </c>
      <c r="CU19" s="736" t="str">
        <f t="shared" si="8"/>
        <v>                  ┃          ┃</v>
      </c>
      <c r="CV19" s="745">
        <f>CL19</f>
        <v>12</v>
      </c>
      <c r="CW19" s="552">
        <f>CM19</f>
        <v>30</v>
      </c>
      <c r="CX19" s="597"/>
      <c r="DA19" s="689">
        <f t="shared" si="9"/>
        <v>0</v>
      </c>
      <c r="DB19" s="689">
        <f t="shared" si="9"/>
        <v>0</v>
      </c>
      <c r="DC19" s="689">
        <f t="shared" si="9"/>
        <v>0</v>
      </c>
      <c r="DD19" s="689">
        <f t="shared" si="9"/>
        <v>0</v>
      </c>
      <c r="DE19" s="689">
        <f t="shared" si="9"/>
        <v>0</v>
      </c>
      <c r="DF19" s="689">
        <f t="shared" si="9"/>
        <v>0</v>
      </c>
      <c r="DG19" s="268"/>
      <c r="DI19" s="689" t="str">
        <f t="shared" si="10"/>
        <v/>
      </c>
      <c r="DJ19" s="689" t="str">
        <f t="shared" si="10"/>
        <v/>
      </c>
      <c r="DK19" s="689" t="str">
        <f t="shared" si="10"/>
        <v/>
      </c>
      <c r="DL19" s="689" t="str">
        <f t="shared" si="10"/>
        <v/>
      </c>
      <c r="DM19" s="689" t="str">
        <f t="shared" si="10"/>
        <v/>
      </c>
      <c r="DN19" s="263" t="str">
        <f t="shared" si="10"/>
        <v/>
      </c>
      <c r="DO19" s="268"/>
      <c r="DP19" s="268"/>
      <c r="DQ19" s="689" t="str">
        <f t="shared" si="11"/>
        <v/>
      </c>
      <c r="DR19" s="689" t="str">
        <f t="shared" si="11"/>
        <v/>
      </c>
      <c r="DS19" s="689" t="str">
        <f t="shared" si="11"/>
        <v/>
      </c>
      <c r="DT19" s="689" t="str">
        <f t="shared" si="11"/>
        <v/>
      </c>
      <c r="DU19" s="689" t="str">
        <f t="shared" si="11"/>
        <v/>
      </c>
      <c r="DV19" s="263" t="str">
        <f t="shared" si="11"/>
        <v/>
      </c>
      <c r="DW19" s="268"/>
      <c r="DX19" s="268"/>
      <c r="DY19" s="689" t="str">
        <f t="shared" si="12"/>
        <v/>
      </c>
      <c r="DZ19" s="689" t="str">
        <f t="shared" si="12"/>
        <v/>
      </c>
      <c r="EA19" s="689" t="str">
        <f t="shared" si="12"/>
        <v/>
      </c>
      <c r="EB19" s="689" t="str">
        <f t="shared" si="12"/>
        <v/>
      </c>
      <c r="EC19" s="689" t="str">
        <f t="shared" si="12"/>
        <v/>
      </c>
      <c r="ED19" s="263" t="str">
        <f t="shared" si="12"/>
        <v/>
      </c>
      <c r="EG19" s="506" t="str">
        <f t="shared" si="13"/>
        <v/>
      </c>
      <c r="EH19" s="506" t="str">
        <f t="shared" si="13"/>
        <v/>
      </c>
      <c r="EI19" s="506" t="str">
        <f t="shared" si="13"/>
        <v/>
      </c>
      <c r="EJ19" s="506" t="str">
        <f t="shared" si="13"/>
        <v/>
      </c>
      <c r="EK19" s="506" t="str">
        <f t="shared" si="13"/>
        <v/>
      </c>
      <c r="EL19" s="524" t="str">
        <f t="shared" si="13"/>
        <v/>
      </c>
      <c r="HA19" s="47"/>
      <c r="HD19" s="663" t="str">
        <f t="shared" si="15"/>
        <v/>
      </c>
      <c r="HE19" s="46" t="str">
        <f t="shared" si="15"/>
        <v>                  ┃          ┃</v>
      </c>
      <c r="HF19" s="46" t="str">
        <f t="shared" si="14"/>
        <v/>
      </c>
      <c r="HG19" s="46" t="str">
        <f t="shared" si="14"/>
        <v>                  ┃          ┃</v>
      </c>
      <c r="HH19" s="46" t="str">
        <f t="shared" si="14"/>
        <v/>
      </c>
      <c r="HI19" s="664" t="str">
        <f t="shared" si="14"/>
        <v>                  ┃          ┃</v>
      </c>
      <c r="HJ19" s="642">
        <f t="shared" si="14"/>
        <v>12</v>
      </c>
      <c r="HK19" s="633">
        <f t="shared" si="14"/>
        <v>30</v>
      </c>
      <c r="HN19" s="663" t="str">
        <f t="shared" si="2"/>
        <v/>
      </c>
      <c r="HO19" s="46" t="str">
        <f t="shared" si="2"/>
        <v>                  ┃          ┃</v>
      </c>
      <c r="HP19" s="46" t="str">
        <f t="shared" si="2"/>
        <v/>
      </c>
      <c r="HQ19" s="46" t="str">
        <f t="shared" si="2"/>
        <v>                  ┃          ┃</v>
      </c>
      <c r="HR19" s="46" t="str">
        <f t="shared" si="2"/>
        <v/>
      </c>
      <c r="HS19" s="664" t="str">
        <f t="shared" si="2"/>
        <v>                  ┃          ┃</v>
      </c>
      <c r="HT19" s="642">
        <f t="shared" si="2"/>
        <v>12</v>
      </c>
      <c r="HU19" s="633">
        <f>CW19</f>
        <v>30</v>
      </c>
      <c r="HW19" s="47"/>
      <c r="HX19" s="532"/>
      <c r="IG19" s="47"/>
    </row>
    <row r="20" spans="3:241">
      <c r="C20" s="662"/>
      <c r="D20" s="479"/>
      <c r="E20" s="479"/>
      <c r="H20" s="477"/>
      <c r="I20" s="477"/>
      <c r="K20" s="485"/>
      <c r="M20" s="487"/>
      <c r="P20" s="485"/>
      <c r="R20" s="320"/>
      <c r="Y20" s="583"/>
      <c r="Z20" s="764"/>
      <c r="AA20" s="764"/>
      <c r="AB20" s="764"/>
      <c r="AY20" t="s">
        <v>612</v>
      </c>
      <c r="AZ20">
        <f>IF(H15=0,0,1)</f>
        <v>1</v>
      </c>
      <c r="BS20" s="597"/>
      <c r="CC20" t="s">
        <v>612</v>
      </c>
      <c r="CD20">
        <f>IF($AP$12=TRUE,AZ20,0)</f>
        <v>0</v>
      </c>
      <c r="CW20" s="597"/>
      <c r="HA20" s="47"/>
      <c r="HW20" s="47"/>
      <c r="HX20" s="532"/>
      <c r="IG20" s="47"/>
    </row>
    <row r="21" spans="3:241" ht="30">
      <c r="C21" s="662"/>
      <c r="D21" s="479"/>
      <c r="E21" s="479"/>
      <c r="H21" s="477"/>
      <c r="I21" s="477"/>
      <c r="K21" s="485"/>
      <c r="M21" s="487"/>
      <c r="P21" s="485"/>
      <c r="R21" s="320"/>
      <c r="Y21" s="583"/>
      <c r="Z21" s="764"/>
      <c r="AA21" s="764"/>
      <c r="AB21" s="764"/>
      <c r="AY21" s="289" t="s">
        <v>613</v>
      </c>
      <c r="AZ21" s="597">
        <f>IF(AZ20=0,AZ19*D9,AZ19)</f>
        <v>6</v>
      </c>
      <c r="CC21" s="289" t="s">
        <v>613</v>
      </c>
      <c r="CD21">
        <f>IF($AP$12=TRUE,AZ21,0)</f>
        <v>0</v>
      </c>
      <c r="HA21" s="47"/>
      <c r="HW21" s="47"/>
      <c r="HX21" s="532"/>
      <c r="IG21" s="47"/>
    </row>
    <row r="22" spans="3:241">
      <c r="C22" s="662"/>
      <c r="D22" s="479"/>
      <c r="E22" s="479"/>
      <c r="H22" s="477"/>
      <c r="I22" s="477"/>
      <c r="K22" s="485"/>
      <c r="M22" s="487"/>
      <c r="P22" s="485"/>
      <c r="R22" s="320"/>
      <c r="Y22" s="583"/>
      <c r="Z22" s="764"/>
      <c r="AA22" s="764"/>
      <c r="AB22" s="764"/>
      <c r="AY22" t="s">
        <v>614</v>
      </c>
      <c r="AZ22">
        <f>SUM(AY15:AY16)</f>
        <v>3</v>
      </c>
      <c r="CC22" t="s">
        <v>614</v>
      </c>
      <c r="CD22">
        <f>IF($AP$12=TRUE,AZ22,0)</f>
        <v>0</v>
      </c>
      <c r="HA22" s="47"/>
      <c r="HW22" s="47"/>
      <c r="HX22" s="532"/>
      <c r="IG22" s="47"/>
    </row>
    <row r="23" spans="3:241">
      <c r="C23" s="662"/>
      <c r="D23" s="479"/>
      <c r="E23" s="479"/>
      <c r="H23" s="477"/>
      <c r="K23" s="485"/>
      <c r="M23" s="487"/>
      <c r="P23" s="485"/>
      <c r="R23" s="320"/>
      <c r="Y23" s="583"/>
      <c r="Z23" s="764"/>
      <c r="AA23" s="764"/>
      <c r="AB23" s="764"/>
      <c r="AY23" s="597" t="s">
        <v>615</v>
      </c>
      <c r="AZ23" s="320">
        <f>GJ14</f>
        <v>2</v>
      </c>
      <c r="BB23" s="1230" t="str">
        <f>"OPTIMAL BASED ON MATERIALS ("&amp; $BN$4 &amp;""")"</f>
        <v>OPTIMAL BASED ON MATERIALS (12")</v>
      </c>
      <c r="BC23" s="1231"/>
      <c r="BD23" s="1231"/>
      <c r="BE23" s="1231"/>
      <c r="BF23" s="1231"/>
      <c r="BG23" s="1231"/>
      <c r="BH23" s="1231"/>
      <c r="BI23" s="1232"/>
      <c r="CC23" s="597" t="s">
        <v>615</v>
      </c>
      <c r="CD23">
        <f>IF($AP$12=TRUE,AZ23,0)</f>
        <v>0</v>
      </c>
      <c r="CF23" s="1230" t="str">
        <f>"OPTIMAL BASED ON MATERIALS ("&amp; $BN$4 &amp;""")"</f>
        <v>OPTIMAL BASED ON MATERIALS (12")</v>
      </c>
      <c r="CG23" s="1231"/>
      <c r="CH23" s="1231"/>
      <c r="CI23" s="1231"/>
      <c r="CJ23" s="1231"/>
      <c r="CK23" s="1231"/>
      <c r="CL23" s="1231"/>
      <c r="CM23" s="1232"/>
      <c r="HA23" s="47"/>
      <c r="HW23" s="47"/>
      <c r="HX23" s="532"/>
      <c r="IG23" s="47"/>
    </row>
    <row r="24" spans="3:241">
      <c r="C24" s="662"/>
      <c r="D24" s="479"/>
      <c r="E24" s="479"/>
      <c r="H24" s="477"/>
      <c r="K24" s="485"/>
      <c r="M24" s="487"/>
      <c r="P24" s="485"/>
      <c r="R24" s="320"/>
      <c r="Y24" s="583"/>
      <c r="Z24" s="764"/>
      <c r="AA24" s="764"/>
      <c r="AB24" s="764"/>
      <c r="CC24" s="597"/>
      <c r="HA24" s="47"/>
      <c r="HW24" s="47"/>
      <c r="HX24" s="532"/>
      <c r="IG24" s="47"/>
    </row>
    <row r="25" spans="3:241">
      <c r="C25" s="532"/>
      <c r="AN25" t="s">
        <v>566</v>
      </c>
      <c r="AO25" t="s">
        <v>567</v>
      </c>
      <c r="CC25" s="597"/>
      <c r="HA25" s="47"/>
      <c r="HW25" s="47"/>
      <c r="HX25" s="532"/>
      <c r="IG25" s="47"/>
    </row>
    <row r="26" spans="3:241" ht="45">
      <c r="C26" s="532"/>
      <c r="AO26" s="320" t="b">
        <f>Materials!$D$2</f>
        <v>0</v>
      </c>
      <c r="AP26" s="320" t="b">
        <f>AND(AN26,AO26)</f>
        <v>0</v>
      </c>
      <c r="AQ26" t="b">
        <f>AND(AP26=TRUE,BI19=15)</f>
        <v>0</v>
      </c>
      <c r="AS26" s="1280" t="str">
        <f>"" &amp; D17 &amp; " (" &amp;ET28&amp; ")"</f>
        <v>12.15 (3)</v>
      </c>
      <c r="AT26" s="1281"/>
      <c r="AU26" s="1281"/>
      <c r="AV26" s="1281"/>
      <c r="AW26" s="1281"/>
      <c r="AX26" s="1282"/>
      <c r="BB26" s="1230" t="str">
        <f>BB12</f>
        <v>12.30 (3)</v>
      </c>
      <c r="BC26" s="1231"/>
      <c r="BD26" s="1231"/>
      <c r="BE26" s="1231"/>
      <c r="BF26" s="1231"/>
      <c r="BG26" s="1232"/>
      <c r="BW26" s="1230">
        <f t="shared" ref="BW26:BW33" si="16">IF($AP$26=TRUE,AS26,0)</f>
        <v>0</v>
      </c>
      <c r="BX26" s="1231"/>
      <c r="BY26" s="1231"/>
      <c r="BZ26" s="1231"/>
      <c r="CA26" s="1231"/>
      <c r="CB26" s="1232"/>
      <c r="CF26" s="1230" t="str">
        <f>CF12</f>
        <v>12.30 (3)</v>
      </c>
      <c r="CG26" s="1231"/>
      <c r="CH26" s="1231"/>
      <c r="CI26" s="1231"/>
      <c r="CJ26" s="1231"/>
      <c r="CK26" s="1232"/>
      <c r="DA26" s="1005">
        <f>SUM(DA28:DB33)</f>
        <v>1</v>
      </c>
      <c r="DB26" s="1006"/>
      <c r="DC26" s="1005">
        <f>SUM(DC28:DD33)</f>
        <v>1</v>
      </c>
      <c r="DD26" s="1006"/>
      <c r="DE26" s="1005">
        <f>SUM(DE28:DF33)</f>
        <v>1</v>
      </c>
      <c r="DF26" s="1006"/>
      <c r="DG26" s="268"/>
      <c r="DI26" s="1005">
        <f>SUM(DI28:DJ33)</f>
        <v>11</v>
      </c>
      <c r="DJ26" s="1006"/>
      <c r="DK26" s="1005">
        <f>SUM(DK28:DL33)</f>
        <v>11</v>
      </c>
      <c r="DL26" s="1006"/>
      <c r="DM26" s="1005">
        <f>SUM(DM28:DN33)</f>
        <v>11</v>
      </c>
      <c r="DN26" s="1006"/>
      <c r="DO26" s="268"/>
      <c r="DP26" s="268"/>
      <c r="DQ26" s="1230" t="s">
        <v>569</v>
      </c>
      <c r="DR26" s="1231"/>
      <c r="DS26" s="1231"/>
      <c r="DT26" s="1231"/>
      <c r="DU26" s="1231"/>
      <c r="DV26" s="1232"/>
      <c r="DW26" s="268"/>
      <c r="DX26" s="268"/>
      <c r="DY26" s="1230" t="s">
        <v>570</v>
      </c>
      <c r="DZ26" s="1231"/>
      <c r="EA26" s="1231"/>
      <c r="EB26" s="1231"/>
      <c r="EC26" s="1231"/>
      <c r="ED26" s="1232"/>
      <c r="EE26" s="268"/>
      <c r="EF26" s="268"/>
      <c r="EG26" s="1230" t="s">
        <v>571</v>
      </c>
      <c r="EH26" s="1231"/>
      <c r="EI26" s="1231"/>
      <c r="EJ26" s="1231"/>
      <c r="EK26" s="1231"/>
      <c r="EL26" s="1232"/>
      <c r="EM26" s="268"/>
      <c r="EN26" s="268"/>
      <c r="EO26" s="724" t="s">
        <v>572</v>
      </c>
      <c r="EP26" s="268"/>
      <c r="EQ26" s="268"/>
      <c r="ER26" s="724" t="s">
        <v>573</v>
      </c>
      <c r="ES26" s="268"/>
      <c r="ET26" s="724" t="s">
        <v>574</v>
      </c>
      <c r="EU26" s="268"/>
      <c r="EV26" s="268"/>
      <c r="EW26" s="268"/>
      <c r="EX26" s="552" t="s">
        <v>575</v>
      </c>
      <c r="EY26" s="268"/>
      <c r="EZ26" s="268"/>
      <c r="FA26" s="268"/>
      <c r="FB26" s="552" t="s">
        <v>577</v>
      </c>
      <c r="FC26" s="268"/>
      <c r="FD26" s="552" t="s">
        <v>578</v>
      </c>
      <c r="FE26" s="268"/>
      <c r="FF26" s="552" t="s">
        <v>579</v>
      </c>
      <c r="FG26" s="268"/>
      <c r="FH26" s="552" t="s">
        <v>580</v>
      </c>
      <c r="FJ26" s="268"/>
      <c r="FK26" s="552" t="s">
        <v>581</v>
      </c>
      <c r="FL26" s="268"/>
      <c r="FM26" s="552" t="s">
        <v>582</v>
      </c>
      <c r="FN26" s="268"/>
      <c r="FO26" s="552" t="s">
        <v>583</v>
      </c>
      <c r="FP26" s="268"/>
      <c r="FQ26" s="552" t="s">
        <v>584</v>
      </c>
      <c r="FR26" s="268"/>
      <c r="FS26" s="552" t="s">
        <v>585</v>
      </c>
      <c r="FT26" s="268"/>
      <c r="FU26" s="552" t="s">
        <v>586</v>
      </c>
      <c r="FV26" s="268"/>
      <c r="FY26" s="627" t="s">
        <v>587</v>
      </c>
      <c r="FZ26" t="s">
        <v>588</v>
      </c>
      <c r="GA26" s="627" t="s">
        <v>589</v>
      </c>
      <c r="GC26" s="627" t="s">
        <v>587</v>
      </c>
      <c r="GD26" s="627" t="s">
        <v>590</v>
      </c>
      <c r="GE26" s="268"/>
      <c r="GF26" s="627" t="s">
        <v>587</v>
      </c>
      <c r="GG26" s="627" t="s">
        <v>590</v>
      </c>
      <c r="GH26" s="268"/>
      <c r="GI26" s="268"/>
      <c r="GJ26" s="627" t="s">
        <v>589</v>
      </c>
      <c r="GL26" s="627" t="s">
        <v>587</v>
      </c>
      <c r="GM26" s="627" t="s">
        <v>590</v>
      </c>
      <c r="GN26" s="268"/>
      <c r="GO26" s="627" t="s">
        <v>587</v>
      </c>
      <c r="GP26" s="627" t="s">
        <v>590</v>
      </c>
      <c r="GQ26" s="268"/>
      <c r="HA26" s="47"/>
      <c r="HW26" s="47"/>
      <c r="HX26" s="532"/>
      <c r="IG26" s="47"/>
    </row>
    <row r="27" spans="3:241">
      <c r="C27" s="532"/>
      <c r="AS27" s="1238" t="s">
        <v>608</v>
      </c>
      <c r="AT27" s="1239"/>
      <c r="AU27" s="1238" t="s">
        <v>608</v>
      </c>
      <c r="AV27" s="1239"/>
      <c r="AW27" s="1238" t="s">
        <v>608</v>
      </c>
      <c r="AX27" s="1239"/>
      <c r="AY27" s="1283" t="s">
        <v>544</v>
      </c>
      <c r="AZ27" s="1284"/>
      <c r="BB27" s="1256" t="s">
        <v>608</v>
      </c>
      <c r="BC27" s="1262"/>
      <c r="BD27" s="1256" t="s">
        <v>608</v>
      </c>
      <c r="BE27" s="1262"/>
      <c r="BF27" s="1256" t="s">
        <v>608</v>
      </c>
      <c r="BG27" s="1262"/>
      <c r="BH27" s="1233" t="s">
        <v>544</v>
      </c>
      <c r="BI27" s="1234"/>
      <c r="BW27" s="1256" t="s">
        <v>608</v>
      </c>
      <c r="BX27" s="1262"/>
      <c r="BY27" s="1256" t="s">
        <v>608</v>
      </c>
      <c r="BZ27" s="1262"/>
      <c r="CA27" s="1256" t="s">
        <v>608</v>
      </c>
      <c r="CB27" s="1262"/>
      <c r="CC27" s="1233" t="s">
        <v>544</v>
      </c>
      <c r="CD27" s="1234"/>
      <c r="CF27" s="1256" t="s">
        <v>608</v>
      </c>
      <c r="CG27" s="1262"/>
      <c r="CH27" s="1256" t="s">
        <v>608</v>
      </c>
      <c r="CI27" s="1262"/>
      <c r="CJ27" s="1256" t="s">
        <v>608</v>
      </c>
      <c r="CK27" s="1262"/>
      <c r="CL27" s="1233" t="s">
        <v>544</v>
      </c>
      <c r="CM27" s="1234"/>
      <c r="EO27" s="374"/>
      <c r="ER27" s="374"/>
      <c r="ET27" s="374"/>
      <c r="GS27" s="724" t="s">
        <v>437</v>
      </c>
      <c r="HA27" s="47"/>
      <c r="HW27" s="47"/>
      <c r="HX27" s="532"/>
      <c r="IG27" s="47"/>
    </row>
    <row r="28" spans="3:241">
      <c r="C28" s="532"/>
      <c r="AS28" s="1235" t="str">
        <f t="shared" ref="AS28:AS33" si="17">_xlfn.LET(
_xlpm.total,IF($H$17=0,$D$7,AL17),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xml:space="preserve"> 11' (1)</v>
      </c>
      <c r="AT28" s="1285"/>
      <c r="AU28" s="1235" t="str">
        <f t="shared" ref="AU28:AU33" si="18">_xlfn.LET(
_xlpm.total,IF($H$17=0,$D$7,AN17),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xml:space="preserve"> 11' (2)</v>
      </c>
      <c r="AV28" s="1285"/>
      <c r="AW28" s="1235" t="str">
        <f t="shared" ref="AW28:AW33" si="19">_xlfn.LET(
_xlpm.total,IF($H$17=0,$D$7,AP17),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xml:space="preserve"> 11' (3)</v>
      </c>
      <c r="AX28" s="1285"/>
      <c r="AY28" s="1286" t="str">
        <f>GY28</f>
        <v>Total 12'</v>
      </c>
      <c r="AZ28" s="1269"/>
      <c r="BB28" s="737" t="str">
        <f>IF(BB14="","",REPT(CHAR(160),13+(2*(2/LEN(_xlfn.TEXTBEFORE(BB14,"'")))))&amp;_xlfn.TEXTBEFORE(BB14,"'"))</f>
        <v>               11</v>
      </c>
      <c r="BC28" s="739" t="str">
        <f t="shared" ref="BC28:BC33" si="20">IF(BB14="",REPT(CHAR(160),LEN(BB$14)+10)&amp;"┃","'"&amp;_xlfn.TEXTAFTER(BB14,"'"))&amp;REPT(CHAR(160),10)&amp;"┃"</f>
        <v>' (1)          ┃</v>
      </c>
      <c r="BD28" s="739" t="str">
        <f>IF(BD14="","",REPT(CHAR(160),13+(2*(2/LEN(_xlfn.TEXTBEFORE(BD14,"'")))))&amp;_xlfn.TEXTBEFORE(BD14,"'"))</f>
        <v>               11</v>
      </c>
      <c r="BE28" s="739" t="str">
        <f t="shared" ref="BE28:BE33" si="21">IF(BD14="",REPT(CHAR(160),LEN(BD$14)+10)&amp;"┃","'"&amp;_xlfn.TEXTAFTER(BD14,"'"))&amp;REPT(CHAR(160),10)&amp;"┃"</f>
        <v>' (1)          ┃</v>
      </c>
      <c r="BF28" s="739" t="str">
        <f>IF(BF14="","",REPT(CHAR(160),13+(2*(2/LEN(_xlfn.TEXTBEFORE(BF14,"'")))))&amp;_xlfn.TEXTBEFORE(BF14,"'"))</f>
        <v>               11</v>
      </c>
      <c r="BG28" s="733" t="str">
        <f t="shared" ref="BG28:BG33" si="22">IF(BF14="",REPT(CHAR(160),LEN(BF$14)+10)&amp;"┃","'"&amp;_xlfn.TEXTAFTER(BF14,"'"))&amp;REPT(CHAR(160),10)&amp;"┃"</f>
        <v>' (2)          ┃</v>
      </c>
      <c r="BH28" s="1287" t="str">
        <f>BH14</f>
        <v>Total 11'</v>
      </c>
      <c r="BI28" s="1288"/>
      <c r="BW28" s="1261">
        <f t="shared" si="16"/>
        <v>0</v>
      </c>
      <c r="BX28" s="1237"/>
      <c r="BY28" s="1236">
        <f t="shared" ref="BY28:BY33" si="23">IF($AP$26=TRUE,AU28,0)</f>
        <v>0</v>
      </c>
      <c r="BZ28" s="1237"/>
      <c r="CA28" s="1236">
        <f t="shared" ref="CA28:CA33" si="24">IF($AP$26=TRUE,AW28,0)</f>
        <v>0</v>
      </c>
      <c r="CB28" s="1237"/>
      <c r="CC28" s="1230">
        <f>IF($AP$26=TRUE,AY28,0)</f>
        <v>0</v>
      </c>
      <c r="CD28" s="1232"/>
      <c r="CF28" s="737" t="str">
        <f t="shared" ref="CF28:CF33" si="25">IF(CF14="","",REPT(CHAR(160),13+(2*(2/LEN(_xlfn.TEXTBEFORE(CF14,"'")))))&amp;_xlfn.TEXTBEFORE(CF14,"'"))</f>
        <v>               11</v>
      </c>
      <c r="CG28" s="739" t="str">
        <f t="shared" ref="CG28:CG33" si="26">IF(CF14="",REPT(CHAR(160),LEN(CF$14)+10)&amp;"┃","'"&amp;_xlfn.TEXTAFTER(CF14,"'"))&amp;REPT(CHAR(160),10)&amp;"┃"</f>
        <v>' (1)          ┃</v>
      </c>
      <c r="CH28" s="739" t="str">
        <f t="shared" ref="CH28:CH33" si="27">IF(CH14="","",REPT(CHAR(160),13+(2*(2/LEN(_xlfn.TEXTBEFORE(CH14,"'")))))&amp;_xlfn.TEXTBEFORE(CH14,"'"))</f>
        <v>               11</v>
      </c>
      <c r="CI28" s="739" t="str">
        <f t="shared" ref="CI28:CI33" si="28">IF(CH14="",REPT(CHAR(160),LEN(CH$14)+10)&amp;"┃","'"&amp;_xlfn.TEXTAFTER(CH14,"'"))&amp;REPT(CHAR(160),10)&amp;"┃"</f>
        <v>' (1)          ┃</v>
      </c>
      <c r="CJ28" s="739" t="str">
        <f t="shared" ref="CJ28:CJ33" si="29">IF(CJ14="","",REPT(CHAR(160),13+(2*(2/LEN(_xlfn.TEXTBEFORE(CJ14,"'")))))&amp;_xlfn.TEXTBEFORE(CJ14,"'"))</f>
        <v>               11</v>
      </c>
      <c r="CK28" s="733" t="str">
        <f t="shared" ref="CK28:CK33" si="30">IF(CJ14="",REPT(CHAR(160),LEN(CJ$14)+10)&amp;"┃","'"&amp;_xlfn.TEXTAFTER(CJ14,"'"))&amp;REPT(CHAR(160),10)&amp;"┃"</f>
        <v>' (2)          ┃</v>
      </c>
      <c r="CL28" s="1287" t="str">
        <f>CL14</f>
        <v>Total 11'</v>
      </c>
      <c r="CM28" s="1288"/>
      <c r="DA28" s="1005">
        <f t="shared" ref="DA28:DA33" si="31">IF(LEN(AS28)&gt;0,1,0)</f>
        <v>1</v>
      </c>
      <c r="DB28" s="1006"/>
      <c r="DC28" s="1005">
        <f t="shared" ref="DC28:DC33" si="32">IF(LEN(AU28)&gt;0,1,0)</f>
        <v>1</v>
      </c>
      <c r="DD28" s="1006"/>
      <c r="DE28" s="1005">
        <f t="shared" ref="DE28:DE33" si="33">IF(LEN(AW28)&gt;0,1,0)</f>
        <v>1</v>
      </c>
      <c r="DF28" s="1006"/>
      <c r="DG28" s="268"/>
      <c r="DI28" s="1005">
        <f t="shared" ref="DI28:DI33" si="34">IF(AS28="","",--_xlfn.TEXTBEFORE(AS28,"'"))</f>
        <v>11</v>
      </c>
      <c r="DJ28" s="1006"/>
      <c r="DK28" s="1005">
        <f t="shared" ref="DK28:DK33" si="35">IF(AU28="","",--_xlfn.TEXTBEFORE(AU28,"'"))</f>
        <v>11</v>
      </c>
      <c r="DL28" s="1006"/>
      <c r="DM28" s="1005">
        <f t="shared" ref="DM28:DM33" si="36">IF(AW28="","",--_xlfn.TEXTBEFORE(AW28,"'"))</f>
        <v>11</v>
      </c>
      <c r="DN28" s="1006"/>
      <c r="DO28" s="268"/>
      <c r="DP28" s="268"/>
      <c r="DQ28" s="1005">
        <f t="shared" ref="DQ28:DQ33" si="37">IF(DI28=$GS$29,DI28,"")</f>
        <v>11</v>
      </c>
      <c r="DR28" s="1006"/>
      <c r="DS28" s="1005">
        <f t="shared" ref="DS28:DS33" si="38">IF(DK28=$GS$29,DK28,"")</f>
        <v>11</v>
      </c>
      <c r="DT28" s="1006"/>
      <c r="DU28" s="1005">
        <f t="shared" ref="DU28:DU33" si="39">IF(DM28=$GS$29,DM28,"")</f>
        <v>11</v>
      </c>
      <c r="DV28" s="1006"/>
      <c r="DW28" s="268"/>
      <c r="DX28" s="268"/>
      <c r="DY28" s="1005" t="str">
        <f t="shared" ref="DY28:DY33" si="40">IF(DQ28=$GS$29,"",IF(DI28="","",IF(DI28=$GS$29,$AH$17-DI28,$AH$17-$AD$17)))</f>
        <v/>
      </c>
      <c r="DZ28" s="1006"/>
      <c r="EA28" s="1005" t="str">
        <f t="shared" ref="EA28:EA33" si="41">IF(DS28=$GS$29,"",IF(DK28="","",IF(DK28=$GS$29,$AH$17-DK28,$AH$17-$AD$17)))</f>
        <v/>
      </c>
      <c r="EB28" s="1006"/>
      <c r="EC28" s="1005" t="str">
        <f t="shared" ref="EC28:EC33" si="42">IF(DU28=$GS$29,"",IF(DM28="","",IF(DM28=$GS$29,$AH$17-DM28,$AH$17-$AD$17)))</f>
        <v/>
      </c>
      <c r="ED28" s="1006"/>
      <c r="EE28" s="268"/>
      <c r="EF28" s="268"/>
      <c r="EG28" s="1003">
        <f t="shared" ref="EG28:EG33" si="43">IF(DI28="","",$F$17-DI28)</f>
        <v>4</v>
      </c>
      <c r="EH28" s="1004"/>
      <c r="EI28" s="1003">
        <f t="shared" ref="EI28:EI33" si="44">IF(DK28="","",$F$17-DK28)</f>
        <v>4</v>
      </c>
      <c r="EJ28" s="1004"/>
      <c r="EK28" s="1003">
        <f t="shared" ref="EK28:EK33" si="45">IF(DM28="","",$F$17-DM28)</f>
        <v>4</v>
      </c>
      <c r="EL28" s="1004"/>
      <c r="EM28" s="268"/>
      <c r="EN28" s="268"/>
      <c r="EO28" s="724">
        <f>COUNT(DQ28:DV33)</f>
        <v>3</v>
      </c>
      <c r="EP28" s="268"/>
      <c r="EQ28" s="268"/>
      <c r="ER28" s="725">
        <f>IF(EZ31=0,GL28+GO28,0)</f>
        <v>0</v>
      </c>
      <c r="ES28" s="268"/>
      <c r="ET28" s="725">
        <f>EO28+ER28</f>
        <v>3</v>
      </c>
      <c r="EU28" s="268"/>
      <c r="EV28" s="268"/>
      <c r="EW28" s="268"/>
      <c r="EX28" s="718">
        <f>MAX(DY28:ED33)</f>
        <v>0</v>
      </c>
      <c r="EY28" s="320"/>
      <c r="EZ28" s="320"/>
      <c r="FA28" s="320"/>
      <c r="FB28" s="718">
        <f>IF(IFERROR(ROUNDDOWN($F$17/EX28,0),0)&lt;=FU28,IFERROR(ROUNDDOWN($F$17/EX28,0),0),FU28)</f>
        <v>0</v>
      </c>
      <c r="FC28" s="320"/>
      <c r="FD28" s="718">
        <f>FB28*EX28</f>
        <v>0</v>
      </c>
      <c r="FE28" s="320"/>
      <c r="FF28" s="718">
        <f>IF($F$17-FD28=$F$17,0,$F$17-FD28)</f>
        <v>0</v>
      </c>
      <c r="FG28" s="320"/>
      <c r="FH28" s="718">
        <f>IFERROR(ROUNDDOWN(FK28/FD28,0),0)</f>
        <v>0</v>
      </c>
      <c r="FJ28" s="268"/>
      <c r="FK28" s="632">
        <f>SUM(DY28:ED33)</f>
        <v>0</v>
      </c>
      <c r="FM28" s="718">
        <f>IF($F$17-(FK28-FD28)=$F$17,0,$F$17-(FK28-FD28))</f>
        <v>0</v>
      </c>
      <c r="FN28" s="320"/>
      <c r="FO28" s="718">
        <f>IF(FM28=0,0,1)</f>
        <v>0</v>
      </c>
      <c r="FQ28" s="632">
        <f>IFERROR(IF(FF28=0,0,ROUNDUP(FK28/$F$17,0)),0)</f>
        <v>0</v>
      </c>
      <c r="FS28" s="718">
        <f>FQ28*$F$17</f>
        <v>0</v>
      </c>
      <c r="FU28" s="632">
        <f>COUNT(DY28:ED33)</f>
        <v>0</v>
      </c>
      <c r="FV28" s="268"/>
      <c r="FY28" s="720">
        <f>GC28+GF28</f>
        <v>0</v>
      </c>
      <c r="GA28" s="718">
        <f>(GC28*GD28)+(GF28*GG28)</f>
        <v>0</v>
      </c>
      <c r="GC28" s="687">
        <f>FH28</f>
        <v>0</v>
      </c>
      <c r="GD28" s="719">
        <f>FF28</f>
        <v>0</v>
      </c>
      <c r="GE28" s="1" t="s">
        <v>441</v>
      </c>
      <c r="GF28" s="687">
        <f>FO28</f>
        <v>0</v>
      </c>
      <c r="GG28" s="719">
        <f>FM28</f>
        <v>0</v>
      </c>
      <c r="GH28" s="320"/>
      <c r="GI28" s="320"/>
      <c r="GJ28" s="718">
        <f>IF($EZ$31=0,GA28,GA31)</f>
        <v>12</v>
      </c>
      <c r="GL28" s="718">
        <f>IF($EZ$31=0,GC28,GC31)</f>
        <v>3</v>
      </c>
      <c r="GM28" s="718">
        <f>IF($EZ$31=0,GD28,GD31)</f>
        <v>4</v>
      </c>
      <c r="GN28" s="1" t="s">
        <v>441</v>
      </c>
      <c r="GO28" s="718">
        <f>IF($EZ$31=0,GF28,GF31)</f>
        <v>0</v>
      </c>
      <c r="GP28" s="718">
        <f>IF($EZ$31=0,GG28,GG31)</f>
        <v>0</v>
      </c>
      <c r="GQ28" s="320"/>
      <c r="GY28" s="1271" t="str">
        <f>"Total " &amp; GJ28&amp; "'"</f>
        <v>Total 12'</v>
      </c>
      <c r="GZ28" s="1272"/>
      <c r="HA28" s="12"/>
      <c r="HB28" s="1"/>
      <c r="HC28" s="1"/>
      <c r="HD28" s="1"/>
      <c r="HE28" s="1"/>
      <c r="HF28" s="1"/>
      <c r="HG28" s="1"/>
      <c r="HH28" s="1"/>
      <c r="HI28" s="1"/>
      <c r="HJ28" s="1"/>
      <c r="HK28" s="1"/>
      <c r="HL28" s="1"/>
      <c r="HM28" s="1"/>
      <c r="HN28" s="1"/>
      <c r="HO28" s="1"/>
      <c r="HP28" s="1"/>
      <c r="HQ28" s="1"/>
      <c r="HR28" s="1"/>
      <c r="HS28" s="1"/>
      <c r="HT28" s="1"/>
      <c r="HU28" s="1"/>
      <c r="HV28" s="1"/>
      <c r="HW28" s="47"/>
      <c r="HX28" s="532"/>
      <c r="IG28" s="47"/>
    </row>
    <row r="29" spans="3:241">
      <c r="C29" s="532"/>
      <c r="AS29" s="1225" t="str">
        <f t="shared" si="17"/>
        <v/>
      </c>
      <c r="AT29" s="1289"/>
      <c r="AU29" s="1225" t="str">
        <f t="shared" si="18"/>
        <v/>
      </c>
      <c r="AV29" s="1289"/>
      <c r="AW29" s="1225" t="str">
        <f t="shared" si="19"/>
        <v/>
      </c>
      <c r="AX29" s="1289"/>
      <c r="AY29" s="455">
        <f>GY29</f>
        <v>3</v>
      </c>
      <c r="AZ29" s="456" t="str">
        <f>GZ29</f>
        <v>4' rolls</v>
      </c>
      <c r="BB29" s="740" t="str">
        <f t="shared" ref="BB29:BF33" si="46">IF(BB15="","",REPT(CHAR(160),13+(2*(2/LEN(_xlfn.TEXTBEFORE(BB15,"'")))))&amp;_xlfn.TEXTBEFORE(BB15,"'"))</f>
        <v/>
      </c>
      <c r="BC29" s="734" t="str">
        <f t="shared" si="20"/>
        <v>                  ┃          ┃</v>
      </c>
      <c r="BD29" s="734" t="str">
        <f t="shared" si="46"/>
        <v/>
      </c>
      <c r="BE29" s="734" t="str">
        <f t="shared" si="21"/>
        <v>                  ┃          ┃</v>
      </c>
      <c r="BF29" s="734" t="str">
        <f t="shared" si="46"/>
        <v/>
      </c>
      <c r="BG29" s="735" t="str">
        <f t="shared" si="22"/>
        <v>                  ┃          ┃</v>
      </c>
      <c r="BH29" s="738">
        <f>BH15</f>
        <v>1</v>
      </c>
      <c r="BI29" s="44" t="str">
        <f>BI15</f>
        <v>19' rolls</v>
      </c>
      <c r="BW29" s="1260">
        <f t="shared" si="16"/>
        <v>0</v>
      </c>
      <c r="BX29" s="1226"/>
      <c r="BY29" s="995">
        <f t="shared" si="23"/>
        <v>0</v>
      </c>
      <c r="BZ29" s="1226"/>
      <c r="CA29" s="995">
        <f t="shared" si="24"/>
        <v>0</v>
      </c>
      <c r="CB29" s="1226"/>
      <c r="CC29" s="637">
        <f>IF($AP$26=TRUE,AY29,0)</f>
        <v>0</v>
      </c>
      <c r="CD29" s="44">
        <f>IF($AP$26=TRUE,AZ29,0)</f>
        <v>0</v>
      </c>
      <c r="CF29" s="740" t="str">
        <f t="shared" si="25"/>
        <v/>
      </c>
      <c r="CG29" s="734" t="str">
        <f t="shared" si="26"/>
        <v>                  ┃          ┃</v>
      </c>
      <c r="CH29" s="734" t="str">
        <f t="shared" si="27"/>
        <v/>
      </c>
      <c r="CI29" s="734" t="str">
        <f t="shared" si="28"/>
        <v>                  ┃          ┃</v>
      </c>
      <c r="CJ29" s="734" t="str">
        <f t="shared" si="29"/>
        <v/>
      </c>
      <c r="CK29" s="735" t="str">
        <f t="shared" si="30"/>
        <v>                  ┃          ┃</v>
      </c>
      <c r="CL29" s="738">
        <f>CL15</f>
        <v>1</v>
      </c>
      <c r="CM29" s="44" t="str">
        <f>CM15</f>
        <v>19' rolls</v>
      </c>
      <c r="DA29" s="1005">
        <f t="shared" si="31"/>
        <v>0</v>
      </c>
      <c r="DB29" s="1006"/>
      <c r="DC29" s="1005">
        <f t="shared" si="32"/>
        <v>0</v>
      </c>
      <c r="DD29" s="1006"/>
      <c r="DE29" s="1005">
        <f t="shared" si="33"/>
        <v>0</v>
      </c>
      <c r="DF29" s="1006"/>
      <c r="DG29" s="268"/>
      <c r="DI29" s="1005" t="str">
        <f t="shared" si="34"/>
        <v/>
      </c>
      <c r="DJ29" s="1006"/>
      <c r="DK29" s="1005" t="str">
        <f t="shared" si="35"/>
        <v/>
      </c>
      <c r="DL29" s="1006"/>
      <c r="DM29" s="1005" t="str">
        <f t="shared" si="36"/>
        <v/>
      </c>
      <c r="DN29" s="1006"/>
      <c r="DO29" s="268"/>
      <c r="DP29" s="268"/>
      <c r="DQ29" s="1005" t="str">
        <f t="shared" si="37"/>
        <v/>
      </c>
      <c r="DR29" s="1006"/>
      <c r="DS29" s="1005" t="str">
        <f t="shared" si="38"/>
        <v/>
      </c>
      <c r="DT29" s="1006"/>
      <c r="DU29" s="1005" t="str">
        <f t="shared" si="39"/>
        <v/>
      </c>
      <c r="DV29" s="1006"/>
      <c r="DX29" s="268"/>
      <c r="DY29" s="1005" t="str">
        <f t="shared" si="40"/>
        <v/>
      </c>
      <c r="DZ29" s="1006"/>
      <c r="EA29" s="1005" t="str">
        <f t="shared" si="41"/>
        <v/>
      </c>
      <c r="EB29" s="1006"/>
      <c r="EC29" s="1005" t="str">
        <f t="shared" si="42"/>
        <v/>
      </c>
      <c r="ED29" s="1006"/>
      <c r="EE29" s="268"/>
      <c r="EF29" s="268"/>
      <c r="EG29" s="1003" t="str">
        <f t="shared" si="43"/>
        <v/>
      </c>
      <c r="EH29" s="1004"/>
      <c r="EI29" s="1003" t="str">
        <f t="shared" si="44"/>
        <v/>
      </c>
      <c r="EJ29" s="1004"/>
      <c r="EK29" s="1003" t="str">
        <f t="shared" si="45"/>
        <v/>
      </c>
      <c r="EL29" s="1004"/>
      <c r="EM29" s="268"/>
      <c r="EN29" s="268"/>
      <c r="EO29" s="268"/>
      <c r="EP29" s="268"/>
      <c r="EQ29" s="268"/>
      <c r="ER29" s="268"/>
      <c r="ES29" s="268"/>
      <c r="ET29" s="268"/>
      <c r="EU29" s="268"/>
      <c r="EV29" s="268"/>
      <c r="EW29" s="268"/>
      <c r="FV29" s="268"/>
      <c r="FY29" s="268"/>
      <c r="GC29" s="268"/>
      <c r="GD29" s="268"/>
      <c r="GE29" s="268"/>
      <c r="GF29" s="268"/>
      <c r="GG29" s="268"/>
      <c r="GH29" s="268"/>
      <c r="GI29" s="268"/>
      <c r="GJ29" s="268"/>
      <c r="GK29" s="268"/>
      <c r="GL29" s="268"/>
      <c r="GM29" s="268"/>
      <c r="GN29" s="268"/>
      <c r="GO29" s="268"/>
      <c r="GP29" s="268"/>
      <c r="GQ29" s="268"/>
      <c r="GS29" s="724">
        <f>MAX(DI28:DJ33)</f>
        <v>11</v>
      </c>
      <c r="GY29" s="723">
        <f>GL28</f>
        <v>3</v>
      </c>
      <c r="GZ29" s="649" t="str">
        <f>""&amp;GM28&amp;"' rolls"</f>
        <v>4' rolls</v>
      </c>
      <c r="HA29" s="12"/>
      <c r="HB29" s="1"/>
      <c r="HC29" s="1"/>
      <c r="HD29" s="1"/>
      <c r="HE29" s="1"/>
      <c r="HF29" s="1"/>
      <c r="HG29" s="1"/>
      <c r="HH29" s="1"/>
      <c r="HI29" s="1"/>
      <c r="HJ29" s="1"/>
      <c r="HK29" s="1"/>
      <c r="HL29" s="1"/>
      <c r="HM29" s="1"/>
      <c r="HN29" s="1"/>
      <c r="HO29" s="1"/>
      <c r="HP29" s="1"/>
      <c r="HQ29" s="1"/>
      <c r="HR29" s="1"/>
      <c r="HS29" s="1"/>
      <c r="HT29" s="1"/>
      <c r="HU29" s="1"/>
      <c r="HV29" s="1"/>
      <c r="HW29" s="47"/>
      <c r="HX29" s="532"/>
      <c r="IG29" s="47"/>
    </row>
    <row r="30" spans="3:241">
      <c r="C30" s="532"/>
      <c r="AS30" s="1225" t="str">
        <f t="shared" si="17"/>
        <v/>
      </c>
      <c r="AT30" s="1289"/>
      <c r="AU30" s="1225" t="str">
        <f t="shared" si="18"/>
        <v/>
      </c>
      <c r="AV30" s="1289"/>
      <c r="AW30" s="1225" t="str">
        <f t="shared" si="19"/>
        <v/>
      </c>
      <c r="AX30" s="1289"/>
      <c r="AY30" s="653">
        <f>GY30</f>
        <v>0</v>
      </c>
      <c r="AZ30" s="598" t="str">
        <f>GZ30</f>
        <v>0' rolls</v>
      </c>
      <c r="BB30" s="740" t="str">
        <f t="shared" si="46"/>
        <v/>
      </c>
      <c r="BC30" s="734" t="str">
        <f t="shared" si="20"/>
        <v>                  ┃          ┃</v>
      </c>
      <c r="BD30" s="734" t="str">
        <f t="shared" si="46"/>
        <v/>
      </c>
      <c r="BE30" s="734" t="str">
        <f t="shared" si="21"/>
        <v>                  ┃          ┃</v>
      </c>
      <c r="BF30" s="734" t="str">
        <f t="shared" si="46"/>
        <v/>
      </c>
      <c r="BG30" s="735" t="str">
        <f t="shared" si="22"/>
        <v>                  ┃          ┃</v>
      </c>
      <c r="BH30" s="670">
        <f>BH16</f>
        <v>1</v>
      </c>
      <c r="BI30" s="633" t="str">
        <f>BI16</f>
        <v>-8' rolls</v>
      </c>
      <c r="BW30" s="1260">
        <f t="shared" si="16"/>
        <v>0</v>
      </c>
      <c r="BX30" s="1226"/>
      <c r="BY30" s="995">
        <f t="shared" si="23"/>
        <v>0</v>
      </c>
      <c r="BZ30" s="1226"/>
      <c r="CA30" s="995">
        <f t="shared" si="24"/>
        <v>0</v>
      </c>
      <c r="CB30" s="1226"/>
      <c r="CC30" s="642">
        <f>IF($AP$26=TRUE,AY30,0)</f>
        <v>0</v>
      </c>
      <c r="CD30" s="633">
        <f>IF($AP$26=TRUE,AZ30,0)</f>
        <v>0</v>
      </c>
      <c r="CF30" s="740" t="str">
        <f t="shared" si="25"/>
        <v/>
      </c>
      <c r="CG30" s="734" t="str">
        <f t="shared" si="26"/>
        <v>                  ┃          ┃</v>
      </c>
      <c r="CH30" s="734" t="str">
        <f t="shared" si="27"/>
        <v/>
      </c>
      <c r="CI30" s="734" t="str">
        <f t="shared" si="28"/>
        <v>                  ┃          ┃</v>
      </c>
      <c r="CJ30" s="734" t="str">
        <f t="shared" si="29"/>
        <v/>
      </c>
      <c r="CK30" s="735" t="str">
        <f t="shared" si="30"/>
        <v>                  ┃          ┃</v>
      </c>
      <c r="CL30" s="670">
        <f>CL16</f>
        <v>1</v>
      </c>
      <c r="CM30" s="633" t="str">
        <f>CM16</f>
        <v>-8' rolls</v>
      </c>
      <c r="DA30" s="1005">
        <f t="shared" si="31"/>
        <v>0</v>
      </c>
      <c r="DB30" s="1006"/>
      <c r="DC30" s="1005">
        <f t="shared" si="32"/>
        <v>0</v>
      </c>
      <c r="DD30" s="1006"/>
      <c r="DE30" s="1005">
        <f t="shared" si="33"/>
        <v>0</v>
      </c>
      <c r="DF30" s="1006"/>
      <c r="DG30" s="268"/>
      <c r="DI30" s="1005" t="str">
        <f t="shared" si="34"/>
        <v/>
      </c>
      <c r="DJ30" s="1006"/>
      <c r="DK30" s="1005" t="str">
        <f t="shared" si="35"/>
        <v/>
      </c>
      <c r="DL30" s="1006"/>
      <c r="DM30" s="1005" t="str">
        <f t="shared" si="36"/>
        <v/>
      </c>
      <c r="DN30" s="1006"/>
      <c r="DO30" s="268"/>
      <c r="DP30" s="268"/>
      <c r="DQ30" s="1005" t="str">
        <f t="shared" si="37"/>
        <v/>
      </c>
      <c r="DR30" s="1006"/>
      <c r="DS30" s="1005" t="str">
        <f t="shared" si="38"/>
        <v/>
      </c>
      <c r="DT30" s="1006"/>
      <c r="DU30" s="1005" t="str">
        <f t="shared" si="39"/>
        <v/>
      </c>
      <c r="DV30" s="1006"/>
      <c r="DW30" s="268"/>
      <c r="DX30" s="268"/>
      <c r="DY30" s="1005" t="str">
        <f t="shared" si="40"/>
        <v/>
      </c>
      <c r="DZ30" s="1006"/>
      <c r="EA30" s="1005" t="str">
        <f t="shared" si="41"/>
        <v/>
      </c>
      <c r="EB30" s="1006"/>
      <c r="EC30" s="1005" t="str">
        <f t="shared" si="42"/>
        <v/>
      </c>
      <c r="ED30" s="1006"/>
      <c r="EE30" s="268"/>
      <c r="EF30" s="268"/>
      <c r="EG30" s="1003" t="str">
        <f t="shared" si="43"/>
        <v/>
      </c>
      <c r="EH30" s="1004"/>
      <c r="EI30" s="1003" t="str">
        <f t="shared" si="44"/>
        <v/>
      </c>
      <c r="EJ30" s="1004"/>
      <c r="EK30" s="1003" t="str">
        <f t="shared" si="45"/>
        <v/>
      </c>
      <c r="EL30" s="1004"/>
      <c r="EM30" s="268"/>
      <c r="EN30" s="268"/>
      <c r="EO30" s="268"/>
      <c r="EP30" s="268"/>
      <c r="EQ30" s="268"/>
      <c r="ER30" s="268"/>
      <c r="ES30" s="268"/>
      <c r="ET30" s="268"/>
      <c r="EU30" s="268"/>
      <c r="EV30" s="268"/>
      <c r="EW30" s="268"/>
      <c r="FV30" s="268"/>
      <c r="GY30" s="722">
        <f>GO28</f>
        <v>0</v>
      </c>
      <c r="GZ30" s="13" t="str">
        <f>""&amp;GP28&amp;"' rolls"</f>
        <v>0' rolls</v>
      </c>
      <c r="HA30" s="12"/>
      <c r="HB30" s="1"/>
      <c r="HC30" s="1"/>
      <c r="HD30" s="1"/>
      <c r="HE30" s="1"/>
      <c r="HF30" s="1"/>
      <c r="HG30" s="1"/>
      <c r="HH30" s="1"/>
      <c r="HI30" s="1"/>
      <c r="HJ30" s="1"/>
      <c r="HK30" s="1"/>
      <c r="HL30" s="1"/>
      <c r="HM30" s="1"/>
      <c r="HN30" s="1"/>
      <c r="HO30" s="1"/>
      <c r="HP30" s="1"/>
      <c r="HQ30" s="1"/>
      <c r="HR30" s="1"/>
      <c r="HS30" s="1"/>
      <c r="HT30" s="1"/>
      <c r="HU30" s="1"/>
      <c r="HV30" s="1"/>
      <c r="HW30" s="47"/>
      <c r="HX30" s="532"/>
      <c r="IG30" s="47"/>
    </row>
    <row r="31" spans="3:241">
      <c r="C31" s="532"/>
      <c r="AS31" s="1225" t="str">
        <f t="shared" si="17"/>
        <v/>
      </c>
      <c r="AT31" s="1289"/>
      <c r="AU31" s="1225" t="str">
        <f t="shared" si="18"/>
        <v/>
      </c>
      <c r="AV31" s="1289"/>
      <c r="AW31" s="1225" t="str">
        <f t="shared" si="19"/>
        <v/>
      </c>
      <c r="AX31" s="1289"/>
      <c r="BB31" s="740" t="str">
        <f t="shared" si="46"/>
        <v/>
      </c>
      <c r="BC31" s="734" t="str">
        <f t="shared" si="20"/>
        <v>                  ┃          ┃</v>
      </c>
      <c r="BD31" s="734" t="str">
        <f t="shared" si="46"/>
        <v/>
      </c>
      <c r="BE31" s="734" t="str">
        <f t="shared" si="21"/>
        <v>                  ┃          ┃</v>
      </c>
      <c r="BF31" s="734" t="str">
        <f t="shared" si="46"/>
        <v/>
      </c>
      <c r="BG31" s="735" t="str">
        <f t="shared" si="22"/>
        <v>                  ┃          ┃</v>
      </c>
      <c r="BH31" s="1231" t="s">
        <v>610</v>
      </c>
      <c r="BI31" s="1232"/>
      <c r="BW31" s="1260">
        <f t="shared" si="16"/>
        <v>0</v>
      </c>
      <c r="BX31" s="1226"/>
      <c r="BY31" s="995">
        <f t="shared" si="23"/>
        <v>0</v>
      </c>
      <c r="BZ31" s="1226"/>
      <c r="CA31" s="995">
        <f t="shared" si="24"/>
        <v>0</v>
      </c>
      <c r="CB31" s="1226"/>
      <c r="CF31" s="740" t="str">
        <f t="shared" si="25"/>
        <v/>
      </c>
      <c r="CG31" s="734" t="str">
        <f t="shared" si="26"/>
        <v>                  ┃          ┃</v>
      </c>
      <c r="CH31" s="734" t="str">
        <f t="shared" si="27"/>
        <v/>
      </c>
      <c r="CI31" s="734" t="str">
        <f t="shared" si="28"/>
        <v>                  ┃          ┃</v>
      </c>
      <c r="CJ31" s="734" t="str">
        <f t="shared" si="29"/>
        <v/>
      </c>
      <c r="CK31" s="735" t="str">
        <f t="shared" si="30"/>
        <v>                  ┃          ┃</v>
      </c>
      <c r="CL31" s="1230" t="s">
        <v>610</v>
      </c>
      <c r="CM31" s="1232"/>
      <c r="DA31" s="1005">
        <f t="shared" si="31"/>
        <v>0</v>
      </c>
      <c r="DB31" s="1006"/>
      <c r="DC31" s="1005">
        <f t="shared" si="32"/>
        <v>0</v>
      </c>
      <c r="DD31" s="1006"/>
      <c r="DE31" s="1005">
        <f t="shared" si="33"/>
        <v>0</v>
      </c>
      <c r="DF31" s="1006"/>
      <c r="DG31" s="268"/>
      <c r="DI31" s="1005" t="str">
        <f t="shared" si="34"/>
        <v/>
      </c>
      <c r="DJ31" s="1006"/>
      <c r="DK31" s="1005" t="str">
        <f t="shared" si="35"/>
        <v/>
      </c>
      <c r="DL31" s="1006"/>
      <c r="DM31" s="1005" t="str">
        <f t="shared" si="36"/>
        <v/>
      </c>
      <c r="DN31" s="1006"/>
      <c r="DO31" s="268"/>
      <c r="DP31" s="268"/>
      <c r="DQ31" s="1005" t="str">
        <f t="shared" si="37"/>
        <v/>
      </c>
      <c r="DR31" s="1006"/>
      <c r="DS31" s="1005" t="str">
        <f t="shared" si="38"/>
        <v/>
      </c>
      <c r="DT31" s="1006"/>
      <c r="DU31" s="1005" t="str">
        <f t="shared" si="39"/>
        <v/>
      </c>
      <c r="DV31" s="1006"/>
      <c r="DW31" s="268"/>
      <c r="DX31" s="268"/>
      <c r="DY31" s="1005" t="str">
        <f t="shared" si="40"/>
        <v/>
      </c>
      <c r="DZ31" s="1006"/>
      <c r="EA31" s="1005" t="str">
        <f t="shared" si="41"/>
        <v/>
      </c>
      <c r="EB31" s="1006"/>
      <c r="EC31" s="1005" t="str">
        <f t="shared" si="42"/>
        <v/>
      </c>
      <c r="ED31" s="1006"/>
      <c r="EE31" s="268"/>
      <c r="EF31" s="268"/>
      <c r="EG31" s="1003" t="str">
        <f t="shared" si="43"/>
        <v/>
      </c>
      <c r="EH31" s="1004"/>
      <c r="EI31" s="1003" t="str">
        <f t="shared" si="44"/>
        <v/>
      </c>
      <c r="EJ31" s="1004"/>
      <c r="EK31" s="1003" t="str">
        <f t="shared" si="45"/>
        <v/>
      </c>
      <c r="EL31" s="1004"/>
      <c r="EM31" s="268"/>
      <c r="EN31" s="268"/>
      <c r="EO31" s="268"/>
      <c r="EP31" s="268"/>
      <c r="EQ31" s="268"/>
      <c r="ER31" s="268"/>
      <c r="ES31" s="268"/>
      <c r="ET31" s="268"/>
      <c r="EU31" s="268"/>
      <c r="EV31" s="268"/>
      <c r="EW31" s="268"/>
      <c r="EX31" s="718">
        <f>MAX(EG28:EL33)</f>
        <v>4</v>
      </c>
      <c r="EY31" s="320"/>
      <c r="EZ31" s="718">
        <f>IF(EX28+EX31=$F$17,0,EX31)</f>
        <v>4</v>
      </c>
      <c r="FA31" s="320"/>
      <c r="FB31" s="718">
        <f>IF(IFERROR(ROUNDDOWN($F$17/EZ31,0),0)&lt;=FU31,IFERROR(ROUNDDOWN($F$17/EZ31,0),0),FU31)</f>
        <v>3</v>
      </c>
      <c r="FC31" s="320"/>
      <c r="FD31" s="718">
        <f>FB31*EZ31</f>
        <v>12</v>
      </c>
      <c r="FE31" s="320"/>
      <c r="FF31" s="718">
        <f>EZ31</f>
        <v>4</v>
      </c>
      <c r="FG31" s="320"/>
      <c r="FH31" s="718">
        <f>FB31</f>
        <v>3</v>
      </c>
      <c r="FJ31" s="268"/>
      <c r="FK31" s="718">
        <f>IF(EZ31=0,0,SUM(EG28:EL33))</f>
        <v>12</v>
      </c>
      <c r="FM31" s="718">
        <f>IF($F$17-(FK31-FD31)=$F$17,0,$F$17-(FK31-FD31))</f>
        <v>0</v>
      </c>
      <c r="FN31" s="320"/>
      <c r="FO31" s="718">
        <f>IF(FM31=0,0,1)</f>
        <v>0</v>
      </c>
      <c r="FQ31" s="632">
        <f>IFERROR(IF(FF31=0,0,ROUNDUP(FK31/$F$17,0)),0)</f>
        <v>1</v>
      </c>
      <c r="FS31" s="718">
        <f>FQ31*$F$17</f>
        <v>15</v>
      </c>
      <c r="FU31" s="632">
        <f>COUNT(EG28:EL33)</f>
        <v>3</v>
      </c>
      <c r="FV31" s="268"/>
      <c r="FY31" s="720">
        <f>GC31+GF31</f>
        <v>3</v>
      </c>
      <c r="GA31" s="718">
        <f>(GC31*GD31)+(GF31*GG31)</f>
        <v>12</v>
      </c>
      <c r="GC31" s="687">
        <f>FH31</f>
        <v>3</v>
      </c>
      <c r="GD31" s="719">
        <f>FF31</f>
        <v>4</v>
      </c>
      <c r="GE31" s="1" t="s">
        <v>441</v>
      </c>
      <c r="GF31" s="687">
        <f>FO31</f>
        <v>0</v>
      </c>
      <c r="GG31" s="719">
        <f>FM31</f>
        <v>0</v>
      </c>
      <c r="GH31" s="268"/>
      <c r="GI31" s="268"/>
      <c r="GJ31" s="268"/>
      <c r="GK31" s="268"/>
      <c r="GL31" s="268"/>
      <c r="GM31" s="268"/>
      <c r="GN31" s="268"/>
      <c r="GO31" s="268"/>
      <c r="GP31" s="268"/>
      <c r="GQ31" s="268"/>
      <c r="HA31" s="12"/>
      <c r="HB31" s="1"/>
      <c r="HC31" s="1"/>
      <c r="HD31" s="1"/>
      <c r="HE31" s="1"/>
      <c r="HF31" s="1"/>
      <c r="HG31" s="1"/>
      <c r="HH31" s="1"/>
      <c r="HI31" s="1"/>
      <c r="HJ31" s="1"/>
      <c r="HK31" s="1"/>
      <c r="HL31" s="1"/>
      <c r="HM31" s="1"/>
      <c r="HN31" s="1"/>
      <c r="HO31" s="1"/>
      <c r="HP31" s="1"/>
      <c r="HQ31" s="1"/>
      <c r="HR31" s="1"/>
      <c r="HS31" s="1"/>
      <c r="HT31" s="1"/>
      <c r="HU31" s="1"/>
      <c r="HV31" s="1"/>
      <c r="HW31" s="47"/>
      <c r="HX31" s="532"/>
      <c r="IG31" s="47"/>
    </row>
    <row r="32" spans="3:241">
      <c r="C32" s="532"/>
      <c r="AS32" s="1225" t="str">
        <f t="shared" si="17"/>
        <v/>
      </c>
      <c r="AT32" s="1289"/>
      <c r="AU32" s="1225" t="str">
        <f t="shared" si="18"/>
        <v/>
      </c>
      <c r="AV32" s="1289"/>
      <c r="AW32" s="1225" t="str">
        <f t="shared" si="19"/>
        <v/>
      </c>
      <c r="AX32" s="1289"/>
      <c r="BB32" s="740" t="str">
        <f t="shared" si="46"/>
        <v/>
      </c>
      <c r="BC32" s="734" t="str">
        <f t="shared" si="20"/>
        <v>                  ┃          ┃</v>
      </c>
      <c r="BD32" s="734" t="str">
        <f t="shared" si="46"/>
        <v/>
      </c>
      <c r="BE32" s="734" t="str">
        <f t="shared" si="21"/>
        <v>                  ┃          ┃</v>
      </c>
      <c r="BF32" s="734" t="str">
        <f t="shared" si="46"/>
        <v/>
      </c>
      <c r="BG32" s="735" t="str">
        <f t="shared" si="22"/>
        <v>                  ┃          ┃</v>
      </c>
      <c r="BH32" s="656" t="s">
        <v>611</v>
      </c>
      <c r="BI32" s="683">
        <f>BI18</f>
        <v>3</v>
      </c>
      <c r="BW32" s="1260">
        <f t="shared" si="16"/>
        <v>0</v>
      </c>
      <c r="BX32" s="1226"/>
      <c r="BY32" s="995">
        <f t="shared" si="23"/>
        <v>0</v>
      </c>
      <c r="BZ32" s="1226"/>
      <c r="CA32" s="995">
        <f t="shared" si="24"/>
        <v>0</v>
      </c>
      <c r="CB32" s="1226"/>
      <c r="CF32" s="740" t="str">
        <f t="shared" si="25"/>
        <v/>
      </c>
      <c r="CG32" s="734" t="str">
        <f t="shared" si="26"/>
        <v>                  ┃          ┃</v>
      </c>
      <c r="CH32" s="734" t="str">
        <f t="shared" si="27"/>
        <v/>
      </c>
      <c r="CI32" s="734" t="str">
        <f t="shared" si="28"/>
        <v>                  ┃          ┃</v>
      </c>
      <c r="CJ32" s="734" t="str">
        <f t="shared" si="29"/>
        <v/>
      </c>
      <c r="CK32" s="735" t="str">
        <f t="shared" si="30"/>
        <v>                  ┃          ┃</v>
      </c>
      <c r="CL32" s="655" t="s">
        <v>611</v>
      </c>
      <c r="CM32" s="683">
        <f>CM18</f>
        <v>3</v>
      </c>
      <c r="DA32" s="1005">
        <f t="shared" si="31"/>
        <v>0</v>
      </c>
      <c r="DB32" s="1006"/>
      <c r="DC32" s="1005">
        <f t="shared" si="32"/>
        <v>0</v>
      </c>
      <c r="DD32" s="1006"/>
      <c r="DE32" s="1005">
        <f t="shared" si="33"/>
        <v>0</v>
      </c>
      <c r="DF32" s="1006"/>
      <c r="DG32" s="268"/>
      <c r="DI32" s="1005" t="str">
        <f t="shared" si="34"/>
        <v/>
      </c>
      <c r="DJ32" s="1006"/>
      <c r="DK32" s="1005" t="str">
        <f t="shared" si="35"/>
        <v/>
      </c>
      <c r="DL32" s="1006"/>
      <c r="DM32" s="1005" t="str">
        <f t="shared" si="36"/>
        <v/>
      </c>
      <c r="DN32" s="1006"/>
      <c r="DO32" s="268"/>
      <c r="DP32" s="268"/>
      <c r="DQ32" s="1005" t="str">
        <f t="shared" si="37"/>
        <v/>
      </c>
      <c r="DR32" s="1006"/>
      <c r="DS32" s="1005" t="str">
        <f t="shared" si="38"/>
        <v/>
      </c>
      <c r="DT32" s="1006"/>
      <c r="DU32" s="1005" t="str">
        <f t="shared" si="39"/>
        <v/>
      </c>
      <c r="DV32" s="1006"/>
      <c r="DW32" s="268"/>
      <c r="DX32" s="268"/>
      <c r="DY32" s="1005" t="str">
        <f t="shared" si="40"/>
        <v/>
      </c>
      <c r="DZ32" s="1006"/>
      <c r="EA32" s="1005" t="str">
        <f t="shared" si="41"/>
        <v/>
      </c>
      <c r="EB32" s="1006"/>
      <c r="EC32" s="1005" t="str">
        <f t="shared" si="42"/>
        <v/>
      </c>
      <c r="ED32" s="1006"/>
      <c r="EE32" s="268"/>
      <c r="EF32" s="268"/>
      <c r="EG32" s="1003" t="str">
        <f t="shared" si="43"/>
        <v/>
      </c>
      <c r="EH32" s="1004"/>
      <c r="EI32" s="1003" t="str">
        <f t="shared" si="44"/>
        <v/>
      </c>
      <c r="EJ32" s="1004"/>
      <c r="EK32" s="1003" t="str">
        <f t="shared" si="45"/>
        <v/>
      </c>
      <c r="EL32" s="1004"/>
      <c r="EM32" s="268"/>
      <c r="EN32" s="268"/>
      <c r="EO32" s="268"/>
      <c r="EP32" s="268"/>
      <c r="EQ32" s="268"/>
      <c r="ER32" s="268"/>
      <c r="ES32" s="268"/>
      <c r="ET32" s="268"/>
      <c r="EU32" s="268"/>
      <c r="EV32" s="268"/>
      <c r="EW32" s="268"/>
      <c r="EX32" s="268"/>
      <c r="EY32" s="268"/>
      <c r="EZ32" s="268"/>
      <c r="FA32" s="268"/>
      <c r="FB32" s="268"/>
      <c r="FC32" s="268"/>
      <c r="FD32" s="268"/>
      <c r="FE32" s="268"/>
      <c r="FF32" s="268"/>
      <c r="FG32" s="268"/>
      <c r="FJ32" s="268"/>
      <c r="FK32" s="268"/>
      <c r="FL32" s="268"/>
      <c r="FM32" s="268"/>
      <c r="FN32" s="268"/>
      <c r="FO32" s="268"/>
      <c r="FP32" s="268"/>
      <c r="FQ32" s="268"/>
      <c r="FR32" s="268"/>
      <c r="FS32" s="268"/>
      <c r="FT32" s="268"/>
      <c r="FU32" s="268"/>
      <c r="FV32" s="268"/>
      <c r="FY32" s="268"/>
      <c r="FZ32" s="268"/>
      <c r="GC32" s="268"/>
      <c r="GD32" s="268"/>
      <c r="GE32" s="268"/>
      <c r="GF32" s="268"/>
      <c r="GG32" s="268"/>
      <c r="GH32" s="268"/>
      <c r="GI32" s="268"/>
      <c r="GJ32" s="268"/>
      <c r="GK32" s="268"/>
      <c r="GL32" s="268"/>
      <c r="GM32" s="268"/>
      <c r="GN32" s="268"/>
      <c r="GO32" s="268"/>
      <c r="GP32" s="268"/>
      <c r="GQ32" s="268"/>
      <c r="HA32" s="47"/>
      <c r="HW32" s="47"/>
      <c r="HX32" s="532"/>
      <c r="IG32" s="47"/>
    </row>
    <row r="33" spans="3:241">
      <c r="C33" s="532"/>
      <c r="AS33" s="1227" t="str">
        <f t="shared" si="17"/>
        <v/>
      </c>
      <c r="AT33" s="1290"/>
      <c r="AU33" s="1227" t="str">
        <f t="shared" si="18"/>
        <v/>
      </c>
      <c r="AV33" s="1290"/>
      <c r="AW33" s="1227" t="str">
        <f t="shared" si="19"/>
        <v/>
      </c>
      <c r="AX33" s="1290"/>
      <c r="AY33" t="s">
        <v>506</v>
      </c>
      <c r="AZ33" s="726">
        <f>ET28</f>
        <v>3</v>
      </c>
      <c r="BB33" s="741" t="str">
        <f t="shared" si="46"/>
        <v/>
      </c>
      <c r="BC33" s="742" t="str">
        <f t="shared" si="20"/>
        <v>                  ┃          ┃</v>
      </c>
      <c r="BD33" s="742" t="str">
        <f t="shared" si="46"/>
        <v/>
      </c>
      <c r="BE33" s="742" t="str">
        <f t="shared" si="21"/>
        <v>                  ┃          ┃</v>
      </c>
      <c r="BF33" s="742" t="str">
        <f t="shared" si="46"/>
        <v/>
      </c>
      <c r="BG33" s="736" t="str">
        <f t="shared" si="22"/>
        <v>                  ┃          ┃</v>
      </c>
      <c r="BH33" s="745">
        <f>BH19</f>
        <v>12</v>
      </c>
      <c r="BI33" s="552">
        <f>BI19</f>
        <v>30</v>
      </c>
      <c r="BW33" s="1257">
        <f t="shared" si="16"/>
        <v>0</v>
      </c>
      <c r="BX33" s="1229"/>
      <c r="BY33" s="1228">
        <f t="shared" si="23"/>
        <v>0</v>
      </c>
      <c r="BZ33" s="1229"/>
      <c r="CA33" s="1228">
        <f t="shared" si="24"/>
        <v>0</v>
      </c>
      <c r="CB33" s="1229"/>
      <c r="CC33" t="s">
        <v>506</v>
      </c>
      <c r="CD33">
        <f>IF($AP$26=TRUE,AZ33,0)</f>
        <v>0</v>
      </c>
      <c r="CF33" s="741" t="str">
        <f t="shared" si="25"/>
        <v/>
      </c>
      <c r="CG33" s="742" t="str">
        <f t="shared" si="26"/>
        <v>                  ┃          ┃</v>
      </c>
      <c r="CH33" s="742" t="str">
        <f t="shared" si="27"/>
        <v/>
      </c>
      <c r="CI33" s="742" t="str">
        <f t="shared" si="28"/>
        <v>                  ┃          ┃</v>
      </c>
      <c r="CJ33" s="742" t="str">
        <f t="shared" si="29"/>
        <v/>
      </c>
      <c r="CK33" s="736" t="str">
        <f t="shared" si="30"/>
        <v>                  ┃          ┃</v>
      </c>
      <c r="CL33" s="717">
        <f>CL19</f>
        <v>12</v>
      </c>
      <c r="CM33" s="552">
        <f>CM19</f>
        <v>30</v>
      </c>
      <c r="DA33" s="1005">
        <f t="shared" si="31"/>
        <v>0</v>
      </c>
      <c r="DB33" s="1006"/>
      <c r="DC33" s="1005">
        <f t="shared" si="32"/>
        <v>0</v>
      </c>
      <c r="DD33" s="1006"/>
      <c r="DE33" s="1005">
        <f t="shared" si="33"/>
        <v>0</v>
      </c>
      <c r="DF33" s="1006"/>
      <c r="DG33" s="268"/>
      <c r="DI33" s="1005" t="str">
        <f t="shared" si="34"/>
        <v/>
      </c>
      <c r="DJ33" s="1006"/>
      <c r="DK33" s="1005" t="str">
        <f t="shared" si="35"/>
        <v/>
      </c>
      <c r="DL33" s="1006"/>
      <c r="DM33" s="1005" t="str">
        <f t="shared" si="36"/>
        <v/>
      </c>
      <c r="DN33" s="1006"/>
      <c r="DO33" s="268"/>
      <c r="DP33" s="268"/>
      <c r="DQ33" s="1005" t="str">
        <f t="shared" si="37"/>
        <v/>
      </c>
      <c r="DR33" s="1006"/>
      <c r="DS33" s="1005" t="str">
        <f t="shared" si="38"/>
        <v/>
      </c>
      <c r="DT33" s="1006"/>
      <c r="DU33" s="1005" t="str">
        <f t="shared" si="39"/>
        <v/>
      </c>
      <c r="DV33" s="1006"/>
      <c r="DW33" s="268"/>
      <c r="DX33" s="268"/>
      <c r="DY33" s="1005" t="str">
        <f t="shared" si="40"/>
        <v/>
      </c>
      <c r="DZ33" s="1006"/>
      <c r="EA33" s="1005" t="str">
        <f t="shared" si="41"/>
        <v/>
      </c>
      <c r="EB33" s="1006"/>
      <c r="EC33" s="1005" t="str">
        <f t="shared" si="42"/>
        <v/>
      </c>
      <c r="ED33" s="1006"/>
      <c r="EE33" s="268"/>
      <c r="EF33" s="268"/>
      <c r="EG33" s="1003" t="str">
        <f t="shared" si="43"/>
        <v/>
      </c>
      <c r="EH33" s="1004"/>
      <c r="EI33" s="1003" t="str">
        <f t="shared" si="44"/>
        <v/>
      </c>
      <c r="EJ33" s="1004"/>
      <c r="EK33" s="1003" t="str">
        <f t="shared" si="45"/>
        <v/>
      </c>
      <c r="EL33" s="1004"/>
      <c r="EM33" s="268"/>
      <c r="EN33" s="268"/>
      <c r="EO33" s="268"/>
      <c r="EP33" s="268"/>
      <c r="EQ33" s="268"/>
      <c r="ER33" s="268"/>
      <c r="ES33" s="268"/>
      <c r="ET33" s="268"/>
      <c r="EU33" s="268"/>
      <c r="EV33" s="268"/>
      <c r="EW33" s="268"/>
      <c r="EX33" s="268"/>
      <c r="EY33" s="268"/>
      <c r="EZ33" s="268"/>
      <c r="FA33" s="268"/>
      <c r="FB33" s="268"/>
      <c r="FC33" s="268"/>
      <c r="FD33" s="268"/>
      <c r="FE33" s="268"/>
      <c r="FF33" s="268"/>
      <c r="FG33" s="268"/>
      <c r="FJ33" s="268"/>
      <c r="FK33" s="268"/>
      <c r="FL33" s="268"/>
      <c r="FM33" s="268"/>
      <c r="FN33" s="268"/>
      <c r="FO33" s="268"/>
      <c r="FP33" s="268"/>
      <c r="FQ33" s="268"/>
      <c r="FR33" s="268"/>
      <c r="FS33" s="268"/>
      <c r="FT33" s="268"/>
      <c r="FU33" s="268"/>
      <c r="FV33" s="268"/>
      <c r="FY33" s="268"/>
      <c r="FZ33" s="268"/>
      <c r="GC33" s="268"/>
      <c r="GD33" s="268"/>
      <c r="GE33" s="268"/>
      <c r="GF33" s="268"/>
      <c r="GG33" s="268"/>
      <c r="GH33" s="268"/>
      <c r="GI33" s="268"/>
      <c r="GJ33" s="268"/>
      <c r="GK33" s="268"/>
      <c r="GL33" s="268"/>
      <c r="GM33" s="268"/>
      <c r="GN33" s="268"/>
      <c r="GO33" s="268"/>
      <c r="GP33" s="268"/>
      <c r="GQ33" s="268"/>
      <c r="HA33" s="47"/>
      <c r="HW33" s="47"/>
      <c r="HX33" s="532"/>
      <c r="IG33" s="47"/>
    </row>
    <row r="34" spans="3:241">
      <c r="C34" s="532"/>
      <c r="AY34" t="s">
        <v>612</v>
      </c>
      <c r="AZ34">
        <f>IF(H17=0,0,1)</f>
        <v>1</v>
      </c>
      <c r="BI34" s="597"/>
      <c r="CC34" t="s">
        <v>612</v>
      </c>
      <c r="CD34">
        <f>IF($AP$26=TRUE,AZ34,0)</f>
        <v>0</v>
      </c>
      <c r="CM34" s="597"/>
      <c r="HA34" s="47"/>
      <c r="HW34" s="47"/>
      <c r="HX34" s="532"/>
      <c r="IG34" s="47"/>
    </row>
    <row r="35" spans="3:241" ht="30">
      <c r="C35" s="532"/>
      <c r="AY35" s="289" t="s">
        <v>613</v>
      </c>
      <c r="AZ35" s="597">
        <f>IF(AZ34=0,AZ33*D9,AZ33)</f>
        <v>3</v>
      </c>
      <c r="BC35" s="734"/>
      <c r="CC35" s="289" t="s">
        <v>613</v>
      </c>
      <c r="CD35">
        <f>IF($AP$26=TRUE,AZ35,0)</f>
        <v>0</v>
      </c>
      <c r="CG35" s="734"/>
      <c r="HA35" s="47"/>
      <c r="HW35" s="47"/>
      <c r="HX35" s="532"/>
      <c r="IG35" s="47"/>
    </row>
    <row r="36" spans="3:241">
      <c r="C36" s="532"/>
      <c r="AY36" t="s">
        <v>614</v>
      </c>
      <c r="AZ36">
        <f>SUM(AY29:AY30)</f>
        <v>3</v>
      </c>
      <c r="CC36" t="s">
        <v>614</v>
      </c>
      <c r="CD36">
        <f>IF($AP$26=TRUE,AZ36,0)</f>
        <v>0</v>
      </c>
      <c r="HA36" s="47"/>
      <c r="HW36" s="47"/>
      <c r="HX36" s="532"/>
      <c r="IG36" s="47"/>
    </row>
    <row r="37" spans="3:241">
      <c r="C37" s="532"/>
      <c r="AY37" s="597" t="s">
        <v>615</v>
      </c>
      <c r="AZ37" s="320">
        <f>GJ28</f>
        <v>12</v>
      </c>
      <c r="BB37" s="1230" t="str">
        <f>"OPTIMAL BASED ON MATERIALS ("&amp; $BM$4 &amp;""")"</f>
        <v>OPTIMAL BASED ON MATERIALS (6")</v>
      </c>
      <c r="BC37" s="1231"/>
      <c r="BD37" s="1231"/>
      <c r="BE37" s="1231"/>
      <c r="BF37" s="1231"/>
      <c r="BG37" s="1231"/>
      <c r="BH37" s="1231"/>
      <c r="BI37" s="1232"/>
      <c r="CC37" s="597" t="s">
        <v>615</v>
      </c>
      <c r="CD37">
        <f>IF($AP$26=TRUE,AZ37,0)</f>
        <v>0</v>
      </c>
      <c r="CF37" s="1230" t="str">
        <f>"OPTIMAL BASED ON MATERIALS ("&amp; $BM$4 &amp;""")"</f>
        <v>OPTIMAL BASED ON MATERIALS (6")</v>
      </c>
      <c r="CG37" s="1231"/>
      <c r="CH37" s="1231"/>
      <c r="CI37" s="1231"/>
      <c r="CJ37" s="1231"/>
      <c r="CK37" s="1231"/>
      <c r="CL37" s="1231"/>
      <c r="CM37" s="1232"/>
      <c r="HA37" s="47"/>
      <c r="HW37" s="47"/>
      <c r="HX37" s="532"/>
      <c r="IG37" s="47"/>
    </row>
    <row r="38" spans="3:241">
      <c r="C38" s="532"/>
      <c r="AY38" s="597"/>
      <c r="HA38" s="47"/>
      <c r="HW38" s="47"/>
      <c r="HX38" s="532"/>
      <c r="IG38" s="47"/>
    </row>
    <row r="39" spans="3:241">
      <c r="C39" s="532"/>
      <c r="AN39" t="s">
        <v>566</v>
      </c>
      <c r="AO39" t="s">
        <v>567</v>
      </c>
      <c r="AY39" s="597"/>
      <c r="HA39" s="47"/>
      <c r="HW39" s="47"/>
      <c r="HX39" s="532"/>
      <c r="IG39" s="47"/>
    </row>
    <row r="40" spans="3:241" ht="45">
      <c r="C40" s="532"/>
      <c r="AO40" s="320" t="b">
        <f>Materials!D3</f>
        <v>1</v>
      </c>
      <c r="AP40" s="320" t="b">
        <f>AND(AN40,AO40)</f>
        <v>1</v>
      </c>
      <c r="AQ40" t="b">
        <f>AND(AP40=TRUE,BI34=30)</f>
        <v>0</v>
      </c>
      <c r="AS40" s="1280" t="str">
        <f>"" &amp; D19 &amp; " (" &amp;ET42 &amp; ")"</f>
        <v>12.30 (3)</v>
      </c>
      <c r="AT40" s="1281"/>
      <c r="AU40" s="1281"/>
      <c r="AV40" s="1281"/>
      <c r="AW40" s="1281"/>
      <c r="AX40" s="1282"/>
      <c r="BB40" s="1230" t="str">
        <f>BB26</f>
        <v>12.30 (3)</v>
      </c>
      <c r="BC40" s="1231"/>
      <c r="BD40" s="1231"/>
      <c r="BE40" s="1231"/>
      <c r="BF40" s="1231"/>
      <c r="BG40" s="1232"/>
      <c r="BW40" s="1230" t="str">
        <f>IF($AP$40=TRUE,AS40,0)</f>
        <v>12.30 (3)</v>
      </c>
      <c r="BX40" s="1231"/>
      <c r="BY40" s="1231"/>
      <c r="BZ40" s="1231"/>
      <c r="CA40" s="1231"/>
      <c r="CB40" s="1232"/>
      <c r="CF40" s="1230" t="str">
        <f>CF26</f>
        <v>12.30 (3)</v>
      </c>
      <c r="CG40" s="1231"/>
      <c r="CH40" s="1231"/>
      <c r="CI40" s="1231"/>
      <c r="CJ40" s="1231"/>
      <c r="CK40" s="1232"/>
      <c r="DA40" s="1005">
        <f>SUM(DA42:DB47)</f>
        <v>1</v>
      </c>
      <c r="DB40" s="1006"/>
      <c r="DC40" s="1005">
        <f>SUM(DC42:DD47)</f>
        <v>1</v>
      </c>
      <c r="DD40" s="1006"/>
      <c r="DE40" s="1005">
        <f>SUM(DE42:DF47)</f>
        <v>1</v>
      </c>
      <c r="DF40" s="1006"/>
      <c r="DG40" s="268"/>
      <c r="DI40" s="1005">
        <f>SUM(DI42:DJ47)</f>
        <v>11</v>
      </c>
      <c r="DJ40" s="1006"/>
      <c r="DK40" s="1005">
        <f>SUM(DK42:DL47)</f>
        <v>11</v>
      </c>
      <c r="DL40" s="1006"/>
      <c r="DM40" s="1005">
        <f>SUM(DM42:DN47)</f>
        <v>11</v>
      </c>
      <c r="DN40" s="1006"/>
      <c r="DO40" s="268"/>
      <c r="DP40" s="268"/>
      <c r="DQ40" s="1230" t="s">
        <v>569</v>
      </c>
      <c r="DR40" s="1231"/>
      <c r="DS40" s="1231"/>
      <c r="DT40" s="1231"/>
      <c r="DU40" s="1231"/>
      <c r="DV40" s="1232"/>
      <c r="DW40" s="268"/>
      <c r="DX40" s="268"/>
      <c r="DY40" s="1230" t="s">
        <v>570</v>
      </c>
      <c r="DZ40" s="1231"/>
      <c r="EA40" s="1231"/>
      <c r="EB40" s="1231"/>
      <c r="EC40" s="1231"/>
      <c r="ED40" s="1232"/>
      <c r="EE40" s="268"/>
      <c r="EF40" s="268"/>
      <c r="EG40" s="1230" t="s">
        <v>571</v>
      </c>
      <c r="EH40" s="1231"/>
      <c r="EI40" s="1231"/>
      <c r="EJ40" s="1231"/>
      <c r="EK40" s="1231"/>
      <c r="EL40" s="1232"/>
      <c r="EM40" s="268"/>
      <c r="EN40" s="268"/>
      <c r="EO40" s="724" t="s">
        <v>572</v>
      </c>
      <c r="EP40" s="268"/>
      <c r="EQ40" s="268"/>
      <c r="ER40" s="724" t="s">
        <v>573</v>
      </c>
      <c r="ES40" s="268"/>
      <c r="ET40" s="724" t="s">
        <v>574</v>
      </c>
      <c r="EU40" s="268"/>
      <c r="EV40" s="268"/>
      <c r="EW40" s="268"/>
      <c r="EX40" s="552" t="s">
        <v>575</v>
      </c>
      <c r="EY40" s="268"/>
      <c r="EZ40" s="268"/>
      <c r="FA40" s="268"/>
      <c r="FB40" s="552" t="s">
        <v>577</v>
      </c>
      <c r="FC40" s="268"/>
      <c r="FD40" s="552" t="s">
        <v>578</v>
      </c>
      <c r="FE40" s="268"/>
      <c r="FF40" s="552" t="s">
        <v>579</v>
      </c>
      <c r="FG40" s="268"/>
      <c r="FH40" s="552" t="s">
        <v>580</v>
      </c>
      <c r="FJ40" s="268"/>
      <c r="FK40" s="552" t="s">
        <v>581</v>
      </c>
      <c r="FL40" s="268"/>
      <c r="FM40" s="552" t="s">
        <v>582</v>
      </c>
      <c r="FN40" s="268"/>
      <c r="FO40" s="552" t="s">
        <v>583</v>
      </c>
      <c r="FP40" s="268"/>
      <c r="FQ40" s="552" t="s">
        <v>584</v>
      </c>
      <c r="FR40" s="268"/>
      <c r="FS40" s="552" t="s">
        <v>585</v>
      </c>
      <c r="FT40" s="268"/>
      <c r="FU40" s="552" t="s">
        <v>586</v>
      </c>
      <c r="FV40" s="268"/>
      <c r="FY40" s="627" t="s">
        <v>587</v>
      </c>
      <c r="FZ40" t="s">
        <v>588</v>
      </c>
      <c r="GA40" s="627" t="s">
        <v>589</v>
      </c>
      <c r="GC40" s="627" t="s">
        <v>587</v>
      </c>
      <c r="GD40" s="627" t="s">
        <v>590</v>
      </c>
      <c r="GE40" s="268"/>
      <c r="GF40" s="627" t="s">
        <v>587</v>
      </c>
      <c r="GG40" s="627" t="s">
        <v>590</v>
      </c>
      <c r="GH40" s="268"/>
      <c r="GI40" s="268"/>
      <c r="GJ40" s="627" t="s">
        <v>589</v>
      </c>
      <c r="GL40" s="627" t="s">
        <v>587</v>
      </c>
      <c r="GM40" s="627" t="s">
        <v>590</v>
      </c>
      <c r="GN40" s="268"/>
      <c r="GO40" s="627" t="s">
        <v>587</v>
      </c>
      <c r="GP40" s="627" t="s">
        <v>590</v>
      </c>
      <c r="GQ40" s="268"/>
      <c r="HA40" s="47"/>
      <c r="HW40" s="47"/>
      <c r="HX40" s="532"/>
      <c r="IG40" s="47"/>
    </row>
    <row r="41" spans="3:241">
      <c r="C41" s="532"/>
      <c r="AS41" s="1238" t="s">
        <v>608</v>
      </c>
      <c r="AT41" s="1239"/>
      <c r="AU41" s="1238" t="s">
        <v>608</v>
      </c>
      <c r="AV41" s="1239"/>
      <c r="AW41" s="1238" t="s">
        <v>608</v>
      </c>
      <c r="AX41" s="1239"/>
      <c r="AY41" s="1283" t="s">
        <v>544</v>
      </c>
      <c r="AZ41" s="1284"/>
      <c r="BB41" s="1261" t="s">
        <v>608</v>
      </c>
      <c r="BC41" s="1262"/>
      <c r="BD41" s="1256" t="s">
        <v>608</v>
      </c>
      <c r="BE41" s="1262"/>
      <c r="BF41" s="1256" t="s">
        <v>608</v>
      </c>
      <c r="BG41" s="1237"/>
      <c r="BH41" s="1233" t="s">
        <v>544</v>
      </c>
      <c r="BI41" s="1234"/>
      <c r="BW41" s="1256" t="s">
        <v>608</v>
      </c>
      <c r="BX41" s="1262"/>
      <c r="BY41" s="1256" t="s">
        <v>608</v>
      </c>
      <c r="BZ41" s="1262"/>
      <c r="CA41" s="1256" t="s">
        <v>608</v>
      </c>
      <c r="CB41" s="1262"/>
      <c r="CC41" s="1233" t="s">
        <v>544</v>
      </c>
      <c r="CD41" s="1234"/>
      <c r="CF41" s="1261" t="s">
        <v>608</v>
      </c>
      <c r="CG41" s="1262"/>
      <c r="CH41" s="1256" t="s">
        <v>608</v>
      </c>
      <c r="CI41" s="1262"/>
      <c r="CJ41" s="1256" t="s">
        <v>608</v>
      </c>
      <c r="CK41" s="1237"/>
      <c r="CL41" s="1233" t="s">
        <v>544</v>
      </c>
      <c r="CM41" s="1234"/>
      <c r="EO41" s="374"/>
      <c r="ER41" s="374"/>
      <c r="ET41" s="374"/>
      <c r="GS41" s="724" t="s">
        <v>437</v>
      </c>
      <c r="HA41" s="47"/>
      <c r="HW41" s="47"/>
      <c r="HX41" s="532"/>
      <c r="IG41" s="47"/>
    </row>
    <row r="42" spans="3:241">
      <c r="C42" s="532"/>
      <c r="AS42" s="1235" t="str">
        <f t="shared" ref="AS42:AS47" si="47">_xlfn.LET(
_xlpm.total,IF($H$19=0,$D$7,AL19),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xml:space="preserve"> 11' (1)</v>
      </c>
      <c r="AT42" s="1285"/>
      <c r="AU42" s="1235" t="str">
        <f t="shared" ref="AU42:AU47" si="48">_xlfn.LET(
_xlpm.total,IF($H$19=0,$D$7,AN19),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xml:space="preserve"> 11' (1)</v>
      </c>
      <c r="AV42" s="1285"/>
      <c r="AW42" s="1235" t="str">
        <f t="shared" ref="AW42:AW47" si="49">_xlfn.LET(
_xlpm.total,IF($H$19=0,$D$7,AP19),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xml:space="preserve"> 11' (2)</v>
      </c>
      <c r="AX42" s="1285"/>
      <c r="AY42" s="1286" t="str">
        <f>GY42</f>
        <v>Total 11'</v>
      </c>
      <c r="AZ42" s="1269"/>
      <c r="BB42" s="737" t="str">
        <f t="shared" ref="BB42:BB47" si="50">REPT(CHAR(160),1+IF(BB14="",2,2*(2/LEN(_xlfn.TEXTBEFORE(BB14,"'")))))&amp;IF(BB14="",REPT(CHAR(160),LEN(BB$14)+5),BB14)&amp;REPT(CHAR(160),2)&amp;"┃"</f>
        <v>   11' (1)  ┃</v>
      </c>
      <c r="BC42" s="739" t="str">
        <f>REPT(CHAR(160),1+IF(BB14="",2,2*(2/LEN(_xlfn.TEXTBEFORE(BB14,"'")))))&amp;IF(BB14="",REPT(CHAR(160),LEN(BB$14)+5),BB14)&amp;REPT(CHAR(160),2)&amp;"┃"</f>
        <v>   11' (1)  ┃</v>
      </c>
      <c r="BD42" s="739" t="str">
        <f t="shared" ref="BD42:BD47" si="51">REPT(CHAR(160),1+IF(BD14="",2,2*(2/LEN(_xlfn.TEXTBEFORE(BD14,"'")))))&amp;IF(BD14="",REPT(CHAR(160),LEN(BD$14)+5),BD14)&amp;REPT(CHAR(160),2)&amp;"┃"</f>
        <v>   11' (1)  ┃</v>
      </c>
      <c r="BE42" s="739" t="str">
        <f>REPT(CHAR(160),1+IF(BD14="",2,2*(2/LEN(_xlfn.TEXTBEFORE(BD14,"'")))))&amp;IF(BD14="",REPT(CHAR(160),LEN(BD$14)+5),BD14)&amp;REPT(CHAR(160),2)&amp;"┃"</f>
        <v>   11' (1)  ┃</v>
      </c>
      <c r="BF42" s="739" t="str">
        <f t="shared" ref="BF42:BF47" si="52">REPT(CHAR(160),1+IF(BF14="",2,2*(2/LEN(_xlfn.TEXTBEFORE(BF14,"'")))))&amp;IF(BF14="",REPT(CHAR(160),LEN(BF$14)+5),BF14)&amp;REPT(CHAR(160),2)&amp;"┃"</f>
        <v>   11' (2)  ┃</v>
      </c>
      <c r="BG42" s="733" t="str">
        <f>REPT(CHAR(160),1+IF(BF14="",2,2*(2/LEN(_xlfn.TEXTBEFORE(BF14,"'")))))&amp;IF(BF14="",REPT(CHAR(160),LEN(BF$14)+5),BF14)&amp;REPT(CHAR(160),2)&amp;"┃"</f>
        <v>   11' (2)  ┃</v>
      </c>
      <c r="BH42" s="1287" t="str">
        <f>BH28</f>
        <v>Total 11'</v>
      </c>
      <c r="BI42" s="1288"/>
      <c r="BW42" s="1261" t="str">
        <f t="shared" ref="BW42:BW47" si="53">IF($AP$40=TRUE,AS42,0)</f>
        <v xml:space="preserve"> 11' (1)</v>
      </c>
      <c r="BX42" s="1237"/>
      <c r="BY42" s="1261" t="str">
        <f t="shared" ref="BY42:BY47" si="54">IF($AP$40=TRUE,AU42,0)</f>
        <v xml:space="preserve"> 11' (1)</v>
      </c>
      <c r="BZ42" s="1237"/>
      <c r="CA42" s="1261" t="str">
        <f t="shared" ref="CA42:CA47" si="55">IF($AP$40=TRUE,AW42,0)</f>
        <v xml:space="preserve"> 11' (2)</v>
      </c>
      <c r="CB42" s="1237"/>
      <c r="CC42" s="1230" t="str">
        <f>IF($AP$40=TRUE,AY42,0)</f>
        <v>Total 11'</v>
      </c>
      <c r="CD42" s="1232"/>
      <c r="CF42" s="737" t="str">
        <f t="shared" ref="CF42:CF47" si="56">REPT(CHAR(160),1+IF(CF14="",2,2*(2/LEN(_xlfn.TEXTBEFORE(CF14,"'")))))&amp;IF(CF14="",REPT(CHAR(160),LEN(CF$14)+5),CF14)&amp;REPT(CHAR(160),2)&amp;"┃"</f>
        <v>   11' (1)  ┃</v>
      </c>
      <c r="CG42" s="739" t="str">
        <f t="shared" ref="CG42:CG47" si="57">REPT(CHAR(160),1+IF(CF14="",2,2*(2/LEN(_xlfn.TEXTBEFORE(CF14,"'")))))&amp;IF(CF14="",REPT(CHAR(160),LEN(CF$14)+5),CF14)&amp;REPT(CHAR(160),2)&amp;"┃"</f>
        <v>   11' (1)  ┃</v>
      </c>
      <c r="CH42" s="739" t="str">
        <f t="shared" ref="CH42:CH47" si="58">REPT(CHAR(160),1+IF(CH14="",2,2*(2/LEN(_xlfn.TEXTBEFORE(CH14,"'")))))&amp;IF(CH14="",REPT(CHAR(160),LEN(CH$14)+5),CH14)&amp;REPT(CHAR(160),2)&amp;"┃"</f>
        <v>   11' (1)  ┃</v>
      </c>
      <c r="CI42" s="739" t="str">
        <f t="shared" ref="CI42:CI47" si="59">REPT(CHAR(160),1+IF(CH14="",2,2*(2/LEN(_xlfn.TEXTBEFORE(CH14,"'")))))&amp;IF(CH14="",REPT(CHAR(160),LEN(CH$14)+5),CH14)&amp;REPT(CHAR(160),2)&amp;"┃"</f>
        <v>   11' (1)  ┃</v>
      </c>
      <c r="CJ42" s="739" t="str">
        <f t="shared" ref="CJ42:CJ47" si="60">REPT(CHAR(160),1+IF(CJ14="",2,2*(2/LEN(_xlfn.TEXTBEFORE(CJ14,"'")))))&amp;IF(CJ14="",REPT(CHAR(160),LEN(CJ$14)+5),CJ14)&amp;REPT(CHAR(160),2)&amp;"┃"</f>
        <v>   11' (2)  ┃</v>
      </c>
      <c r="CK42" s="733" t="str">
        <f t="shared" ref="CK42:CK47" si="61">REPT(CHAR(160),1+IF(CJ14="",2,2*(2/LEN(_xlfn.TEXTBEFORE(CJ14,"'")))))&amp;IF(CJ14="",REPT(CHAR(160),LEN(CJ$14)+5),CJ14)&amp;REPT(CHAR(160),2)&amp;"┃"</f>
        <v>   11' (2)  ┃</v>
      </c>
      <c r="CL42" s="1287" t="str">
        <f>CL28</f>
        <v>Total 11'</v>
      </c>
      <c r="CM42" s="1288"/>
      <c r="DA42" s="1005">
        <f t="shared" ref="DA42:DA47" si="62">IF(LEN(AS42)&gt;0,1,0)</f>
        <v>1</v>
      </c>
      <c r="DB42" s="1006"/>
      <c r="DC42" s="1005">
        <f t="shared" ref="DC42:DC47" si="63">IF(LEN(AU42)&gt;0,1,0)</f>
        <v>1</v>
      </c>
      <c r="DD42" s="1006"/>
      <c r="DE42" s="1005">
        <f t="shared" ref="DE42:DE47" si="64">IF(LEN(AW42)&gt;0,1,0)</f>
        <v>1</v>
      </c>
      <c r="DF42" s="1006"/>
      <c r="DG42" s="268"/>
      <c r="DI42" s="1005">
        <f t="shared" ref="DI42:DI47" si="65">IF(AS42="","",--_xlfn.TEXTBEFORE(AS42,"'"))</f>
        <v>11</v>
      </c>
      <c r="DJ42" s="1006"/>
      <c r="DK42" s="1005">
        <f t="shared" ref="DK42:DK47" si="66">IF(AU42="","",--_xlfn.TEXTBEFORE(AU42,"'"))</f>
        <v>11</v>
      </c>
      <c r="DL42" s="1006"/>
      <c r="DM42" s="1005">
        <f t="shared" ref="DM42:DM47" si="67">IF(AW42="","",--_xlfn.TEXTBEFORE(AW42,"'"))</f>
        <v>11</v>
      </c>
      <c r="DN42" s="1006"/>
      <c r="DO42" s="268"/>
      <c r="DP42" s="268"/>
      <c r="DQ42" s="1005">
        <f t="shared" ref="DQ42:DQ47" si="68">IF(DI42=$GS$43,DI42,"")</f>
        <v>11</v>
      </c>
      <c r="DR42" s="1006"/>
      <c r="DS42" s="1005">
        <f t="shared" ref="DS42:DS47" si="69">IF(DK42=$GS$43,DK42,"")</f>
        <v>11</v>
      </c>
      <c r="DT42" s="1006"/>
      <c r="DU42" s="1005">
        <f t="shared" ref="DU42:DU47" si="70">IF(DM42=$GS$43,DM42,"")</f>
        <v>11</v>
      </c>
      <c r="DV42" s="1006"/>
      <c r="DW42" s="268"/>
      <c r="DX42" s="268"/>
      <c r="DY42" s="1005" t="str">
        <f t="shared" ref="DY42:DY47" si="71">IF(DQ42=$GS$43,"",IF(DI42="","",IF(DI42=$GS$43,$AH$19-DI42,$AH$19-$AD$19)))</f>
        <v/>
      </c>
      <c r="DZ42" s="1006"/>
      <c r="EA42" s="1005" t="str">
        <f t="shared" ref="EA42:EA47" si="72">IF(DS42=$GS$43,"",IF(DK42="","",IF(DK42=$GS$43,$AH$19-DK42,$AH$19-$AD$19)))</f>
        <v/>
      </c>
      <c r="EB42" s="1006"/>
      <c r="EC42" s="1005" t="str">
        <f t="shared" ref="EC42:EC47" si="73">IF(DU42=$GS$43,"",IF(DM42="","",IF(DM42=$GS$43,$AH$19-DM42,$AH$19-$AD$19)))</f>
        <v/>
      </c>
      <c r="ED42" s="1006"/>
      <c r="EE42" s="268"/>
      <c r="EF42" s="268"/>
      <c r="EG42" s="1003">
        <f t="shared" ref="EG42:EG47" si="74">IF(DI42="","",$F$19-DI42)</f>
        <v>19</v>
      </c>
      <c r="EH42" s="1004"/>
      <c r="EI42" s="1003">
        <f t="shared" ref="EI42:EI47" si="75">IF(DK42="","",$F$19-DK42)</f>
        <v>19</v>
      </c>
      <c r="EJ42" s="1004"/>
      <c r="EK42" s="1003">
        <f t="shared" ref="EK42:EK47" si="76">IF(DM42="","",$F$19-DM42)</f>
        <v>19</v>
      </c>
      <c r="EL42" s="1004"/>
      <c r="EM42" s="268"/>
      <c r="EN42" s="268"/>
      <c r="EO42" s="724">
        <f>COUNT(DQ42:DV47)</f>
        <v>3</v>
      </c>
      <c r="EP42" s="268"/>
      <c r="EQ42" s="268"/>
      <c r="ER42" s="725">
        <f>IF(EZ45=0,GL42+GO42,0)</f>
        <v>0</v>
      </c>
      <c r="ES42" s="268"/>
      <c r="ET42" s="725">
        <f>EO42+ER42</f>
        <v>3</v>
      </c>
      <c r="EU42" s="268"/>
      <c r="EV42" s="268"/>
      <c r="EW42" s="268"/>
      <c r="EX42" s="718">
        <f>MAX(DY42:ED47)</f>
        <v>0</v>
      </c>
      <c r="EY42" s="320"/>
      <c r="EZ42" s="320"/>
      <c r="FA42" s="320"/>
      <c r="FB42" s="718">
        <f>IF(IFERROR(ROUNDDOWN($F$19/EX42,0),0)&lt;=FU42,IFERROR(ROUNDDOWN($F$19/EX42,0),0),FU42)</f>
        <v>0</v>
      </c>
      <c r="FC42" s="320"/>
      <c r="FD42" s="718">
        <f>FB42*EX42</f>
        <v>0</v>
      </c>
      <c r="FE42" s="320"/>
      <c r="FF42" s="718">
        <f>IF($F$19-FD42=$F$19,0,$F$19-FD42)</f>
        <v>0</v>
      </c>
      <c r="FG42" s="320"/>
      <c r="FH42" s="718">
        <f>IFERROR(ROUNDDOWN(FK42/FD42,0),0)</f>
        <v>0</v>
      </c>
      <c r="FJ42" s="268"/>
      <c r="FK42" s="632">
        <f>SUM(DY42:ED47)</f>
        <v>0</v>
      </c>
      <c r="FM42" s="718">
        <f>IF($F$19-(FK42-FD42)=$F$19,0,$F$19-(FK42-FD42))</f>
        <v>0</v>
      </c>
      <c r="FN42" s="320"/>
      <c r="FO42" s="718">
        <f>IF(FM42=0,0,1)</f>
        <v>0</v>
      </c>
      <c r="FQ42" s="632">
        <f>IFERROR(IF(FF42=0,0,ROUNDUP(FK42/$F$19,0)),0)</f>
        <v>0</v>
      </c>
      <c r="FS42" s="718">
        <f>FQ42*$F$19</f>
        <v>0</v>
      </c>
      <c r="FU42" s="632">
        <f>COUNT(DY42:ED47)</f>
        <v>0</v>
      </c>
      <c r="FV42" s="268"/>
      <c r="FY42" s="720">
        <f>GC42+GF42</f>
        <v>0</v>
      </c>
      <c r="GA42" s="718">
        <f>(GC42*GD42)+(GF42*GG42)</f>
        <v>0</v>
      </c>
      <c r="GC42" s="687">
        <f>FH42</f>
        <v>0</v>
      </c>
      <c r="GD42" s="719">
        <f>FF42</f>
        <v>0</v>
      </c>
      <c r="GE42" s="1" t="s">
        <v>441</v>
      </c>
      <c r="GF42" s="687">
        <f>FO42</f>
        <v>0</v>
      </c>
      <c r="GG42" s="719">
        <f>FM42</f>
        <v>0</v>
      </c>
      <c r="GH42" s="320"/>
      <c r="GI42" s="320"/>
      <c r="GJ42" s="718">
        <f>IF($EZ$45=0,GA42,GA45)</f>
        <v>11</v>
      </c>
      <c r="GL42" s="718">
        <f>IF($EZ$45=0,GC42,GC45)</f>
        <v>1</v>
      </c>
      <c r="GM42" s="718">
        <f>IF($EZ$45=0,GD42,GD45)</f>
        <v>19</v>
      </c>
      <c r="GN42" s="1" t="s">
        <v>441</v>
      </c>
      <c r="GO42" s="718">
        <f>IF($EZ$45=0,GF42,GF45)</f>
        <v>1</v>
      </c>
      <c r="GP42" s="718">
        <f>IF($EZ$45=0,GG42,GG45)</f>
        <v>-8</v>
      </c>
      <c r="GQ42" s="320"/>
      <c r="GY42" s="1271" t="str">
        <f>"Total " &amp; GJ42&amp; "'"</f>
        <v>Total 11'</v>
      </c>
      <c r="GZ42" s="1272"/>
      <c r="HA42" s="47"/>
      <c r="HW42" s="47"/>
      <c r="HX42" s="532"/>
      <c r="IG42" s="47"/>
    </row>
    <row r="43" spans="3:241">
      <c r="C43" s="532"/>
      <c r="AS43" s="1225" t="str">
        <f t="shared" si="47"/>
        <v/>
      </c>
      <c r="AT43" s="1289"/>
      <c r="AU43" s="1225" t="str">
        <f t="shared" si="48"/>
        <v/>
      </c>
      <c r="AV43" s="1289"/>
      <c r="AW43" s="1225" t="str">
        <f t="shared" si="49"/>
        <v/>
      </c>
      <c r="AX43" s="1289"/>
      <c r="AY43" s="455">
        <f>GY43</f>
        <v>1</v>
      </c>
      <c r="AZ43" s="456" t="str">
        <f>GZ43</f>
        <v>19' rolls</v>
      </c>
      <c r="BB43" s="740" t="str">
        <f t="shared" si="50"/>
        <v>                  ┃</v>
      </c>
      <c r="BC43" s="734" t="str">
        <f t="shared" ref="BC43:BG47" si="77">REPT(CHAR(160),1+IF(BB15="",2,2*(2/LEN(_xlfn.TEXTBEFORE(BB15,"'")))))&amp;IF(BB15="",REPT(CHAR(160),LEN(BB$14)+5),BB15)&amp;REPT(CHAR(160),2)&amp;"┃"</f>
        <v>                  ┃</v>
      </c>
      <c r="BD43" s="734" t="str">
        <f t="shared" si="51"/>
        <v>                  ┃</v>
      </c>
      <c r="BE43" s="734" t="str">
        <f t="shared" si="77"/>
        <v>                  ┃</v>
      </c>
      <c r="BF43" s="734" t="str">
        <f t="shared" si="52"/>
        <v>                  ┃</v>
      </c>
      <c r="BG43" s="735" t="str">
        <f t="shared" si="77"/>
        <v>                  ┃</v>
      </c>
      <c r="BH43" s="738">
        <f>BH29</f>
        <v>1</v>
      </c>
      <c r="BI43" s="44" t="str">
        <f>BI29</f>
        <v>19' rolls</v>
      </c>
      <c r="BW43" s="1260" t="str">
        <f t="shared" si="53"/>
        <v/>
      </c>
      <c r="BX43" s="1226"/>
      <c r="BY43" s="1260" t="str">
        <f t="shared" si="54"/>
        <v/>
      </c>
      <c r="BZ43" s="1226"/>
      <c r="CA43" s="1260" t="str">
        <f t="shared" si="55"/>
        <v/>
      </c>
      <c r="CB43" s="1226"/>
      <c r="CC43" s="637">
        <f>IF($AP$40=TRUE,AY43,0)</f>
        <v>1</v>
      </c>
      <c r="CD43" s="648" t="str">
        <f>IF($AP$40=TRUE,AZ43,0)</f>
        <v>19' rolls</v>
      </c>
      <c r="CF43" s="740" t="str">
        <f t="shared" si="56"/>
        <v>                  ┃</v>
      </c>
      <c r="CG43" s="734" t="str">
        <f t="shared" si="57"/>
        <v>                  ┃</v>
      </c>
      <c r="CH43" s="734" t="str">
        <f t="shared" si="58"/>
        <v>                  ┃</v>
      </c>
      <c r="CI43" s="734" t="str">
        <f t="shared" si="59"/>
        <v>                  ┃</v>
      </c>
      <c r="CJ43" s="734" t="str">
        <f t="shared" si="60"/>
        <v>                  ┃</v>
      </c>
      <c r="CK43" s="735" t="str">
        <f t="shared" si="61"/>
        <v>                  ┃</v>
      </c>
      <c r="CL43" s="738">
        <f>CL29</f>
        <v>1</v>
      </c>
      <c r="CM43" s="44" t="str">
        <f>CM29</f>
        <v>19' rolls</v>
      </c>
      <c r="DA43" s="1005">
        <f t="shared" si="62"/>
        <v>0</v>
      </c>
      <c r="DB43" s="1006"/>
      <c r="DC43" s="1005">
        <f t="shared" si="63"/>
        <v>0</v>
      </c>
      <c r="DD43" s="1006"/>
      <c r="DE43" s="1005">
        <f t="shared" si="64"/>
        <v>0</v>
      </c>
      <c r="DF43" s="1006"/>
      <c r="DG43" s="268"/>
      <c r="DI43" s="1005" t="str">
        <f t="shared" si="65"/>
        <v/>
      </c>
      <c r="DJ43" s="1006"/>
      <c r="DK43" s="1005" t="str">
        <f t="shared" si="66"/>
        <v/>
      </c>
      <c r="DL43" s="1006"/>
      <c r="DM43" s="1005" t="str">
        <f t="shared" si="67"/>
        <v/>
      </c>
      <c r="DN43" s="1006"/>
      <c r="DO43" s="268"/>
      <c r="DP43" s="268"/>
      <c r="DQ43" s="1005" t="str">
        <f t="shared" si="68"/>
        <v/>
      </c>
      <c r="DR43" s="1006"/>
      <c r="DS43" s="1005" t="str">
        <f t="shared" si="69"/>
        <v/>
      </c>
      <c r="DT43" s="1006"/>
      <c r="DU43" s="1005" t="str">
        <f t="shared" si="70"/>
        <v/>
      </c>
      <c r="DV43" s="1006"/>
      <c r="DW43" s="268"/>
      <c r="DX43" s="268"/>
      <c r="DY43" s="1005" t="str">
        <f t="shared" si="71"/>
        <v/>
      </c>
      <c r="DZ43" s="1006"/>
      <c r="EA43" s="1005" t="str">
        <f t="shared" si="72"/>
        <v/>
      </c>
      <c r="EB43" s="1006"/>
      <c r="EC43" s="1005" t="str">
        <f t="shared" si="73"/>
        <v/>
      </c>
      <c r="ED43" s="1006"/>
      <c r="EE43" s="268"/>
      <c r="EF43" s="268"/>
      <c r="EG43" s="1003" t="str">
        <f t="shared" si="74"/>
        <v/>
      </c>
      <c r="EH43" s="1004"/>
      <c r="EI43" s="1003" t="str">
        <f t="shared" si="75"/>
        <v/>
      </c>
      <c r="EJ43" s="1004"/>
      <c r="EK43" s="1003" t="str">
        <f t="shared" si="76"/>
        <v/>
      </c>
      <c r="EL43" s="1004"/>
      <c r="EM43" s="268"/>
      <c r="EN43" s="268"/>
      <c r="EO43" s="268"/>
      <c r="EP43" s="268"/>
      <c r="EQ43" s="268"/>
      <c r="ER43" s="268"/>
      <c r="ES43" s="268"/>
      <c r="ET43" s="268"/>
      <c r="EU43" s="268"/>
      <c r="EV43" s="268"/>
      <c r="EW43" s="268"/>
      <c r="FV43" s="268"/>
      <c r="FY43" s="268"/>
      <c r="GC43" s="268"/>
      <c r="GD43" s="268"/>
      <c r="GE43" s="268"/>
      <c r="GF43" s="268"/>
      <c r="GG43" s="268"/>
      <c r="GH43" s="268"/>
      <c r="GI43" s="268"/>
      <c r="GJ43" s="268"/>
      <c r="GK43" s="268"/>
      <c r="GL43" s="268"/>
      <c r="GM43" s="268"/>
      <c r="GN43" s="268"/>
      <c r="GO43" s="268"/>
      <c r="GP43" s="268"/>
      <c r="GQ43" s="268"/>
      <c r="GS43" s="724">
        <f>MAX(DI42:DJ47)</f>
        <v>11</v>
      </c>
      <c r="GY43" s="723">
        <f>GL42</f>
        <v>1</v>
      </c>
      <c r="GZ43" s="649" t="str">
        <f>""&amp;GM42&amp;"' rolls"</f>
        <v>19' rolls</v>
      </c>
      <c r="HA43" s="47"/>
      <c r="HW43" s="47"/>
      <c r="HX43" s="532"/>
      <c r="IG43" s="47"/>
    </row>
    <row r="44" spans="3:241">
      <c r="C44" s="532"/>
      <c r="AS44" s="1225" t="str">
        <f t="shared" si="47"/>
        <v/>
      </c>
      <c r="AT44" s="1289"/>
      <c r="AU44" s="1225" t="str">
        <f t="shared" si="48"/>
        <v/>
      </c>
      <c r="AV44" s="1289"/>
      <c r="AW44" s="1225" t="str">
        <f t="shared" si="49"/>
        <v/>
      </c>
      <c r="AX44" s="1289"/>
      <c r="AY44" s="653">
        <f>GY44</f>
        <v>1</v>
      </c>
      <c r="AZ44" s="598" t="str">
        <f>GZ44</f>
        <v>-8' rolls</v>
      </c>
      <c r="BB44" s="740" t="str">
        <f t="shared" si="50"/>
        <v>                  ┃</v>
      </c>
      <c r="BC44" s="734" t="str">
        <f t="shared" si="77"/>
        <v>                  ┃</v>
      </c>
      <c r="BD44" s="734" t="str">
        <f t="shared" si="51"/>
        <v>                  ┃</v>
      </c>
      <c r="BE44" s="734" t="str">
        <f t="shared" si="77"/>
        <v>                  ┃</v>
      </c>
      <c r="BF44" s="734" t="str">
        <f t="shared" si="52"/>
        <v>                  ┃</v>
      </c>
      <c r="BG44" s="735" t="str">
        <f t="shared" si="77"/>
        <v>                  ┃</v>
      </c>
      <c r="BH44" s="670">
        <f>BH30</f>
        <v>1</v>
      </c>
      <c r="BI44" s="633" t="str">
        <f>BI30</f>
        <v>-8' rolls</v>
      </c>
      <c r="BW44" s="1260" t="str">
        <f t="shared" si="53"/>
        <v/>
      </c>
      <c r="BX44" s="1226"/>
      <c r="BY44" s="1260" t="str">
        <f t="shared" si="54"/>
        <v/>
      </c>
      <c r="BZ44" s="1226"/>
      <c r="CA44" s="1260" t="str">
        <f t="shared" si="55"/>
        <v/>
      </c>
      <c r="CB44" s="1226"/>
      <c r="CC44" s="642">
        <f>IF($AP$40=TRUE,AY44,0)</f>
        <v>1</v>
      </c>
      <c r="CD44" s="649" t="str">
        <f>IF($AP$40=TRUE,AZ44,0)</f>
        <v>-8' rolls</v>
      </c>
      <c r="CF44" s="740" t="str">
        <f t="shared" si="56"/>
        <v>                  ┃</v>
      </c>
      <c r="CG44" s="734" t="str">
        <f t="shared" si="57"/>
        <v>                  ┃</v>
      </c>
      <c r="CH44" s="734" t="str">
        <f t="shared" si="58"/>
        <v>                  ┃</v>
      </c>
      <c r="CI44" s="734" t="str">
        <f t="shared" si="59"/>
        <v>                  ┃</v>
      </c>
      <c r="CJ44" s="734" t="str">
        <f t="shared" si="60"/>
        <v>                  ┃</v>
      </c>
      <c r="CK44" s="735" t="str">
        <f t="shared" si="61"/>
        <v>                  ┃</v>
      </c>
      <c r="CL44" s="670">
        <f>CL30</f>
        <v>1</v>
      </c>
      <c r="CM44" s="633" t="str">
        <f>CM30</f>
        <v>-8' rolls</v>
      </c>
      <c r="DA44" s="1005">
        <f t="shared" si="62"/>
        <v>0</v>
      </c>
      <c r="DB44" s="1006"/>
      <c r="DC44" s="1005">
        <f t="shared" si="63"/>
        <v>0</v>
      </c>
      <c r="DD44" s="1006"/>
      <c r="DE44" s="1005">
        <f t="shared" si="64"/>
        <v>0</v>
      </c>
      <c r="DF44" s="1006"/>
      <c r="DG44" s="268"/>
      <c r="DI44" s="1005" t="str">
        <f t="shared" si="65"/>
        <v/>
      </c>
      <c r="DJ44" s="1006"/>
      <c r="DK44" s="1005" t="str">
        <f t="shared" si="66"/>
        <v/>
      </c>
      <c r="DL44" s="1006"/>
      <c r="DM44" s="1005" t="str">
        <f t="shared" si="67"/>
        <v/>
      </c>
      <c r="DN44" s="1006"/>
      <c r="DO44" s="268"/>
      <c r="DP44" s="268"/>
      <c r="DQ44" s="1005" t="str">
        <f t="shared" si="68"/>
        <v/>
      </c>
      <c r="DR44" s="1006"/>
      <c r="DS44" s="1005" t="str">
        <f t="shared" si="69"/>
        <v/>
      </c>
      <c r="DT44" s="1006"/>
      <c r="DU44" s="1005" t="str">
        <f t="shared" si="70"/>
        <v/>
      </c>
      <c r="DV44" s="1006"/>
      <c r="DW44" s="268"/>
      <c r="DX44" s="268"/>
      <c r="DY44" s="1005" t="str">
        <f t="shared" si="71"/>
        <v/>
      </c>
      <c r="DZ44" s="1006"/>
      <c r="EA44" s="1005" t="str">
        <f t="shared" si="72"/>
        <v/>
      </c>
      <c r="EB44" s="1006"/>
      <c r="EC44" s="1005" t="str">
        <f t="shared" si="73"/>
        <v/>
      </c>
      <c r="ED44" s="1006"/>
      <c r="EE44" s="268"/>
      <c r="EF44" s="268"/>
      <c r="EG44" s="1003" t="str">
        <f t="shared" si="74"/>
        <v/>
      </c>
      <c r="EH44" s="1004"/>
      <c r="EI44" s="1003" t="str">
        <f t="shared" si="75"/>
        <v/>
      </c>
      <c r="EJ44" s="1004"/>
      <c r="EK44" s="1003" t="str">
        <f t="shared" si="76"/>
        <v/>
      </c>
      <c r="EL44" s="1004"/>
      <c r="EM44" s="268"/>
      <c r="EN44" s="268"/>
      <c r="EO44" s="268"/>
      <c r="EP44" s="268"/>
      <c r="EQ44" s="268"/>
      <c r="ER44" s="268"/>
      <c r="ES44" s="268"/>
      <c r="ET44" s="268"/>
      <c r="EU44" s="268"/>
      <c r="EV44" s="268"/>
      <c r="EW44" s="268"/>
      <c r="FV44" s="268"/>
      <c r="GY44" s="722">
        <f>GO42</f>
        <v>1</v>
      </c>
      <c r="GZ44" s="13" t="str">
        <f>""&amp;GP42&amp;"' rolls"</f>
        <v>-8' rolls</v>
      </c>
      <c r="HA44" s="47"/>
      <c r="HW44" s="47"/>
      <c r="HX44" s="532"/>
      <c r="IG44" s="47"/>
    </row>
    <row r="45" spans="3:241">
      <c r="C45" s="532"/>
      <c r="AS45" s="1225" t="str">
        <f t="shared" si="47"/>
        <v/>
      </c>
      <c r="AT45" s="1289"/>
      <c r="AU45" s="1225" t="str">
        <f t="shared" si="48"/>
        <v/>
      </c>
      <c r="AV45" s="1289"/>
      <c r="AW45" s="1225" t="str">
        <f t="shared" si="49"/>
        <v/>
      </c>
      <c r="AX45" s="1289"/>
      <c r="BB45" s="740" t="str">
        <f t="shared" si="50"/>
        <v>                  ┃</v>
      </c>
      <c r="BC45" s="734" t="str">
        <f t="shared" si="77"/>
        <v>                  ┃</v>
      </c>
      <c r="BD45" s="734" t="str">
        <f t="shared" si="51"/>
        <v>                  ┃</v>
      </c>
      <c r="BE45" s="734" t="str">
        <f t="shared" si="77"/>
        <v>                  ┃</v>
      </c>
      <c r="BF45" s="734" t="str">
        <f t="shared" si="52"/>
        <v>                  ┃</v>
      </c>
      <c r="BG45" s="735" t="str">
        <f t="shared" si="77"/>
        <v>                  ┃</v>
      </c>
      <c r="BH45" s="1231" t="s">
        <v>610</v>
      </c>
      <c r="BI45" s="1232"/>
      <c r="BW45" s="1260" t="str">
        <f t="shared" si="53"/>
        <v/>
      </c>
      <c r="BX45" s="1226"/>
      <c r="BY45" s="1260" t="str">
        <f t="shared" si="54"/>
        <v/>
      </c>
      <c r="BZ45" s="1226"/>
      <c r="CA45" s="1260" t="str">
        <f t="shared" si="55"/>
        <v/>
      </c>
      <c r="CB45" s="1226"/>
      <c r="CF45" s="740" t="str">
        <f t="shared" si="56"/>
        <v>                  ┃</v>
      </c>
      <c r="CG45" s="734" t="str">
        <f t="shared" si="57"/>
        <v>                  ┃</v>
      </c>
      <c r="CH45" s="734" t="str">
        <f t="shared" si="58"/>
        <v>                  ┃</v>
      </c>
      <c r="CI45" s="734" t="str">
        <f t="shared" si="59"/>
        <v>                  ┃</v>
      </c>
      <c r="CJ45" s="734" t="str">
        <f t="shared" si="60"/>
        <v>                  ┃</v>
      </c>
      <c r="CK45" s="735" t="str">
        <f t="shared" si="61"/>
        <v>                  ┃</v>
      </c>
      <c r="CL45" s="1230" t="s">
        <v>610</v>
      </c>
      <c r="CM45" s="1232"/>
      <c r="DA45" s="1005">
        <f t="shared" si="62"/>
        <v>0</v>
      </c>
      <c r="DB45" s="1006"/>
      <c r="DC45" s="1005">
        <f t="shared" si="63"/>
        <v>0</v>
      </c>
      <c r="DD45" s="1006"/>
      <c r="DE45" s="1005">
        <f t="shared" si="64"/>
        <v>0</v>
      </c>
      <c r="DF45" s="1006"/>
      <c r="DG45" s="268"/>
      <c r="DI45" s="1005" t="str">
        <f t="shared" si="65"/>
        <v/>
      </c>
      <c r="DJ45" s="1006"/>
      <c r="DK45" s="1005" t="str">
        <f t="shared" si="66"/>
        <v/>
      </c>
      <c r="DL45" s="1006"/>
      <c r="DM45" s="1005" t="str">
        <f t="shared" si="67"/>
        <v/>
      </c>
      <c r="DN45" s="1006"/>
      <c r="DO45" s="268"/>
      <c r="DP45" s="268"/>
      <c r="DQ45" s="1005" t="str">
        <f t="shared" si="68"/>
        <v/>
      </c>
      <c r="DR45" s="1006"/>
      <c r="DS45" s="1005" t="str">
        <f t="shared" si="69"/>
        <v/>
      </c>
      <c r="DT45" s="1006"/>
      <c r="DU45" s="1005" t="str">
        <f t="shared" si="70"/>
        <v/>
      </c>
      <c r="DV45" s="1006"/>
      <c r="DW45" s="268"/>
      <c r="DX45" s="268"/>
      <c r="DY45" s="1005" t="str">
        <f t="shared" si="71"/>
        <v/>
      </c>
      <c r="DZ45" s="1006"/>
      <c r="EA45" s="1005" t="str">
        <f t="shared" si="72"/>
        <v/>
      </c>
      <c r="EB45" s="1006"/>
      <c r="EC45" s="1005" t="str">
        <f t="shared" si="73"/>
        <v/>
      </c>
      <c r="ED45" s="1006"/>
      <c r="EE45" s="268"/>
      <c r="EF45" s="268"/>
      <c r="EG45" s="1003" t="str">
        <f t="shared" si="74"/>
        <v/>
      </c>
      <c r="EH45" s="1004"/>
      <c r="EI45" s="1003" t="str">
        <f t="shared" si="75"/>
        <v/>
      </c>
      <c r="EJ45" s="1004"/>
      <c r="EK45" s="1003" t="str">
        <f t="shared" si="76"/>
        <v/>
      </c>
      <c r="EL45" s="1004"/>
      <c r="EM45" s="268"/>
      <c r="EN45" s="268"/>
      <c r="EO45" s="268"/>
      <c r="EP45" s="268"/>
      <c r="EQ45" s="268"/>
      <c r="ER45" s="268"/>
      <c r="ES45" s="268"/>
      <c r="ET45" s="268"/>
      <c r="EU45" s="268"/>
      <c r="EV45" s="268"/>
      <c r="EW45" s="268"/>
      <c r="EX45" s="718">
        <f>MAX(EG42:EL47)</f>
        <v>19</v>
      </c>
      <c r="EY45" s="320"/>
      <c r="EZ45" s="718">
        <f>IF(EX42+EX45=$F$19,0,EX45)</f>
        <v>19</v>
      </c>
      <c r="FA45" s="320"/>
      <c r="FB45" s="718">
        <f>IF(IFERROR(ROUNDDOWN($F$19/EZ45,0),0)&lt;=FU45,IFERROR(ROUNDDOWN($F$19/EZ45,0),0),FU45)</f>
        <v>1</v>
      </c>
      <c r="FC45" s="320"/>
      <c r="FD45" s="718">
        <f>FB45*EZ45</f>
        <v>19</v>
      </c>
      <c r="FE45" s="320"/>
      <c r="FF45" s="718">
        <f>EZ45</f>
        <v>19</v>
      </c>
      <c r="FG45" s="320"/>
      <c r="FH45" s="718">
        <f>FB45</f>
        <v>1</v>
      </c>
      <c r="FJ45" s="268"/>
      <c r="FK45" s="718">
        <f>IF(EZ45=0,0,SUM(EG42:EL47))</f>
        <v>57</v>
      </c>
      <c r="FM45" s="718">
        <f>IF($F$19-(FK45-FD45)=$F$19,0,$F$19-(FK45-FD45))</f>
        <v>-8</v>
      </c>
      <c r="FN45" s="320"/>
      <c r="FO45" s="718">
        <f>IF(FM45=0,0,1)</f>
        <v>1</v>
      </c>
      <c r="FQ45" s="632">
        <f>IFERROR(IF(FF45=0,0,ROUNDUP(FK45/$F$19,0)),0)</f>
        <v>2</v>
      </c>
      <c r="FS45" s="718">
        <f>FQ45*$F$19</f>
        <v>60</v>
      </c>
      <c r="FU45" s="632">
        <f>COUNT(EG42:EL47)</f>
        <v>3</v>
      </c>
      <c r="FV45" s="268"/>
      <c r="FY45" s="720">
        <f>GC45+GF45</f>
        <v>2</v>
      </c>
      <c r="GA45" s="718">
        <f>(GC45*GD45)+(GF45*GG45)</f>
        <v>11</v>
      </c>
      <c r="GC45" s="687">
        <f>FH45</f>
        <v>1</v>
      </c>
      <c r="GD45" s="719">
        <f>FF45</f>
        <v>19</v>
      </c>
      <c r="GE45" s="1" t="s">
        <v>441</v>
      </c>
      <c r="GF45" s="687">
        <f>FO45</f>
        <v>1</v>
      </c>
      <c r="GG45" s="719">
        <f>FM45</f>
        <v>-8</v>
      </c>
      <c r="GH45" s="268"/>
      <c r="GI45" s="268"/>
      <c r="GJ45" s="268"/>
      <c r="GK45" s="268"/>
      <c r="GL45" s="268"/>
      <c r="GM45" s="268"/>
      <c r="GN45" s="268"/>
      <c r="GO45" s="268"/>
      <c r="GP45" s="268"/>
      <c r="GQ45" s="268"/>
      <c r="HA45" s="47"/>
      <c r="HW45" s="47"/>
      <c r="HX45" s="532"/>
      <c r="IG45" s="47"/>
    </row>
    <row r="46" spans="3:241">
      <c r="C46" s="532"/>
      <c r="AS46" s="1225" t="str">
        <f t="shared" si="47"/>
        <v/>
      </c>
      <c r="AT46" s="1289"/>
      <c r="AU46" s="1225" t="str">
        <f t="shared" si="48"/>
        <v/>
      </c>
      <c r="AV46" s="1289"/>
      <c r="AW46" s="1225" t="str">
        <f t="shared" si="49"/>
        <v/>
      </c>
      <c r="AX46" s="1289"/>
      <c r="BB46" s="740" t="str">
        <f t="shared" si="50"/>
        <v>                  ┃</v>
      </c>
      <c r="BC46" s="734" t="str">
        <f t="shared" si="77"/>
        <v>                  ┃</v>
      </c>
      <c r="BD46" s="734" t="str">
        <f t="shared" si="51"/>
        <v>                  ┃</v>
      </c>
      <c r="BE46" s="734" t="str">
        <f t="shared" si="77"/>
        <v>                  ┃</v>
      </c>
      <c r="BF46" s="734" t="str">
        <f t="shared" si="52"/>
        <v>                  ┃</v>
      </c>
      <c r="BG46" s="735" t="str">
        <f t="shared" si="77"/>
        <v>                  ┃</v>
      </c>
      <c r="BH46" s="656" t="s">
        <v>611</v>
      </c>
      <c r="BI46" s="683">
        <f>BI18</f>
        <v>3</v>
      </c>
      <c r="BW46" s="1260" t="str">
        <f t="shared" si="53"/>
        <v/>
      </c>
      <c r="BX46" s="1226"/>
      <c r="BY46" s="1260" t="str">
        <f t="shared" si="54"/>
        <v/>
      </c>
      <c r="BZ46" s="1226"/>
      <c r="CA46" s="1260" t="str">
        <f t="shared" si="55"/>
        <v/>
      </c>
      <c r="CB46" s="1226"/>
      <c r="CF46" s="740" t="str">
        <f t="shared" si="56"/>
        <v>                  ┃</v>
      </c>
      <c r="CG46" s="734" t="str">
        <f t="shared" si="57"/>
        <v>                  ┃</v>
      </c>
      <c r="CH46" s="734" t="str">
        <f t="shared" si="58"/>
        <v>                  ┃</v>
      </c>
      <c r="CI46" s="734" t="str">
        <f t="shared" si="59"/>
        <v>                  ┃</v>
      </c>
      <c r="CJ46" s="734" t="str">
        <f t="shared" si="60"/>
        <v>                  ┃</v>
      </c>
      <c r="CK46" s="735" t="str">
        <f t="shared" si="61"/>
        <v>                  ┃</v>
      </c>
      <c r="CL46" s="655" t="s">
        <v>611</v>
      </c>
      <c r="CM46" s="683">
        <f>CM18</f>
        <v>3</v>
      </c>
      <c r="DA46" s="1005">
        <f t="shared" si="62"/>
        <v>0</v>
      </c>
      <c r="DB46" s="1006"/>
      <c r="DC46" s="1005">
        <f t="shared" si="63"/>
        <v>0</v>
      </c>
      <c r="DD46" s="1006"/>
      <c r="DE46" s="1005">
        <f t="shared" si="64"/>
        <v>0</v>
      </c>
      <c r="DF46" s="1006"/>
      <c r="DG46" s="268"/>
      <c r="DI46" s="1005" t="str">
        <f t="shared" si="65"/>
        <v/>
      </c>
      <c r="DJ46" s="1006"/>
      <c r="DK46" s="1005" t="str">
        <f t="shared" si="66"/>
        <v/>
      </c>
      <c r="DL46" s="1006"/>
      <c r="DM46" s="1005" t="str">
        <f t="shared" si="67"/>
        <v/>
      </c>
      <c r="DN46" s="1006"/>
      <c r="DO46" s="268"/>
      <c r="DP46" s="268"/>
      <c r="DQ46" s="1005" t="str">
        <f t="shared" si="68"/>
        <v/>
      </c>
      <c r="DR46" s="1006"/>
      <c r="DS46" s="1005" t="str">
        <f t="shared" si="69"/>
        <v/>
      </c>
      <c r="DT46" s="1006"/>
      <c r="DU46" s="1005" t="str">
        <f t="shared" si="70"/>
        <v/>
      </c>
      <c r="DV46" s="1006"/>
      <c r="DW46" s="268"/>
      <c r="DX46" s="268"/>
      <c r="DY46" s="1005" t="str">
        <f t="shared" si="71"/>
        <v/>
      </c>
      <c r="DZ46" s="1006"/>
      <c r="EA46" s="1005" t="str">
        <f t="shared" si="72"/>
        <v/>
      </c>
      <c r="EB46" s="1006"/>
      <c r="EC46" s="1005" t="str">
        <f t="shared" si="73"/>
        <v/>
      </c>
      <c r="ED46" s="1006"/>
      <c r="EE46" s="268"/>
      <c r="EF46" s="268"/>
      <c r="EG46" s="1003" t="str">
        <f t="shared" si="74"/>
        <v/>
      </c>
      <c r="EH46" s="1004"/>
      <c r="EI46" s="1003" t="str">
        <f t="shared" si="75"/>
        <v/>
      </c>
      <c r="EJ46" s="1004"/>
      <c r="EK46" s="1003" t="str">
        <f t="shared" si="76"/>
        <v/>
      </c>
      <c r="EL46" s="1004"/>
      <c r="EM46" s="268"/>
      <c r="EN46" s="268"/>
      <c r="EO46" s="268"/>
      <c r="EP46" s="268"/>
      <c r="EQ46" s="268"/>
      <c r="ER46" s="268"/>
      <c r="ES46" s="268"/>
      <c r="ET46" s="268"/>
      <c r="EU46" s="268"/>
      <c r="EV46" s="268"/>
      <c r="EW46" s="268"/>
      <c r="EX46" s="268"/>
      <c r="EY46" s="268"/>
      <c r="EZ46" s="268"/>
      <c r="FA46" s="268"/>
      <c r="FB46" s="268"/>
      <c r="FC46" s="268"/>
      <c r="FD46" s="268"/>
      <c r="FE46" s="268"/>
      <c r="FF46" s="268"/>
      <c r="FG46" s="268"/>
      <c r="FJ46" s="268"/>
      <c r="FK46" s="268"/>
      <c r="FL46" s="268"/>
      <c r="FM46" s="268"/>
      <c r="FN46" s="268"/>
      <c r="FO46" s="268"/>
      <c r="FP46" s="268"/>
      <c r="FQ46" s="268"/>
      <c r="FR46" s="268"/>
      <c r="FS46" s="268"/>
      <c r="FT46" s="268"/>
      <c r="FU46" s="268"/>
      <c r="FV46" s="268"/>
      <c r="GC46" s="268"/>
      <c r="GD46" s="268"/>
      <c r="GE46" s="268"/>
      <c r="GF46" s="268"/>
      <c r="GG46" s="268"/>
      <c r="GH46" s="268"/>
      <c r="GI46" s="268"/>
      <c r="GJ46" s="268"/>
      <c r="GK46" s="268"/>
      <c r="GL46" s="268"/>
      <c r="GM46" s="268"/>
      <c r="GN46" s="268"/>
      <c r="GO46" s="268"/>
      <c r="GP46" s="268"/>
      <c r="GQ46" s="268"/>
      <c r="HA46" s="47"/>
      <c r="HW46" s="47"/>
      <c r="HX46" s="532"/>
      <c r="IG46" s="47"/>
    </row>
    <row r="47" spans="3:241">
      <c r="C47" s="532"/>
      <c r="AS47" s="1227" t="str">
        <f t="shared" si="47"/>
        <v/>
      </c>
      <c r="AT47" s="1290"/>
      <c r="AU47" s="1227" t="str">
        <f t="shared" si="48"/>
        <v/>
      </c>
      <c r="AV47" s="1290"/>
      <c r="AW47" s="1227" t="str">
        <f t="shared" si="49"/>
        <v/>
      </c>
      <c r="AX47" s="1290"/>
      <c r="AY47" t="s">
        <v>506</v>
      </c>
      <c r="AZ47" s="726">
        <f>ET42</f>
        <v>3</v>
      </c>
      <c r="BB47" s="741" t="str">
        <f t="shared" si="50"/>
        <v>                  ┃</v>
      </c>
      <c r="BC47" s="742" t="str">
        <f t="shared" si="77"/>
        <v>                  ┃</v>
      </c>
      <c r="BD47" s="742" t="str">
        <f t="shared" si="51"/>
        <v>                  ┃</v>
      </c>
      <c r="BE47" s="742" t="str">
        <f t="shared" si="77"/>
        <v>                  ┃</v>
      </c>
      <c r="BF47" s="742" t="str">
        <f t="shared" si="52"/>
        <v>                  ┃</v>
      </c>
      <c r="BG47" s="736" t="str">
        <f t="shared" si="77"/>
        <v>                  ┃</v>
      </c>
      <c r="BH47" s="745">
        <f>BH19</f>
        <v>12</v>
      </c>
      <c r="BI47" s="552">
        <f>BI19</f>
        <v>30</v>
      </c>
      <c r="BW47" s="1257" t="str">
        <f t="shared" si="53"/>
        <v/>
      </c>
      <c r="BX47" s="1229"/>
      <c r="BY47" s="1257" t="str">
        <f t="shared" si="54"/>
        <v/>
      </c>
      <c r="BZ47" s="1229"/>
      <c r="CA47" s="1257" t="str">
        <f t="shared" si="55"/>
        <v/>
      </c>
      <c r="CB47" s="1229"/>
      <c r="CC47" t="s">
        <v>506</v>
      </c>
      <c r="CD47">
        <f>IF($AP$40=TRUE,AZ47,0)</f>
        <v>3</v>
      </c>
      <c r="CF47" s="741" t="str">
        <f t="shared" si="56"/>
        <v>                  ┃</v>
      </c>
      <c r="CG47" s="742" t="str">
        <f t="shared" si="57"/>
        <v>                  ┃</v>
      </c>
      <c r="CH47" s="742" t="str">
        <f t="shared" si="58"/>
        <v>                  ┃</v>
      </c>
      <c r="CI47" s="742" t="str">
        <f t="shared" si="59"/>
        <v>                  ┃</v>
      </c>
      <c r="CJ47" s="742" t="str">
        <f t="shared" si="60"/>
        <v>                  ┃</v>
      </c>
      <c r="CK47" s="736" t="str">
        <f t="shared" si="61"/>
        <v>                  ┃</v>
      </c>
      <c r="CL47" s="717">
        <f>CL19</f>
        <v>12</v>
      </c>
      <c r="CM47" s="552">
        <f>CM19</f>
        <v>30</v>
      </c>
      <c r="DA47" s="1005">
        <f t="shared" si="62"/>
        <v>0</v>
      </c>
      <c r="DB47" s="1006"/>
      <c r="DC47" s="1005">
        <f t="shared" si="63"/>
        <v>0</v>
      </c>
      <c r="DD47" s="1006"/>
      <c r="DE47" s="1005">
        <f t="shared" si="64"/>
        <v>0</v>
      </c>
      <c r="DF47" s="1006"/>
      <c r="DG47" s="268"/>
      <c r="DI47" s="1005" t="str">
        <f t="shared" si="65"/>
        <v/>
      </c>
      <c r="DJ47" s="1006"/>
      <c r="DK47" s="1005" t="str">
        <f t="shared" si="66"/>
        <v/>
      </c>
      <c r="DL47" s="1006"/>
      <c r="DM47" s="1005" t="str">
        <f t="shared" si="67"/>
        <v/>
      </c>
      <c r="DN47" s="1006"/>
      <c r="DO47" s="268"/>
      <c r="DP47" s="268"/>
      <c r="DQ47" s="1005" t="str">
        <f t="shared" si="68"/>
        <v/>
      </c>
      <c r="DR47" s="1006"/>
      <c r="DS47" s="1005" t="str">
        <f t="shared" si="69"/>
        <v/>
      </c>
      <c r="DT47" s="1006"/>
      <c r="DU47" s="1005" t="str">
        <f t="shared" si="70"/>
        <v/>
      </c>
      <c r="DV47" s="1006"/>
      <c r="DW47" s="268"/>
      <c r="DX47" s="268"/>
      <c r="DY47" s="1005" t="str">
        <f t="shared" si="71"/>
        <v/>
      </c>
      <c r="DZ47" s="1006"/>
      <c r="EA47" s="1005" t="str">
        <f t="shared" si="72"/>
        <v/>
      </c>
      <c r="EB47" s="1006"/>
      <c r="EC47" s="1005" t="str">
        <f t="shared" si="73"/>
        <v/>
      </c>
      <c r="ED47" s="1006"/>
      <c r="EE47" s="268"/>
      <c r="EF47" s="268"/>
      <c r="EG47" s="1003" t="str">
        <f t="shared" si="74"/>
        <v/>
      </c>
      <c r="EH47" s="1004"/>
      <c r="EI47" s="1003" t="str">
        <f t="shared" si="75"/>
        <v/>
      </c>
      <c r="EJ47" s="1004"/>
      <c r="EK47" s="1003" t="str">
        <f t="shared" si="76"/>
        <v/>
      </c>
      <c r="EL47" s="1004"/>
      <c r="EM47" s="268"/>
      <c r="EN47" s="268"/>
      <c r="EO47" s="268"/>
      <c r="EP47" s="268"/>
      <c r="EQ47" s="268"/>
      <c r="ER47" s="268"/>
      <c r="ES47" s="268"/>
      <c r="ET47" s="268"/>
      <c r="EU47" s="268"/>
      <c r="EV47" s="268"/>
      <c r="EW47" s="268"/>
      <c r="EX47" s="268"/>
      <c r="EY47" s="268"/>
      <c r="EZ47" s="268"/>
      <c r="FA47" s="268"/>
      <c r="FB47" s="268"/>
      <c r="FC47" s="268"/>
      <c r="FD47" s="268"/>
      <c r="FE47" s="268"/>
      <c r="FF47" s="268"/>
      <c r="FG47" s="268"/>
      <c r="FJ47" s="268"/>
      <c r="FK47" s="268"/>
      <c r="FL47" s="268"/>
      <c r="FM47" s="268"/>
      <c r="FN47" s="268"/>
      <c r="FO47" s="268"/>
      <c r="FP47" s="268"/>
      <c r="FQ47" s="268"/>
      <c r="FR47" s="268"/>
      <c r="FS47" s="268"/>
      <c r="FT47" s="268"/>
      <c r="FU47" s="268"/>
      <c r="FV47" s="268"/>
      <c r="GC47" s="268"/>
      <c r="GD47" s="268"/>
      <c r="GE47" s="268"/>
      <c r="GF47" s="268"/>
      <c r="GG47" s="268"/>
      <c r="GH47" s="268"/>
      <c r="GI47" s="268"/>
      <c r="GJ47" s="268"/>
      <c r="GK47" s="268"/>
      <c r="GL47" s="268"/>
      <c r="GM47" s="268"/>
      <c r="GN47" s="268"/>
      <c r="GO47" s="268"/>
      <c r="GP47" s="268"/>
      <c r="GQ47" s="268"/>
      <c r="HA47" s="47"/>
      <c r="HW47" s="47"/>
      <c r="HX47" s="532"/>
      <c r="IG47" s="47"/>
    </row>
    <row r="48" spans="3:241">
      <c r="C48" s="532"/>
      <c r="AY48" t="s">
        <v>612</v>
      </c>
      <c r="AZ48">
        <f>IF(H19=0,0,1)</f>
        <v>1</v>
      </c>
      <c r="CC48" t="s">
        <v>612</v>
      </c>
      <c r="CD48">
        <f>IF($AP$40=TRUE,AZ48,0)</f>
        <v>1</v>
      </c>
      <c r="HA48" s="47"/>
      <c r="HW48" s="47"/>
      <c r="HX48" s="532"/>
      <c r="IG48" s="47"/>
    </row>
    <row r="49" spans="3:241" ht="30">
      <c r="C49" s="532"/>
      <c r="AY49" s="289" t="s">
        <v>613</v>
      </c>
      <c r="AZ49" s="597">
        <f>IF(AZ48=0,AZ47*D9,AZ47)</f>
        <v>3</v>
      </c>
      <c r="CC49" s="289" t="s">
        <v>613</v>
      </c>
      <c r="CD49">
        <f>IF($AP$40=TRUE,AZ49,0)</f>
        <v>3</v>
      </c>
      <c r="HA49" s="47"/>
      <c r="HW49" s="47"/>
      <c r="HX49" s="532"/>
      <c r="IG49" s="47"/>
    </row>
    <row r="50" spans="3:241">
      <c r="C50" s="532"/>
      <c r="AY50" t="s">
        <v>614</v>
      </c>
      <c r="AZ50">
        <f>SUM(AY43:AY44)</f>
        <v>2</v>
      </c>
      <c r="CC50" t="s">
        <v>614</v>
      </c>
      <c r="CD50">
        <f>IF($AP$40=TRUE,AZ50,0)</f>
        <v>2</v>
      </c>
      <c r="HA50" s="47"/>
      <c r="HW50" s="47"/>
      <c r="HX50" s="532"/>
      <c r="IG50" s="47"/>
    </row>
    <row r="51" spans="3:241">
      <c r="C51" s="532"/>
      <c r="AY51" s="597" t="s">
        <v>615</v>
      </c>
      <c r="AZ51" s="320">
        <f>GJ42</f>
        <v>11</v>
      </c>
      <c r="CC51" s="597" t="s">
        <v>615</v>
      </c>
      <c r="CD51">
        <f>IF($AP$40=TRUE,AZ51,0)</f>
        <v>11</v>
      </c>
      <c r="HA51" s="47"/>
      <c r="HW51" s="47"/>
      <c r="HX51" s="532"/>
      <c r="IG51" s="47"/>
    </row>
    <row r="52" spans="3:241">
      <c r="C52" s="532"/>
      <c r="AY52" s="597"/>
      <c r="HA52" s="47"/>
      <c r="HW52" s="47"/>
      <c r="HX52" s="532"/>
      <c r="IG52" s="47"/>
    </row>
    <row r="53" spans="3:241">
      <c r="C53" s="532"/>
      <c r="AY53" s="597"/>
      <c r="HA53" s="47"/>
      <c r="HW53" s="47"/>
      <c r="HX53" s="532"/>
      <c r="IG53" s="47"/>
    </row>
    <row r="54" spans="3:241">
      <c r="C54" s="532"/>
      <c r="AY54" s="597"/>
      <c r="HA54" s="47"/>
      <c r="HW54" s="47"/>
      <c r="HX54" s="532"/>
      <c r="IG54" s="47"/>
    </row>
    <row r="55" spans="3:241">
      <c r="C55" s="532"/>
      <c r="AY55" s="597"/>
      <c r="HA55" s="47"/>
      <c r="HW55" s="47"/>
      <c r="HX55" s="532"/>
      <c r="IG55" s="47"/>
    </row>
    <row r="56" spans="3:241">
      <c r="C56" s="532"/>
      <c r="AY56" s="597"/>
      <c r="HA56" s="47"/>
      <c r="HW56" s="47"/>
      <c r="HX56" s="532"/>
      <c r="IG56" s="47"/>
    </row>
    <row r="57" spans="3:241">
      <c r="C57" s="532"/>
      <c r="AY57" s="597"/>
      <c r="HA57" s="47"/>
      <c r="HW57" s="47"/>
      <c r="HX57" s="532"/>
      <c r="IG57" s="47"/>
    </row>
    <row r="58" spans="3:241">
      <c r="C58" s="532"/>
      <c r="AY58" s="597"/>
      <c r="HA58" s="47"/>
      <c r="HW58" s="47"/>
      <c r="HX58" s="532"/>
      <c r="IG58" s="47"/>
    </row>
    <row r="59" spans="3:241">
      <c r="C59" s="532"/>
      <c r="AY59" s="597"/>
      <c r="HA59" s="47"/>
      <c r="HW59" s="47"/>
      <c r="HX59" s="532"/>
      <c r="IG59" s="47"/>
    </row>
    <row r="60" spans="3:241">
      <c r="C60" s="532"/>
      <c r="AY60" s="597"/>
      <c r="HA60" s="47"/>
      <c r="HW60" s="47"/>
      <c r="HX60" s="532"/>
      <c r="IG60" s="47"/>
    </row>
    <row r="61" spans="3:241">
      <c r="C61" s="532"/>
      <c r="AY61" s="597"/>
      <c r="HA61" s="47"/>
      <c r="HW61" s="47"/>
      <c r="HX61" s="532"/>
      <c r="IG61" s="47"/>
    </row>
    <row r="62" spans="3:241">
      <c r="C62" s="532"/>
      <c r="AY62" s="597"/>
      <c r="HA62" s="47"/>
      <c r="HW62" s="47"/>
      <c r="HX62" s="532"/>
      <c r="IG62" s="47"/>
    </row>
    <row r="63" spans="3:241">
      <c r="C63" s="532"/>
      <c r="AY63" s="597"/>
      <c r="HA63" s="47"/>
      <c r="HW63" s="47"/>
      <c r="HX63" s="532"/>
      <c r="IG63" s="47"/>
    </row>
    <row r="64" spans="3:241">
      <c r="C64" s="532"/>
      <c r="AY64" s="597"/>
      <c r="HA64" s="47"/>
      <c r="HW64" s="47"/>
      <c r="HX64" s="532"/>
      <c r="IG64" s="47"/>
    </row>
    <row r="65" spans="3:241">
      <c r="C65" s="532"/>
      <c r="AY65" s="597"/>
      <c r="HA65" s="47"/>
      <c r="HW65" s="47"/>
      <c r="HX65" s="532"/>
      <c r="IG65" s="47"/>
    </row>
    <row r="66" spans="3:241">
      <c r="C66" s="532"/>
      <c r="AY66" s="597"/>
      <c r="HA66" s="47"/>
      <c r="HW66" s="47"/>
      <c r="HX66" s="532"/>
      <c r="IG66" s="47"/>
    </row>
    <row r="67" spans="3:241">
      <c r="C67" s="532"/>
      <c r="AY67" s="597"/>
      <c r="HA67" s="47"/>
      <c r="HW67" s="47"/>
      <c r="HX67" s="532"/>
      <c r="IG67" s="47"/>
    </row>
    <row r="68" spans="3:241">
      <c r="C68" s="532"/>
      <c r="AY68" s="597"/>
      <c r="HA68" s="47"/>
      <c r="HW68" s="47"/>
      <c r="HX68" s="532"/>
      <c r="IG68" s="47"/>
    </row>
    <row r="69" spans="3:241">
      <c r="C69" s="532"/>
      <c r="AY69" s="597"/>
      <c r="HA69" s="47"/>
      <c r="HW69" s="47"/>
      <c r="HX69" s="532"/>
      <c r="IG69" s="47"/>
    </row>
    <row r="70" spans="3:241">
      <c r="C70" s="532"/>
      <c r="AY70" s="597"/>
      <c r="HA70" s="47"/>
      <c r="HW70" s="47"/>
      <c r="HX70" s="532"/>
      <c r="IG70" s="47"/>
    </row>
    <row r="71" spans="3:241">
      <c r="C71" s="532"/>
      <c r="AY71" s="597"/>
      <c r="HA71" s="47"/>
      <c r="HW71" s="47"/>
      <c r="HX71" s="532"/>
      <c r="IG71" s="47"/>
    </row>
    <row r="72" spans="3:241">
      <c r="C72" s="532"/>
      <c r="AY72" s="597"/>
      <c r="HA72" s="47"/>
      <c r="HW72" s="47"/>
      <c r="HX72" s="532"/>
      <c r="IG72" s="47"/>
    </row>
    <row r="73" spans="3:241">
      <c r="C73" s="532"/>
      <c r="AY73" s="597"/>
      <c r="HA73" s="47"/>
      <c r="HW73" s="47"/>
      <c r="HX73" s="532"/>
      <c r="IG73" s="47"/>
    </row>
    <row r="74" spans="3:241">
      <c r="C74" s="663"/>
      <c r="D74" s="46"/>
      <c r="E74" s="46"/>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c r="BF74" s="46"/>
      <c r="BG74" s="46"/>
      <c r="BH74" s="46"/>
      <c r="BI74" s="46"/>
      <c r="BJ74" s="46"/>
      <c r="BK74" s="46"/>
      <c r="BL74" s="46"/>
      <c r="BM74" s="46"/>
      <c r="BN74" s="46"/>
      <c r="BO74" s="46"/>
      <c r="BP74" s="46"/>
      <c r="BQ74" s="46"/>
      <c r="BR74" s="46"/>
      <c r="BS74" s="46"/>
      <c r="BT74" s="46"/>
      <c r="BU74" s="46"/>
      <c r="BV74" s="46"/>
      <c r="BW74" s="46"/>
      <c r="BX74" s="46"/>
      <c r="BY74" s="46"/>
      <c r="BZ74" s="46"/>
      <c r="CA74" s="46"/>
      <c r="CB74" s="46"/>
      <c r="CC74" s="46"/>
      <c r="CD74" s="46"/>
      <c r="CE74" s="46"/>
      <c r="CF74" s="46"/>
      <c r="CG74" s="46"/>
      <c r="CH74" s="46"/>
      <c r="CI74" s="46"/>
      <c r="CJ74" s="46"/>
      <c r="CK74" s="46"/>
      <c r="CL74" s="46"/>
      <c r="CM74" s="46"/>
      <c r="CN74" s="46"/>
      <c r="CO74" s="46"/>
      <c r="CP74" s="46"/>
      <c r="CQ74" s="46"/>
      <c r="CR74" s="46"/>
      <c r="CS74" s="46"/>
      <c r="CT74" s="46"/>
      <c r="CU74" s="46"/>
      <c r="CV74" s="46"/>
      <c r="CW74" s="46"/>
      <c r="CX74" s="46"/>
      <c r="CY74" s="46"/>
      <c r="CZ74" s="46"/>
      <c r="DA74" s="46"/>
      <c r="DB74" s="46"/>
      <c r="DC74" s="46"/>
      <c r="DD74" s="46"/>
      <c r="DE74" s="46"/>
      <c r="DF74" s="46"/>
      <c r="DG74" s="46"/>
      <c r="DH74" s="46"/>
      <c r="DI74" s="46"/>
      <c r="DJ74" s="46"/>
      <c r="DK74" s="46"/>
      <c r="DL74" s="46"/>
      <c r="DM74" s="46"/>
      <c r="DN74" s="46"/>
      <c r="DO74" s="46"/>
      <c r="DP74" s="46"/>
      <c r="DQ74" s="46"/>
      <c r="DR74" s="46"/>
      <c r="DS74" s="46"/>
      <c r="DT74" s="46"/>
      <c r="DU74" s="46"/>
      <c r="DV74" s="46"/>
      <c r="DW74" s="46"/>
      <c r="DX74" s="46"/>
      <c r="DY74" s="46"/>
      <c r="DZ74" s="46"/>
      <c r="EA74" s="46"/>
      <c r="EB74" s="46"/>
      <c r="EC74" s="46"/>
      <c r="ED74" s="46"/>
      <c r="EE74" s="46"/>
      <c r="EF74" s="46"/>
      <c r="EG74" s="46"/>
      <c r="EH74" s="46"/>
      <c r="EI74" s="46"/>
      <c r="EJ74" s="46"/>
      <c r="EK74" s="46"/>
      <c r="EL74" s="46"/>
      <c r="EM74" s="46"/>
      <c r="EN74" s="46"/>
      <c r="EO74" s="46"/>
      <c r="EP74" s="46"/>
      <c r="EQ74" s="46"/>
      <c r="ER74" s="46"/>
      <c r="ES74" s="46"/>
      <c r="ET74" s="46"/>
      <c r="EU74" s="46"/>
      <c r="EV74" s="46"/>
      <c r="EW74" s="46"/>
      <c r="EX74" s="46"/>
      <c r="EY74" s="46"/>
      <c r="EZ74" s="46"/>
      <c r="FA74" s="46"/>
      <c r="FB74" s="46"/>
      <c r="FC74" s="46"/>
      <c r="FD74" s="46"/>
      <c r="FE74" s="46"/>
      <c r="FF74" s="46"/>
      <c r="FG74" s="46"/>
      <c r="FH74" s="46"/>
      <c r="FI74" s="46"/>
      <c r="FJ74" s="46"/>
      <c r="FK74" s="46"/>
      <c r="FL74" s="46"/>
      <c r="FM74" s="46"/>
      <c r="FN74" s="46"/>
      <c r="FO74" s="46"/>
      <c r="FP74" s="46"/>
      <c r="FQ74" s="46"/>
      <c r="FR74" s="46"/>
      <c r="FS74" s="46"/>
      <c r="FT74" s="46"/>
      <c r="FU74" s="46"/>
      <c r="FV74" s="46"/>
      <c r="FW74" s="46"/>
      <c r="FX74" s="46"/>
      <c r="FY74" s="46"/>
      <c r="FZ74" s="46"/>
      <c r="GA74" s="46"/>
      <c r="GB74" s="46"/>
      <c r="GC74" s="46"/>
      <c r="GD74" s="46"/>
      <c r="GE74" s="46"/>
      <c r="GF74" s="46"/>
      <c r="GG74" s="46"/>
      <c r="GH74" s="46"/>
      <c r="GI74" s="46"/>
      <c r="GJ74" s="46"/>
      <c r="GK74" s="46"/>
      <c r="GL74" s="46"/>
      <c r="GM74" s="46"/>
      <c r="GN74" s="46"/>
      <c r="GO74" s="46"/>
      <c r="GP74" s="46"/>
      <c r="GQ74" s="46"/>
      <c r="GR74" s="46"/>
      <c r="GS74" s="46"/>
      <c r="GT74" s="46"/>
      <c r="GU74" s="46"/>
      <c r="GV74" s="46"/>
      <c r="GW74" s="46"/>
      <c r="GX74" s="46"/>
      <c r="GY74" s="46"/>
      <c r="GZ74" s="46"/>
      <c r="HA74" s="664"/>
      <c r="HB74" s="46"/>
      <c r="HC74" s="46"/>
      <c r="HD74" s="46"/>
      <c r="HE74" s="46"/>
      <c r="HF74" s="46"/>
      <c r="HG74" s="46"/>
      <c r="HH74" s="46"/>
      <c r="HI74" s="46"/>
      <c r="HJ74" s="46"/>
      <c r="HK74" s="46"/>
      <c r="HL74" s="46"/>
      <c r="HM74" s="46"/>
      <c r="HN74" s="46"/>
      <c r="HO74" s="46"/>
      <c r="HP74" s="46"/>
      <c r="HQ74" s="46"/>
      <c r="HR74" s="46"/>
      <c r="HS74" s="46"/>
      <c r="HT74" s="46"/>
      <c r="HU74" s="46"/>
      <c r="HV74" s="46"/>
      <c r="HW74" s="664"/>
      <c r="HX74" s="663"/>
      <c r="HY74" s="46"/>
      <c r="HZ74" s="46"/>
      <c r="IA74" s="46"/>
      <c r="IB74" s="46"/>
      <c r="IC74" s="46"/>
      <c r="ID74" s="46"/>
      <c r="IE74" s="46"/>
      <c r="IF74" s="46"/>
      <c r="IG74" s="664"/>
    </row>
    <row r="86" spans="2:42">
      <c r="B86" s="358"/>
    </row>
    <row r="87" spans="2:42">
      <c r="B87" s="358"/>
    </row>
    <row r="88" spans="2:42">
      <c r="B88" s="358"/>
    </row>
    <row r="89" spans="2:42">
      <c r="B89" s="358"/>
      <c r="R89" s="375" t="s">
        <v>616</v>
      </c>
    </row>
    <row r="90" spans="2:42">
      <c r="B90" s="358"/>
      <c r="U90" s="995" t="s">
        <v>617</v>
      </c>
      <c r="V90" s="995"/>
      <c r="W90" s="995"/>
    </row>
    <row r="91" spans="2:42">
      <c r="B91" s="358"/>
      <c r="P91" s="358"/>
      <c r="Q91" s="359" t="s">
        <v>30</v>
      </c>
      <c r="R91" s="366">
        <f>MechCarbonPrice!F3</f>
        <v>20</v>
      </c>
      <c r="S91" s="358" t="s">
        <v>239</v>
      </c>
      <c r="T91" s="358"/>
      <c r="U91" s="360" t="s">
        <v>240</v>
      </c>
      <c r="V91" s="361">
        <f>U113</f>
        <v>0</v>
      </c>
      <c r="W91" s="373" t="str">
        <f>IF(V91=0,"","Gets ("&amp; V91 &amp;") 6"" wide isolation wrap")</f>
        <v/>
      </c>
      <c r="X91" s="358">
        <f>IF(R92&gt;1,R92+1,R92)</f>
        <v>7</v>
      </c>
      <c r="Y91" s="358"/>
      <c r="Z91" s="358"/>
      <c r="AA91" s="358"/>
      <c r="AB91" s="358"/>
      <c r="AC91" s="358"/>
      <c r="AD91" s="358"/>
      <c r="AE91" s="358"/>
      <c r="AF91" s="358"/>
      <c r="AG91" s="358"/>
      <c r="AH91" s="358"/>
      <c r="AI91" s="358"/>
      <c r="AJ91" s="358"/>
      <c r="AK91" s="358"/>
      <c r="AL91" s="358"/>
      <c r="AM91" s="358"/>
      <c r="AO91" s="358"/>
      <c r="AP91" s="358" t="s">
        <v>241</v>
      </c>
    </row>
    <row r="92" spans="2:42" ht="60">
      <c r="B92" s="358"/>
      <c r="O92" s="262"/>
      <c r="P92" s="358"/>
      <c r="Q92" s="362" t="s">
        <v>244</v>
      </c>
      <c r="R92" s="419">
        <f>MechCarbonPrice!F5</f>
        <v>6</v>
      </c>
      <c r="S92" s="358" t="s">
        <v>245</v>
      </c>
      <c r="T92" s="358"/>
      <c r="U92" s="364" t="s">
        <v>246</v>
      </c>
      <c r="V92" s="365">
        <f>V113</f>
        <v>7</v>
      </c>
      <c r="W92" s="373" t="str">
        <f>IF(V92=0,"","Gets (" &amp; V92 &amp; ") 12"" by 15' isolation wrap")</f>
        <v>Gets (7) 12" by 15' isolation wrap</v>
      </c>
      <c r="X92" s="358"/>
      <c r="Y92" s="358"/>
      <c r="Z92" s="358"/>
      <c r="AA92" s="358"/>
    </row>
    <row r="93" spans="2:42">
      <c r="B93" s="358"/>
      <c r="O93" s="262"/>
      <c r="P93" s="358"/>
      <c r="Q93" s="358"/>
      <c r="R93" s="358"/>
      <c r="S93" s="358"/>
      <c r="T93" s="358"/>
      <c r="U93" s="364" t="s">
        <v>253</v>
      </c>
      <c r="V93" s="365">
        <f>W113</f>
        <v>0</v>
      </c>
      <c r="W93" s="373" t="str">
        <f>IF(V93=0,"","Gets (" &amp; V93 &amp; ") 12"" by 30' isolation wrap")</f>
        <v/>
      </c>
      <c r="X93" s="373" t="str">
        <f>IF(S101=0,"","30' isolation wrap split into 20ft and 10ft rolls")</f>
        <v/>
      </c>
      <c r="Y93" s="358"/>
      <c r="Z93" s="358"/>
      <c r="AA93" s="358"/>
    </row>
    <row r="94" spans="2:42">
      <c r="B94" s="358"/>
      <c r="F94" t="s">
        <v>618</v>
      </c>
      <c r="I94" t="s">
        <v>591</v>
      </c>
      <c r="J94" t="s">
        <v>619</v>
      </c>
      <c r="K94" t="s">
        <v>620</v>
      </c>
      <c r="L94" t="s">
        <v>621</v>
      </c>
      <c r="M94" t="s">
        <v>595</v>
      </c>
      <c r="P94" s="358"/>
      <c r="Q94" s="358"/>
      <c r="R94" s="358">
        <v>5</v>
      </c>
      <c r="S94" s="358"/>
      <c r="T94" s="358"/>
      <c r="U94" s="358"/>
      <c r="V94" s="358"/>
      <c r="W94" s="358"/>
      <c r="X94" s="358"/>
      <c r="Y94" s="358"/>
      <c r="Z94" s="358"/>
      <c r="AA94" s="358"/>
    </row>
    <row r="95" spans="2:42">
      <c r="B95" s="358"/>
      <c r="F95">
        <v>21</v>
      </c>
      <c r="I95">
        <v>30</v>
      </c>
      <c r="J95">
        <v>11</v>
      </c>
      <c r="K95">
        <v>1</v>
      </c>
      <c r="L95">
        <f>ROUNDDOWN(I95/J95,0)</f>
        <v>2</v>
      </c>
      <c r="M95">
        <f>ROUNDUP(F95/L95,0)</f>
        <v>11</v>
      </c>
      <c r="U95" s="995" t="s">
        <v>622</v>
      </c>
      <c r="V95" s="995"/>
      <c r="W95" s="995"/>
      <c r="X95" s="358"/>
      <c r="Y95" s="358"/>
      <c r="Z95" s="358"/>
      <c r="AA95" s="358"/>
    </row>
    <row r="96" spans="2:42">
      <c r="U96" s="360" t="s">
        <v>240</v>
      </c>
      <c r="V96" s="489">
        <f>IF(R91,AX103,0)</f>
        <v>14</v>
      </c>
      <c r="W96" s="373"/>
      <c r="Y96" s="358"/>
      <c r="Z96" s="358"/>
      <c r="AA96" s="358"/>
    </row>
    <row r="97" spans="2:102">
      <c r="F97">
        <v>21</v>
      </c>
      <c r="I97">
        <v>15</v>
      </c>
      <c r="J97">
        <v>11</v>
      </c>
      <c r="K97">
        <v>1</v>
      </c>
      <c r="L97">
        <f>ROUNDDOWN(I97/J97,0)</f>
        <v>1</v>
      </c>
      <c r="M97">
        <f>ROUNDUP(F97/L97,0)</f>
        <v>21</v>
      </c>
      <c r="P97" s="358"/>
      <c r="S97" s="358"/>
      <c r="T97" s="358"/>
      <c r="U97" s="364" t="s">
        <v>246</v>
      </c>
      <c r="V97" s="488">
        <f>AX105</f>
        <v>7</v>
      </c>
      <c r="W97" s="373"/>
      <c r="Y97" s="358"/>
      <c r="Z97" s="358" t="s">
        <v>260</v>
      </c>
      <c r="AA97" s="482">
        <f>R92+1</f>
        <v>7</v>
      </c>
      <c r="AB97" t="s">
        <v>75</v>
      </c>
    </row>
    <row r="98" spans="2:102">
      <c r="P98" s="358"/>
      <c r="Q98" s="358"/>
      <c r="R98" s="358"/>
      <c r="S98" s="358"/>
      <c r="T98" s="358"/>
      <c r="U98" s="364" t="s">
        <v>253</v>
      </c>
      <c r="V98" s="488">
        <f>AX107</f>
        <v>4</v>
      </c>
      <c r="W98" s="373"/>
      <c r="Y98" s="358"/>
      <c r="Z98" s="358"/>
      <c r="AA98" s="358"/>
      <c r="BW98" t="str">
        <f>"which are (" &amp; (AA99) &amp; ") ft in length"</f>
        <v>which are (11) ft in length</v>
      </c>
    </row>
    <row r="99" spans="2:102">
      <c r="P99" s="358" t="s">
        <v>265</v>
      </c>
      <c r="Q99" s="1291">
        <f>SUM(((R91*PI())*2)/12)</f>
        <v>10.471975511965978</v>
      </c>
      <c r="R99" s="1207"/>
      <c r="S99" s="1208"/>
      <c r="T99" s="358"/>
      <c r="U99" s="358"/>
      <c r="V99" s="358"/>
      <c r="W99" s="358"/>
      <c r="X99" s="358"/>
      <c r="Y99" s="358"/>
      <c r="Z99" s="358" t="s">
        <v>266</v>
      </c>
      <c r="AA99" s="490">
        <f>ROUNDUP(Q99,0)</f>
        <v>11</v>
      </c>
      <c r="AB99" s="358" t="s">
        <v>75</v>
      </c>
      <c r="AC99">
        <f>ROUNDUP(Q99,0)</f>
        <v>11</v>
      </c>
    </row>
    <row r="100" spans="2:102">
      <c r="U100" s="358"/>
      <c r="V100" s="358"/>
      <c r="W100" s="358"/>
      <c r="X100" s="358"/>
      <c r="Y100" s="358"/>
      <c r="Z100" s="358" t="s">
        <v>623</v>
      </c>
      <c r="AA100" s="370">
        <f>AA97*AA99</f>
        <v>77</v>
      </c>
      <c r="AB100" t="s">
        <v>75</v>
      </c>
    </row>
    <row r="101" spans="2:102" ht="90">
      <c r="B101" s="478"/>
      <c r="R101">
        <f>IF(Q99&lt;=16,15,30)</f>
        <v>15</v>
      </c>
      <c r="S101">
        <f>IF(AND(Q99&gt;16,Q99&lt;2=20),1,0)</f>
        <v>0</v>
      </c>
      <c r="T101" s="358"/>
      <c r="U101" s="358"/>
      <c r="V101" s="358"/>
      <c r="W101" s="358" t="s">
        <v>624</v>
      </c>
      <c r="X101" s="358"/>
      <c r="AC101" s="480" t="str">
        <f>"Linear foot per (" &amp; AA99 &amp; ") ft roll"</f>
        <v>Linear foot per (11) ft roll</v>
      </c>
      <c r="AD101" s="483" t="s">
        <v>271</v>
      </c>
      <c r="AE101" s="289"/>
      <c r="AF101" s="483" t="s">
        <v>625</v>
      </c>
      <c r="AI101" s="483" t="s">
        <v>591</v>
      </c>
      <c r="AK101" s="480" t="s">
        <v>592</v>
      </c>
      <c r="AN101" s="480" t="s">
        <v>593</v>
      </c>
      <c r="AP101" s="480" t="s">
        <v>594</v>
      </c>
      <c r="AT101" s="480" t="s">
        <v>595</v>
      </c>
      <c r="AU101" s="480" t="s">
        <v>626</v>
      </c>
      <c r="BD101" s="480" t="s">
        <v>627</v>
      </c>
      <c r="BF101" s="480" t="s">
        <v>628</v>
      </c>
      <c r="BH101" s="480" t="s">
        <v>629</v>
      </c>
      <c r="BJ101" s="480" t="s">
        <v>628</v>
      </c>
      <c r="BL101" s="517" t="s">
        <v>630</v>
      </c>
      <c r="BO101" s="325" t="s">
        <v>486</v>
      </c>
      <c r="BP101" s="480" t="s">
        <v>631</v>
      </c>
      <c r="BS101" s="508" t="s">
        <v>596</v>
      </c>
      <c r="BT101" s="509" t="s">
        <v>597</v>
      </c>
      <c r="BU101" s="509" t="s">
        <v>598</v>
      </c>
      <c r="BV101" s="509" t="s">
        <v>599</v>
      </c>
      <c r="BW101" s="510"/>
      <c r="BX101" s="513" t="s">
        <v>601</v>
      </c>
      <c r="BZ101" s="508" t="s">
        <v>597</v>
      </c>
      <c r="CA101" s="509" t="s">
        <v>596</v>
      </c>
      <c r="CB101" s="510"/>
      <c r="CC101" s="1294" t="s">
        <v>608</v>
      </c>
      <c r="CD101" s="1294"/>
      <c r="CE101" s="1294" t="s">
        <v>608</v>
      </c>
      <c r="CF101" s="1294"/>
      <c r="CG101" s="1294" t="s">
        <v>608</v>
      </c>
      <c r="CH101" s="1294"/>
      <c r="CI101" s="1294" t="s">
        <v>608</v>
      </c>
      <c r="CJ101" s="1294"/>
      <c r="CK101" s="1294" t="s">
        <v>608</v>
      </c>
      <c r="CL101" s="1294"/>
      <c r="CM101" s="1294" t="s">
        <v>608</v>
      </c>
      <c r="CN101" s="1294"/>
      <c r="CO101" s="1294" t="s">
        <v>608</v>
      </c>
      <c r="CP101" s="1294"/>
      <c r="CQ101" s="1294" t="s">
        <v>608</v>
      </c>
      <c r="CR101" s="1294"/>
      <c r="CS101" s="1294" t="s">
        <v>608</v>
      </c>
      <c r="CT101" s="1294"/>
      <c r="CU101" s="1294" t="s">
        <v>608</v>
      </c>
      <c r="CV101" s="1294"/>
      <c r="CW101" s="1294" t="s">
        <v>608</v>
      </c>
      <c r="CX101" s="1295"/>
    </row>
    <row r="102" spans="2:102">
      <c r="T102" s="358"/>
      <c r="U102" s="358"/>
      <c r="V102" s="358"/>
      <c r="W102" s="358"/>
      <c r="X102" s="358"/>
      <c r="BL102" s="518"/>
      <c r="BS102" s="496"/>
      <c r="BX102" s="497"/>
      <c r="BZ102" s="496"/>
      <c r="CX102" s="497"/>
    </row>
    <row r="103" spans="2:102" ht="120">
      <c r="T103" s="358"/>
      <c r="U103" s="358"/>
      <c r="V103" s="358"/>
      <c r="W103" s="358"/>
      <c r="X103" s="358"/>
      <c r="Z103" s="1210" t="s">
        <v>275</v>
      </c>
      <c r="AA103" s="481">
        <v>6.2</v>
      </c>
      <c r="AC103" s="465">
        <f>ROUNDDOWN((20/AA99),0)/2</f>
        <v>0.5</v>
      </c>
      <c r="AD103" s="464" t="str">
        <f>"which is (" &amp; (AC103*2) &amp; ") pieces cut into (" &amp; (AA99) &amp; ") ft equal length from 6 inch roll"</f>
        <v>which is (1) pieces cut into (11) ft equal length from 6 inch roll</v>
      </c>
      <c r="AE103" s="477"/>
      <c r="AF103" s="484">
        <f>AC103*2</f>
        <v>1</v>
      </c>
      <c r="AI103" s="484" t="str">
        <f>"which is (" &amp; (AC103) &amp; ") Linear foot total"</f>
        <v>which is (0.5) Linear foot total</v>
      </c>
      <c r="AK103" s="486">
        <f>IF(AA97-AC103&lt;=0,0,AA97-AC103)</f>
        <v>6.5</v>
      </c>
      <c r="AL103" t="str">
        <f>"which are (" &amp; (AA99) &amp; ") ft in length"</f>
        <v>which are (11) ft in length</v>
      </c>
      <c r="AN103" s="484">
        <f>IFERROR(ROUNDUP(AK103/(AC103/AF103),0),0)</f>
        <v>13</v>
      </c>
      <c r="AP103" s="491">
        <f>AN103+AF103</f>
        <v>14</v>
      </c>
      <c r="AR103" s="325">
        <f>IFERROR(AP103/AF103,0)</f>
        <v>14</v>
      </c>
      <c r="AT103" s="325">
        <f>ROUNDUP(AR103,0)</f>
        <v>14</v>
      </c>
      <c r="AU103" s="325">
        <f>AT103*AF103</f>
        <v>14</v>
      </c>
      <c r="AW103" s="493" t="s">
        <v>240</v>
      </c>
      <c r="AX103" s="494">
        <f>AT103</f>
        <v>14</v>
      </c>
      <c r="AY103" s="495" t="str">
        <f>IF(AX103=0,"","Each one gets cut into (" &amp; AC103*2 &amp; ") equal pieces that are (" &amp; AA99 &amp; ") ft long ")</f>
        <v xml:space="preserve">Each one gets cut into (1) equal pieces that are (11) ft long </v>
      </c>
      <c r="AZ103" s="373" t="s">
        <v>632</v>
      </c>
      <c r="BA103" s="503">
        <f>AX103*AC103</f>
        <v>7</v>
      </c>
      <c r="BB103" s="325" t="s">
        <v>633</v>
      </c>
      <c r="BD103" s="504">
        <f>IFERROR(AF103/AC103,0)</f>
        <v>2</v>
      </c>
      <c r="BF103" s="504">
        <f>BA103*BD103</f>
        <v>14</v>
      </c>
      <c r="BH103" s="504">
        <f>AA97</f>
        <v>7</v>
      </c>
      <c r="BJ103" s="504">
        <f>BH103*BD103</f>
        <v>14</v>
      </c>
      <c r="BL103" s="519">
        <f>BF103-BJ103</f>
        <v>0</v>
      </c>
      <c r="BO103" s="506">
        <v>6.2</v>
      </c>
      <c r="BP103" s="505">
        <f>AX103</f>
        <v>14</v>
      </c>
      <c r="BS103" s="768">
        <v>6.2</v>
      </c>
      <c r="BT103" s="765">
        <f>BP103</f>
        <v>14</v>
      </c>
      <c r="BU103" s="766">
        <f>AF103</f>
        <v>1</v>
      </c>
      <c r="BV103" s="765">
        <f>BT103*BU103</f>
        <v>14</v>
      </c>
      <c r="BX103" s="514" t="str">
        <f>"6"" " &amp; AA99 &amp; "'"</f>
        <v>6" 11'</v>
      </c>
      <c r="BZ103" s="769">
        <f>BT103</f>
        <v>14</v>
      </c>
      <c r="CA103" s="770">
        <v>6.2</v>
      </c>
      <c r="CC103" s="507" t="str">
        <f t="shared" ref="CC103:CX103" si="78">IF(COLUMN()-COLUMN($CC$103)+1&lt;=$BT$103*$BU$103,
TEXT($BX$103,"0.00")&amp;" ("&amp;ROUNDUP((COLUMN()-COLUMN($CC$103)+1)/$BU$103,0)&amp;")",
"")</f>
        <v>6" 11' (1)</v>
      </c>
      <c r="CD103" s="507" t="str">
        <f t="shared" si="78"/>
        <v>6" 11' (2)</v>
      </c>
      <c r="CE103" s="507" t="str">
        <f t="shared" si="78"/>
        <v>6" 11' (3)</v>
      </c>
      <c r="CF103" s="507" t="str">
        <f t="shared" si="78"/>
        <v>6" 11' (4)</v>
      </c>
      <c r="CG103" s="507" t="str">
        <f t="shared" si="78"/>
        <v>6" 11' (5)</v>
      </c>
      <c r="CH103" s="507" t="str">
        <f t="shared" si="78"/>
        <v>6" 11' (6)</v>
      </c>
      <c r="CI103" s="507" t="str">
        <f t="shared" si="78"/>
        <v>6" 11' (7)</v>
      </c>
      <c r="CJ103" s="507" t="str">
        <f t="shared" si="78"/>
        <v>6" 11' (8)</v>
      </c>
      <c r="CK103" s="507" t="str">
        <f t="shared" si="78"/>
        <v>6" 11' (9)</v>
      </c>
      <c r="CL103" s="507" t="str">
        <f t="shared" si="78"/>
        <v>6" 11' (10)</v>
      </c>
      <c r="CM103" s="507" t="str">
        <f t="shared" si="78"/>
        <v>6" 11' (11)</v>
      </c>
      <c r="CN103" s="507" t="str">
        <f t="shared" si="78"/>
        <v>6" 11' (12)</v>
      </c>
      <c r="CO103" s="507" t="str">
        <f t="shared" si="78"/>
        <v>6" 11' (13)</v>
      </c>
      <c r="CP103" s="507" t="str">
        <f t="shared" si="78"/>
        <v>6" 11' (14)</v>
      </c>
      <c r="CQ103" s="507" t="str">
        <f t="shared" si="78"/>
        <v/>
      </c>
      <c r="CR103" s="507" t="str">
        <f t="shared" si="78"/>
        <v/>
      </c>
      <c r="CS103" s="507" t="str">
        <f t="shared" si="78"/>
        <v/>
      </c>
      <c r="CT103" s="507" t="str">
        <f t="shared" si="78"/>
        <v/>
      </c>
      <c r="CU103" s="507" t="str">
        <f t="shared" si="78"/>
        <v/>
      </c>
      <c r="CV103" s="507" t="str">
        <f t="shared" si="78"/>
        <v/>
      </c>
      <c r="CW103" s="507" t="str">
        <f t="shared" si="78"/>
        <v/>
      </c>
      <c r="CX103" s="511" t="str">
        <f t="shared" si="78"/>
        <v/>
      </c>
    </row>
    <row r="104" spans="2:102">
      <c r="T104" s="358"/>
      <c r="U104" s="371">
        <v>0.2638888888888889</v>
      </c>
      <c r="V104" s="371">
        <v>0.51041666666666663</v>
      </c>
      <c r="W104" s="371">
        <v>0.52083333333333337</v>
      </c>
      <c r="Z104" s="1211"/>
      <c r="AA104" s="479"/>
      <c r="AC104" s="477"/>
      <c r="AD104" s="477"/>
      <c r="AE104" s="477"/>
      <c r="AF104" s="485"/>
      <c r="AI104" s="485"/>
      <c r="AK104" s="487"/>
      <c r="AN104" s="485"/>
      <c r="AW104" s="496"/>
      <c r="AY104" s="497"/>
      <c r="BL104" s="518"/>
      <c r="BP104" s="268"/>
      <c r="BS104" s="628"/>
      <c r="BT104" s="629"/>
      <c r="BU104" s="629"/>
      <c r="BV104" s="629"/>
      <c r="BX104" s="515"/>
      <c r="BZ104" s="630"/>
      <c r="CA104" s="631"/>
      <c r="CC104" s="74"/>
      <c r="CD104" s="74"/>
      <c r="CE104" s="74"/>
      <c r="CF104" s="74"/>
      <c r="CG104" s="74"/>
      <c r="CH104" s="74"/>
      <c r="CI104" s="74"/>
      <c r="CJ104" s="74"/>
      <c r="CK104" s="74"/>
      <c r="CL104" s="74"/>
      <c r="CM104" s="320"/>
      <c r="CN104" s="320"/>
      <c r="CO104" s="320"/>
      <c r="CP104" s="320"/>
      <c r="CQ104" s="320"/>
      <c r="CR104" s="320"/>
      <c r="CX104" s="497"/>
    </row>
    <row r="105" spans="2:102" ht="120">
      <c r="O105" s="1209" t="s">
        <v>282</v>
      </c>
      <c r="P105" s="370" t="s">
        <v>283</v>
      </c>
      <c r="Q105" s="1206">
        <f>IF(AND(R101&lt;=20,R91&lt;=12,R92=1),3,0)</f>
        <v>0</v>
      </c>
      <c r="R105" s="1207"/>
      <c r="S105" s="1208"/>
      <c r="T105" s="358"/>
      <c r="U105" s="358">
        <f>Q105</f>
        <v>0</v>
      </c>
      <c r="V105" s="358"/>
      <c r="W105" s="358"/>
      <c r="Z105" s="1211"/>
      <c r="AA105" s="481">
        <v>12.15</v>
      </c>
      <c r="AC105" s="465">
        <f>ROUNDDOWN((15/AA99),0)</f>
        <v>1</v>
      </c>
      <c r="AD105" s="464" t="str">
        <f>"which is (" &amp; (AC105) &amp; ") pieces cut into (" &amp; (AA99) &amp; ") ft equal length from 12 inch roll"</f>
        <v>which is (1) pieces cut into (11) ft equal length from 12 inch roll</v>
      </c>
      <c r="AE105" s="477"/>
      <c r="AF105" s="484">
        <f>AC105</f>
        <v>1</v>
      </c>
      <c r="AI105" s="484" t="str">
        <f>"which is (" &amp; (AC105) &amp; ") Linear foot total"</f>
        <v>which is (1) Linear foot total</v>
      </c>
      <c r="AK105" s="486">
        <f>IF(AA97-AC105&lt;=0,0,AA97-AC105)</f>
        <v>6</v>
      </c>
      <c r="AL105" t="str">
        <f>"which are (" &amp; (AA99) &amp; ") ft in length"</f>
        <v>which are (11) ft in length</v>
      </c>
      <c r="AN105" s="484">
        <f>IFERROR(ROUNDUP(AK105/(AC105/AF105),0),0)</f>
        <v>6</v>
      </c>
      <c r="AP105" s="491">
        <f>AN105+AF105</f>
        <v>7</v>
      </c>
      <c r="AR105" s="325">
        <f>IFERROR(AP105/AF105,0)</f>
        <v>7</v>
      </c>
      <c r="AT105" s="325">
        <f>ROUNDUP(AR105,0)</f>
        <v>7</v>
      </c>
      <c r="AU105" s="325">
        <f>AT105*AF105</f>
        <v>7</v>
      </c>
      <c r="AW105" s="498" t="s">
        <v>246</v>
      </c>
      <c r="AX105" s="489">
        <f>AT105</f>
        <v>7</v>
      </c>
      <c r="AY105" s="499" t="str">
        <f>IF(AX105=0,"","Each one gets cut into (" &amp; AC105 &amp; ") equal pieces that are (" &amp; AA99 &amp; ") ft long")</f>
        <v>Each one gets cut into (1) equal pieces that are (11) ft long</v>
      </c>
      <c r="AZ105" s="373" t="s">
        <v>632</v>
      </c>
      <c r="BA105" s="503">
        <f>AX105*AC105</f>
        <v>7</v>
      </c>
      <c r="BB105" s="325" t="s">
        <v>633</v>
      </c>
      <c r="BD105" s="504">
        <f>IFERROR(AF105/AC105,0)</f>
        <v>1</v>
      </c>
      <c r="BF105" s="504">
        <f>BA105*BD105</f>
        <v>7</v>
      </c>
      <c r="BH105" s="504">
        <f>AA97</f>
        <v>7</v>
      </c>
      <c r="BJ105" s="504">
        <f>BH105*BD105</f>
        <v>7</v>
      </c>
      <c r="BL105" s="519">
        <f>BF105-BJ105</f>
        <v>0</v>
      </c>
      <c r="BO105" s="506">
        <v>12.15</v>
      </c>
      <c r="BP105" s="505">
        <f>AX105</f>
        <v>7</v>
      </c>
      <c r="BS105" s="768">
        <v>12.15</v>
      </c>
      <c r="BT105" s="765">
        <f>BP105</f>
        <v>7</v>
      </c>
      <c r="BU105" s="766">
        <f>AF105</f>
        <v>1</v>
      </c>
      <c r="BV105" s="765">
        <f>BT105*BU105</f>
        <v>7</v>
      </c>
      <c r="BX105" s="514" t="str">
        <f>"12"" " &amp; AA99 &amp; "'"</f>
        <v>12" 11'</v>
      </c>
      <c r="BZ105" s="769">
        <f>BT105</f>
        <v>7</v>
      </c>
      <c r="CA105" s="770">
        <v>12.15</v>
      </c>
      <c r="CC105" s="1293" t="str">
        <f>IF(COLUMN()-COLUMN($CC$105)+1&lt;=$BT$105*$BU$105*2,
TEXT($BX$105,"0.00")&amp;" ("&amp;ROUNDUP((COLUMN()-COLUMN($CC$105)+1)/($BU$105*2),0)&amp;")",
"")</f>
        <v>12" 11' (1)</v>
      </c>
      <c r="CD105" s="1293"/>
      <c r="CE105" s="1293" t="str">
        <f>IF(COLUMN()-COLUMN($CC$105)+1&lt;=$BT$105*$BU$105*2,
TEXT($BX$105,"0.00")&amp;" ("&amp;ROUNDUP((COLUMN()-COLUMN($CC$105)+1)/($BU$105*2),0)&amp;")",
"")</f>
        <v>12" 11' (2)</v>
      </c>
      <c r="CF105" s="1293"/>
      <c r="CG105" s="1293" t="str">
        <f>IF(COLUMN()-COLUMN($CC$105)+1&lt;=$BT$105*$BU$105*2,
TEXT($BX$105,"0.00")&amp;" ("&amp;ROUNDUP((COLUMN()-COLUMN($CC$105)+1)/($BU$105*2),0)&amp;")",
"")</f>
        <v>12" 11' (3)</v>
      </c>
      <c r="CH105" s="1293"/>
      <c r="CI105" s="1293" t="str">
        <f>IF(COLUMN()-COLUMN($CC$105)+1&lt;=$BT$105*$BU$105*2,
TEXT($BX$105,"0.00")&amp;" ("&amp;ROUNDUP((COLUMN()-COLUMN($CC$105)+1)/($BU$105*2),0)&amp;")",
"")</f>
        <v>12" 11' (4)</v>
      </c>
      <c r="CJ105" s="1293"/>
      <c r="CK105" s="1293" t="str">
        <f>IF(COLUMN()-COLUMN($CC$105)+1&lt;=$BT$105*$BU$105*2,
TEXT($BX$105,"0.00")&amp;" ("&amp;ROUNDUP((COLUMN()-COLUMN($CC$105)+1)/($BU$105*2),0)&amp;")",
"")</f>
        <v>12" 11' (5)</v>
      </c>
      <c r="CL105" s="1293"/>
      <c r="CM105" s="1293" t="str">
        <f>IF(COLUMN()-COLUMN($CC$105)+1&lt;=$BT$105*$BU$105*2,
TEXT($BX$105,"0.00")&amp;" ("&amp;ROUNDUP((COLUMN()-COLUMN($CC$105)+1)/($BU$105*2),0)&amp;")",
"")</f>
        <v>12" 11' (6)</v>
      </c>
      <c r="CN105" s="1293"/>
      <c r="CO105" s="1293" t="str">
        <f>IF(COLUMN()-COLUMN($CC$105)+1&lt;=$BT$105*$BU$105*2,
TEXT($BX$105,"0.00")&amp;" ("&amp;ROUNDUP((COLUMN()-COLUMN($CC$105)+1)/($BU$105*2),0)&amp;")",
"")</f>
        <v>12" 11' (7)</v>
      </c>
      <c r="CP105" s="1293"/>
      <c r="CQ105" s="1293" t="str">
        <f>IF(COLUMN()-COLUMN($CC$105)+1&lt;=$BT$105*$BU$105*2,
TEXT($BX$105,"0.00")&amp;" ("&amp;ROUNDUP((COLUMN()-COLUMN($CC$105)+1)/($BU$105*2),0)&amp;")",
"")</f>
        <v/>
      </c>
      <c r="CR105" s="1293"/>
      <c r="CS105" s="1293" t="str">
        <f>IF(COLUMN()-COLUMN($CC$105)+1&lt;=$BT$105*$BU$105*2,
TEXT($BX$105,"0.00")&amp;" ("&amp;ROUNDUP((COLUMN()-COLUMN($CC$105)+1)/($BU$105*2),0)&amp;")",
"")</f>
        <v/>
      </c>
      <c r="CT105" s="1293"/>
      <c r="CU105" s="1293" t="str">
        <f>IF(COLUMN()-COLUMN($CC$105)+1&lt;=$BT$105*$BU$105*2,
TEXT($BX$105,"0.00")&amp;" ("&amp;ROUNDUP((COLUMN()-COLUMN($CC$105)+1)/($BU$105*2),0)&amp;")",
"")</f>
        <v/>
      </c>
      <c r="CV105" s="1293"/>
      <c r="CW105" s="1293" t="str">
        <f>IF(COLUMN()-COLUMN($CC$105)+1&lt;=$BT$105*$BU$105*2,
TEXT($BX$105,"0.00")&amp;" ("&amp;ROUNDUP((COLUMN()-COLUMN($CC$105)+1)/($BU$105*2),0)&amp;")",
"")</f>
        <v/>
      </c>
      <c r="CX105" s="1296"/>
    </row>
    <row r="106" spans="2:102">
      <c r="O106" s="1014"/>
      <c r="P106" s="358"/>
      <c r="Q106" s="358"/>
      <c r="R106" s="358"/>
      <c r="S106" s="358"/>
      <c r="T106" s="358"/>
      <c r="U106" s="358"/>
      <c r="V106" s="358"/>
      <c r="W106" s="358"/>
      <c r="Y106" s="478"/>
      <c r="Z106" s="1211"/>
      <c r="AA106" s="479"/>
      <c r="AC106" s="477"/>
      <c r="AD106" s="477"/>
      <c r="AE106" s="477"/>
      <c r="AF106" s="485"/>
      <c r="AI106" s="485"/>
      <c r="AK106" s="487"/>
      <c r="AN106" s="485"/>
      <c r="AW106" s="496"/>
      <c r="AY106" s="497"/>
      <c r="BL106" s="518"/>
      <c r="BP106" s="268"/>
      <c r="BS106" s="628"/>
      <c r="BT106" s="629"/>
      <c r="BU106" s="629"/>
      <c r="BV106" s="629"/>
      <c r="BX106" s="515"/>
      <c r="BZ106" s="630"/>
      <c r="CA106" s="631"/>
      <c r="CC106" s="74"/>
      <c r="CD106" s="74"/>
      <c r="CE106" s="74"/>
      <c r="CF106" s="74"/>
      <c r="CG106" s="74"/>
      <c r="CH106" s="74"/>
      <c r="CI106" s="74"/>
      <c r="CJ106" s="74"/>
      <c r="CK106" s="74"/>
      <c r="CL106" s="74"/>
      <c r="CM106" s="320"/>
      <c r="CN106" s="320"/>
      <c r="CO106" s="320"/>
      <c r="CP106" s="320"/>
      <c r="CQ106" s="320"/>
      <c r="CR106" s="320"/>
      <c r="CX106" s="497"/>
    </row>
    <row r="107" spans="2:102" ht="120">
      <c r="O107" s="1209"/>
      <c r="P107" s="370" t="s">
        <v>290</v>
      </c>
      <c r="Q107" s="1205">
        <f>IF(AND(R101&lt;=20,R91&gt;12,R91&lt;20,R92=1),1,0)</f>
        <v>0</v>
      </c>
      <c r="R107" s="1205"/>
      <c r="S107" s="1205"/>
      <c r="T107" s="358"/>
      <c r="U107" s="358">
        <f>Q107</f>
        <v>0</v>
      </c>
      <c r="V107" s="358">
        <f>IF(AND(Q107=1,R101&lt;=15),1,0)</f>
        <v>0</v>
      </c>
      <c r="W107" s="358">
        <f>IF(AND(Q107=1,R101&gt;15),1,0)</f>
        <v>0</v>
      </c>
      <c r="Z107" s="1212"/>
      <c r="AA107" s="481">
        <v>12.3</v>
      </c>
      <c r="AC107" s="465">
        <f>ROUNDDOWN((30/AA99),0)</f>
        <v>2</v>
      </c>
      <c r="AD107" s="464" t="str">
        <f>"which is (" &amp; (AC107) &amp; ") pieces cut into (" &amp; (AA99) &amp; ") ft equal length from 12 inch roll"</f>
        <v>which is (2) pieces cut into (11) ft equal length from 12 inch roll</v>
      </c>
      <c r="AE107" s="477"/>
      <c r="AF107" s="484">
        <f>AC107</f>
        <v>2</v>
      </c>
      <c r="AI107" s="484" t="str">
        <f>"which is (" &amp; (AC107) &amp; ") Linear foot total"</f>
        <v>which is (2) Linear foot total</v>
      </c>
      <c r="AK107" s="486">
        <f>IF(AA97-AC107&lt;=0,0,AA97-AC107)</f>
        <v>5</v>
      </c>
      <c r="AL107" t="str">
        <f>"which are (" &amp; (AA99) &amp; ") ft in length"</f>
        <v>which are (11) ft in length</v>
      </c>
      <c r="AN107" s="484">
        <f>IFERROR(ROUNDUP(AK107/(AC107/AF107),0),0)</f>
        <v>5</v>
      </c>
      <c r="AP107" s="491">
        <f>AN107+AF107</f>
        <v>7</v>
      </c>
      <c r="AR107" s="325">
        <f>IFERROR(AP107/AF107,0)</f>
        <v>3.5</v>
      </c>
      <c r="AT107" s="325">
        <f>ROUNDUP(AR107,0)</f>
        <v>4</v>
      </c>
      <c r="AU107" s="325">
        <f>AT107*AF107</f>
        <v>8</v>
      </c>
      <c r="AW107" s="500" t="s">
        <v>253</v>
      </c>
      <c r="AX107" s="501">
        <f>AT107</f>
        <v>4</v>
      </c>
      <c r="AY107" s="502" t="str">
        <f>IF(AX107=0,"","Each one gets cut into (" &amp; AC107 &amp; ") equal pieces that are (" &amp; AA99 &amp; ") ft long")</f>
        <v>Each one gets cut into (2) equal pieces that are (11) ft long</v>
      </c>
      <c r="AZ107" s="373" t="s">
        <v>632</v>
      </c>
      <c r="BA107" s="503">
        <f>AX107*AC107</f>
        <v>8</v>
      </c>
      <c r="BB107" s="325" t="s">
        <v>633</v>
      </c>
      <c r="BD107" s="504">
        <f>IFERROR(AF107/AC107,0)</f>
        <v>1</v>
      </c>
      <c r="BF107" s="504">
        <f>BA107*BD107</f>
        <v>8</v>
      </c>
      <c r="BH107" s="504">
        <f>AA97</f>
        <v>7</v>
      </c>
      <c r="BJ107" s="504">
        <f>BH107*BD107</f>
        <v>7</v>
      </c>
      <c r="BL107" s="520">
        <f>BF107-BJ107</f>
        <v>1</v>
      </c>
      <c r="BO107" s="506">
        <v>12.3</v>
      </c>
      <c r="BP107" s="505">
        <f>AX107</f>
        <v>4</v>
      </c>
      <c r="BS107" s="771">
        <v>12.3</v>
      </c>
      <c r="BT107" s="772">
        <f>BP107</f>
        <v>4</v>
      </c>
      <c r="BU107" s="767">
        <f>AF107</f>
        <v>2</v>
      </c>
      <c r="BV107" s="772">
        <f>BT107*BU107</f>
        <v>8</v>
      </c>
      <c r="BW107" s="512"/>
      <c r="BX107" s="516" t="str">
        <f>"12"" " &amp; AA99 &amp; "'"</f>
        <v>12" 11'</v>
      </c>
      <c r="BZ107" s="773">
        <f>BT107</f>
        <v>4</v>
      </c>
      <c r="CA107" s="774">
        <v>12.3</v>
      </c>
      <c r="CB107" s="512"/>
      <c r="CC107" s="1292" t="str">
        <f>IF(COLUMN()-COLUMN($CC$107)+1&lt;=$BT$107*$BU$107*2,
TEXT($BX$107,"0.00")&amp;" ("&amp;ROUNDUP((COLUMN()-COLUMN($CC$107)+1)/($BU$107*2),0)&amp;")",
"")</f>
        <v>12" 11' (1)</v>
      </c>
      <c r="CD107" s="1292"/>
      <c r="CE107" s="1292" t="str">
        <f>IF(COLUMN()-COLUMN($CC$107)+1&lt;=$BT$107*$BU$107*2,
TEXT($BX$107,"0.00")&amp;" ("&amp;ROUNDUP((COLUMN()-COLUMN($CC$107)+1)/($BU$107*2),0)&amp;")",
"")</f>
        <v>12" 11' (1)</v>
      </c>
      <c r="CF107" s="1292"/>
      <c r="CG107" s="1292" t="str">
        <f>IF(COLUMN()-COLUMN($CC$107)+1&lt;=$BT$107*$BU$107*2,
TEXT($BX$107,"0.00")&amp;" ("&amp;ROUNDUP((COLUMN()-COLUMN($CC$107)+1)/($BU$107*2),0)&amp;")",
"")</f>
        <v>12" 11' (2)</v>
      </c>
      <c r="CH107" s="1292"/>
      <c r="CI107" s="1292" t="str">
        <f>IF(COLUMN()-COLUMN($CC$107)+1&lt;=$BT$107*$BU$107*2,
TEXT($BX$107,"0.00")&amp;" ("&amp;ROUNDUP((COLUMN()-COLUMN($CC$107)+1)/($BU$107*2),0)&amp;")",
"")</f>
        <v>12" 11' (2)</v>
      </c>
      <c r="CJ107" s="1292"/>
      <c r="CK107" s="1292" t="str">
        <f>IF(COLUMN()-COLUMN($CC$107)+1&lt;=$BT$107*$BU$107*2,
TEXT($BX$107,"0.00")&amp;" ("&amp;ROUNDUP((COLUMN()-COLUMN($CC$107)+1)/($BU$107*2),0)&amp;")",
"")</f>
        <v>12" 11' (3)</v>
      </c>
      <c r="CL107" s="1292"/>
      <c r="CM107" s="1292" t="str">
        <f>IF(COLUMN()-COLUMN($CC$107)+1&lt;=$BT$107*$BU$107*2,
TEXT($BX$107,"0.00")&amp;" ("&amp;ROUNDUP((COLUMN()-COLUMN($CC$107)+1)/($BU$107*2),0)&amp;")",
"")</f>
        <v>12" 11' (3)</v>
      </c>
      <c r="CN107" s="1292"/>
      <c r="CO107" s="1292" t="str">
        <f>IF(COLUMN()-COLUMN($CC$107)+1&lt;=$BT$107*$BU$107*2,
TEXT($BX$107,"0.00")&amp;" ("&amp;ROUNDUP((COLUMN()-COLUMN($CC$107)+1)/($BU$107*2),0)&amp;")",
"")</f>
        <v>12" 11' (4)</v>
      </c>
      <c r="CP107" s="1292"/>
      <c r="CQ107" s="1292" t="str">
        <f>IF(COLUMN()-COLUMN($CC$107)+1&lt;=$BT$107*$BU$107*2,
TEXT($BX$107,"0.00")&amp;" ("&amp;ROUNDUP((COLUMN()-COLUMN($CC$107)+1)/($BU$107*2),0)&amp;")",
"")</f>
        <v>12" 11' (4)</v>
      </c>
      <c r="CR107" s="1292"/>
      <c r="CS107" s="1292" t="str">
        <f>IF(COLUMN()-COLUMN($CC$107)+1&lt;=$BT$107*$BU$107*2,
TEXT($BX$107,"0.00")&amp;" ("&amp;ROUNDUP((COLUMN()-COLUMN($CC$107)+1)/($BU$107*2),0)&amp;")",
"")</f>
        <v/>
      </c>
      <c r="CT107" s="1292"/>
      <c r="CU107" s="1292" t="str">
        <f>IF(COLUMN()-COLUMN($CC$107)+1&lt;=$BT$107*$BU$107*2,
TEXT($BX$107,"0.00")&amp;" ("&amp;ROUNDUP((COLUMN()-COLUMN($CC$107)+1)/($BU$107*2),0)&amp;")",
"")</f>
        <v/>
      </c>
      <c r="CV107" s="1292"/>
      <c r="CW107" s="1292" t="str">
        <f>IF(COLUMN()-COLUMN($CC$107)+1&lt;=$BT$107*$BU$107*2,
TEXT($BX$107,"0.00")&amp;" ("&amp;ROUNDUP((COLUMN()-COLUMN($CC$107)+1)/($BU$107*2),0)&amp;")",
"")</f>
        <v/>
      </c>
      <c r="CX107" s="1297"/>
    </row>
    <row r="108" spans="2:102">
      <c r="O108" s="1014"/>
      <c r="P108" s="358"/>
      <c r="Q108" s="358"/>
      <c r="R108" s="358"/>
      <c r="S108" s="358"/>
      <c r="T108" s="358"/>
      <c r="U108" s="358"/>
      <c r="V108" s="358"/>
      <c r="W108" s="358"/>
    </row>
    <row r="109" spans="2:102">
      <c r="B109" s="358"/>
      <c r="O109" s="1209"/>
      <c r="P109" s="325" t="s">
        <v>300</v>
      </c>
      <c r="Q109" s="1205">
        <f>IF(AND(R91&gt;=20,R92=1),1,0)</f>
        <v>0</v>
      </c>
      <c r="R109" s="1205"/>
      <c r="S109" s="1205"/>
      <c r="T109" s="358"/>
      <c r="U109" s="358"/>
      <c r="V109" s="358">
        <f>IF(AND(Q109=1,R101&lt;=15),R92*2,0)</f>
        <v>0</v>
      </c>
      <c r="W109" s="358">
        <f>IF(AND(Q109=1,R101&gt;15),1,0)</f>
        <v>0</v>
      </c>
    </row>
    <row r="110" spans="2:102">
      <c r="B110" s="358"/>
      <c r="O110" s="262"/>
      <c r="P110" s="358"/>
      <c r="Q110" s="358"/>
      <c r="R110" s="358"/>
      <c r="S110" s="358"/>
      <c r="T110" s="358"/>
      <c r="U110" s="358"/>
      <c r="V110" s="358"/>
      <c r="W110" s="358"/>
    </row>
    <row r="111" spans="2:102">
      <c r="B111" s="358"/>
      <c r="O111" s="372" t="s">
        <v>304</v>
      </c>
      <c r="P111" s="370" t="s">
        <v>305</v>
      </c>
      <c r="Q111" s="1205">
        <f>IF(R92&gt;1,1,0)</f>
        <v>1</v>
      </c>
      <c r="R111" s="1205"/>
      <c r="S111" s="1205"/>
      <c r="T111" s="358"/>
      <c r="U111" s="358"/>
      <c r="V111" s="358">
        <f>IF(AND(Q111,R101&lt;=15),R92+1,0)</f>
        <v>7</v>
      </c>
      <c r="W111" s="358">
        <f>IF(AND(Q111=1,R101&gt;15),R92+1,0)</f>
        <v>0</v>
      </c>
      <c r="BY111" s="320" t="b">
        <f>Materials!D1</f>
        <v>0</v>
      </c>
      <c r="BZ111" s="320">
        <f>CA103</f>
        <v>6.2</v>
      </c>
      <c r="CA111" s="451">
        <f>BZ103</f>
        <v>14</v>
      </c>
      <c r="CC111" s="325">
        <f>IF(BY111=FALSE,0,CA111)</f>
        <v>0</v>
      </c>
      <c r="CD111" s="491">
        <f>BZ111</f>
        <v>6.2</v>
      </c>
    </row>
    <row r="112" spans="2:102">
      <c r="B112" s="358"/>
      <c r="O112" s="260"/>
      <c r="P112" s="358"/>
      <c r="Q112" s="358"/>
      <c r="R112" s="358"/>
      <c r="S112" s="358"/>
      <c r="T112" s="358"/>
      <c r="U112" s="358"/>
      <c r="V112" s="358"/>
      <c r="W112" s="358"/>
      <c r="BY112" s="320" t="b">
        <f>Materials!D2</f>
        <v>0</v>
      </c>
      <c r="BZ112" s="320">
        <f>CA105</f>
        <v>12.15</v>
      </c>
      <c r="CA112" s="451">
        <f>BZ105</f>
        <v>7</v>
      </c>
      <c r="CC112" s="827">
        <f>IF(BY112=FALSE,0,CA112)</f>
        <v>0</v>
      </c>
      <c r="CD112" s="491">
        <f>BZ112</f>
        <v>12.15</v>
      </c>
    </row>
    <row r="113" spans="2:82">
      <c r="B113" s="358"/>
      <c r="P113" s="358"/>
      <c r="Q113" s="358"/>
      <c r="R113" s="358"/>
      <c r="S113" s="358"/>
      <c r="T113" s="358" t="s">
        <v>307</v>
      </c>
      <c r="U113" s="358">
        <f>SUM(U105,U106,U107,U108,U109,U110,U111)</f>
        <v>0</v>
      </c>
      <c r="V113" s="358">
        <f>SUM(V105,V106,V107,V108,V109,V110,V111)</f>
        <v>7</v>
      </c>
      <c r="W113" s="358">
        <f>SUM(W105,W106,W107,W108,W109,W110,W111)</f>
        <v>0</v>
      </c>
      <c r="BY113" s="320" t="b">
        <f>Materials!D3</f>
        <v>1</v>
      </c>
      <c r="BZ113" s="320">
        <f>CA107</f>
        <v>12.3</v>
      </c>
      <c r="CA113" s="451">
        <f>BZ107</f>
        <v>4</v>
      </c>
      <c r="CC113" s="325">
        <f>IF(BY113=FALSE,0,CA113)</f>
        <v>4</v>
      </c>
      <c r="CD113" s="989">
        <f>BZ113</f>
        <v>12.3</v>
      </c>
    </row>
    <row r="114" spans="2:82">
      <c r="P114" s="358"/>
      <c r="Q114" s="358"/>
      <c r="R114" s="358"/>
      <c r="S114" s="358"/>
      <c r="T114" s="358"/>
      <c r="U114" s="358"/>
      <c r="V114" s="358"/>
      <c r="W114" s="358"/>
      <c r="X114" s="358"/>
      <c r="Y114" s="358"/>
    </row>
    <row r="115" spans="2:82">
      <c r="P115" s="358"/>
      <c r="Q115" s="358"/>
      <c r="R115" s="358"/>
      <c r="S115" s="358"/>
      <c r="T115" s="358"/>
      <c r="U115" s="358"/>
      <c r="V115" s="358"/>
      <c r="W115" s="358"/>
      <c r="X115" s="358"/>
      <c r="Y115" s="358"/>
      <c r="Z115" s="358"/>
      <c r="AE115" s="358"/>
      <c r="AF115" s="358"/>
      <c r="AG115" s="358"/>
      <c r="AH115" s="358"/>
      <c r="AI115" s="358"/>
      <c r="AJ115" s="358"/>
      <c r="AK115" s="358"/>
      <c r="AL115" s="358"/>
      <c r="AM115" s="358"/>
      <c r="AN115" s="358"/>
      <c r="AO115" s="358"/>
      <c r="AP115" s="358"/>
    </row>
    <row r="116" spans="2:82">
      <c r="P116" s="358"/>
      <c r="Q116" s="358"/>
      <c r="R116" s="358"/>
      <c r="S116" s="358"/>
      <c r="T116" s="358"/>
      <c r="U116" s="358"/>
      <c r="V116" s="358"/>
      <c r="W116" s="358"/>
      <c r="X116" s="358"/>
      <c r="Y116" s="358"/>
      <c r="Z116" s="358"/>
      <c r="AE116" s="358"/>
      <c r="AF116" s="358"/>
      <c r="AG116" s="358"/>
      <c r="AH116" s="358"/>
      <c r="AI116" s="358"/>
      <c r="AJ116" s="358"/>
      <c r="AK116" s="358"/>
      <c r="AL116" s="358"/>
      <c r="AM116" s="358"/>
      <c r="AN116" s="358"/>
      <c r="AO116" s="358"/>
      <c r="AP116" s="358"/>
    </row>
    <row r="117" spans="2:82">
      <c r="P117" s="358"/>
      <c r="Q117" s="358"/>
      <c r="R117" s="358"/>
      <c r="S117" s="358"/>
      <c r="T117" s="358"/>
      <c r="U117" s="358"/>
      <c r="V117" s="358"/>
      <c r="W117" s="358"/>
      <c r="X117" s="358"/>
      <c r="Y117" s="358"/>
      <c r="Z117" s="358"/>
      <c r="AE117" s="358"/>
      <c r="AF117" s="358"/>
      <c r="AG117" s="358"/>
      <c r="AH117" s="358"/>
      <c r="AI117" s="358"/>
      <c r="AJ117" s="358"/>
      <c r="AK117" s="358"/>
      <c r="AL117" s="358"/>
      <c r="AM117" s="358"/>
      <c r="AN117" s="358"/>
      <c r="AO117" s="358"/>
      <c r="AP117" s="358"/>
    </row>
    <row r="118" spans="2:82">
      <c r="P118" s="358"/>
      <c r="Q118" s="358"/>
      <c r="R118" s="358"/>
      <c r="S118" s="358"/>
      <c r="T118" s="358"/>
      <c r="U118" s="358"/>
      <c r="V118" s="358"/>
      <c r="W118" s="358"/>
      <c r="X118" s="358"/>
      <c r="Y118" s="358"/>
      <c r="Z118" s="358"/>
      <c r="AD118" s="358"/>
      <c r="AE118" s="358"/>
      <c r="AF118" s="358"/>
      <c r="AG118" s="358"/>
      <c r="AH118" s="358"/>
      <c r="AI118" s="358"/>
      <c r="AJ118" s="358"/>
      <c r="AK118" s="358"/>
      <c r="AL118" s="358"/>
      <c r="AM118" s="358"/>
      <c r="AN118" s="358"/>
      <c r="AO118" s="358"/>
      <c r="AP118" s="358"/>
    </row>
    <row r="119" spans="2:82">
      <c r="Q119" s="358"/>
      <c r="R119" s="358"/>
      <c r="S119" s="358"/>
      <c r="U119" s="358"/>
      <c r="V119" s="358"/>
    </row>
    <row r="120" spans="2:82">
      <c r="Q120" s="358"/>
      <c r="R120" s="358"/>
      <c r="S120" s="358"/>
      <c r="U120" s="358"/>
      <c r="V120" s="358"/>
    </row>
    <row r="121" spans="2:82">
      <c r="U121" s="358"/>
      <c r="V121" s="358"/>
    </row>
    <row r="122" spans="2:82">
      <c r="U122" s="358"/>
      <c r="V122" s="358"/>
    </row>
    <row r="123" spans="2:82">
      <c r="U123" s="358"/>
      <c r="V123" s="358"/>
    </row>
    <row r="124" spans="2:82">
      <c r="U124" s="358"/>
      <c r="V124" s="358"/>
    </row>
    <row r="125" spans="2:82">
      <c r="U125" s="358"/>
      <c r="V125" s="358"/>
    </row>
    <row r="126" spans="2:82">
      <c r="U126" s="358"/>
      <c r="V126" s="358"/>
    </row>
    <row r="127" spans="2:82">
      <c r="U127" s="358"/>
      <c r="V127" s="358"/>
    </row>
    <row r="128" spans="2:82">
      <c r="U128" s="358"/>
      <c r="V128" s="358"/>
    </row>
    <row r="129" spans="21:22">
      <c r="U129" s="358"/>
      <c r="V129" s="358"/>
    </row>
    <row r="130" spans="21:22">
      <c r="U130" s="358"/>
      <c r="V130" s="358"/>
    </row>
    <row r="131" spans="21:22">
      <c r="U131" s="358"/>
      <c r="V131" s="358"/>
    </row>
    <row r="132" spans="21:22">
      <c r="U132" s="358"/>
      <c r="V132" s="358"/>
    </row>
    <row r="133" spans="21:22">
      <c r="U133" s="358"/>
      <c r="V133" s="358"/>
    </row>
    <row r="134" spans="21:22">
      <c r="U134" s="358"/>
      <c r="V134" s="358"/>
    </row>
    <row r="135" spans="21:22">
      <c r="U135" s="358"/>
      <c r="V135" s="358"/>
    </row>
    <row r="136" spans="21:22">
      <c r="U136" s="358"/>
      <c r="V136" s="358"/>
    </row>
    <row r="137" spans="21:22">
      <c r="U137" s="358"/>
      <c r="V137" s="358"/>
    </row>
  </sheetData>
  <mergeCells count="495">
    <mergeCell ref="CQ105:CR105"/>
    <mergeCell ref="CM107:CN107"/>
    <mergeCell ref="CO107:CP107"/>
    <mergeCell ref="CQ107:CR107"/>
    <mergeCell ref="CS101:CT101"/>
    <mergeCell ref="CM105:CN105"/>
    <mergeCell ref="CO105:CP105"/>
    <mergeCell ref="O105:O109"/>
    <mergeCell ref="Q105:S105"/>
    <mergeCell ref="Q107:S107"/>
    <mergeCell ref="Q109:S109"/>
    <mergeCell ref="CG101:CH101"/>
    <mergeCell ref="CI101:CJ101"/>
    <mergeCell ref="CK105:CL105"/>
    <mergeCell ref="CK101:CL101"/>
    <mergeCell ref="U95:W95"/>
    <mergeCell ref="CC107:CD107"/>
    <mergeCell ref="CE107:CF107"/>
    <mergeCell ref="CG107:CH107"/>
    <mergeCell ref="EI47:EJ47"/>
    <mergeCell ref="AU47:AV47"/>
    <mergeCell ref="AW47:AX47"/>
    <mergeCell ref="BW47:BX47"/>
    <mergeCell ref="BY47:BZ47"/>
    <mergeCell ref="CA47:CB47"/>
    <mergeCell ref="DA47:DB47"/>
    <mergeCell ref="CW101:CX101"/>
    <mergeCell ref="CS105:CT105"/>
    <mergeCell ref="CU105:CV105"/>
    <mergeCell ref="CW105:CX105"/>
    <mergeCell ref="CS107:CT107"/>
    <mergeCell ref="CU107:CV107"/>
    <mergeCell ref="CW107:CX107"/>
    <mergeCell ref="CG105:CH105"/>
    <mergeCell ref="CI105:CJ105"/>
    <mergeCell ref="CU101:CV101"/>
    <mergeCell ref="CM101:CN101"/>
    <mergeCell ref="CO101:CP101"/>
    <mergeCell ref="CQ101:CR101"/>
    <mergeCell ref="EK47:EL47"/>
    <mergeCell ref="Q111:S111"/>
    <mergeCell ref="Z103:Z107"/>
    <mergeCell ref="U90:W90"/>
    <mergeCell ref="Q99:S99"/>
    <mergeCell ref="CI107:CJ107"/>
    <mergeCell ref="CK107:CL107"/>
    <mergeCell ref="CC105:CD105"/>
    <mergeCell ref="CE105:CF105"/>
    <mergeCell ref="DS47:DT47"/>
    <mergeCell ref="DU47:DV47"/>
    <mergeCell ref="DY47:DZ47"/>
    <mergeCell ref="EA47:EB47"/>
    <mergeCell ref="EC47:ED47"/>
    <mergeCell ref="EG47:EH47"/>
    <mergeCell ref="DC47:DD47"/>
    <mergeCell ref="DE47:DF47"/>
    <mergeCell ref="DI47:DJ47"/>
    <mergeCell ref="DK47:DL47"/>
    <mergeCell ref="DM47:DN47"/>
    <mergeCell ref="DQ47:DR47"/>
    <mergeCell ref="CC101:CD101"/>
    <mergeCell ref="CE101:CF101"/>
    <mergeCell ref="AS47:AT47"/>
    <mergeCell ref="EG46:EH46"/>
    <mergeCell ref="EI46:EJ46"/>
    <mergeCell ref="EK46:EL46"/>
    <mergeCell ref="DU46:DV46"/>
    <mergeCell ref="DY46:DZ46"/>
    <mergeCell ref="EA46:EB46"/>
    <mergeCell ref="EC46:ED46"/>
    <mergeCell ref="DA46:DB46"/>
    <mergeCell ref="DC46:DD46"/>
    <mergeCell ref="DE46:DF46"/>
    <mergeCell ref="DI46:DJ46"/>
    <mergeCell ref="DK46:DL46"/>
    <mergeCell ref="DM46:DN46"/>
    <mergeCell ref="DQ46:DR46"/>
    <mergeCell ref="DS46:DT46"/>
    <mergeCell ref="DU45:DV45"/>
    <mergeCell ref="DY45:DZ45"/>
    <mergeCell ref="EA45:EB45"/>
    <mergeCell ref="CL45:CM45"/>
    <mergeCell ref="DA45:DB45"/>
    <mergeCell ref="DC45:DD45"/>
    <mergeCell ref="DE45:DF45"/>
    <mergeCell ref="DI45:DJ45"/>
    <mergeCell ref="DK45:DL45"/>
    <mergeCell ref="AS46:AT46"/>
    <mergeCell ref="AU46:AV46"/>
    <mergeCell ref="AW46:AX46"/>
    <mergeCell ref="BW46:BX46"/>
    <mergeCell ref="BY46:BZ46"/>
    <mergeCell ref="CA46:CB46"/>
    <mergeCell ref="DM45:DN45"/>
    <mergeCell ref="DQ45:DR45"/>
    <mergeCell ref="DS45:DT45"/>
    <mergeCell ref="EK44:EL44"/>
    <mergeCell ref="DU44:DV44"/>
    <mergeCell ref="DY44:DZ44"/>
    <mergeCell ref="AS45:AT45"/>
    <mergeCell ref="AU45:AV45"/>
    <mergeCell ref="AW45:AX45"/>
    <mergeCell ref="BH45:BI45"/>
    <mergeCell ref="BW45:BX45"/>
    <mergeCell ref="BY45:BZ45"/>
    <mergeCell ref="CA45:CB45"/>
    <mergeCell ref="DQ44:DR44"/>
    <mergeCell ref="DS44:DT44"/>
    <mergeCell ref="EA44:EB44"/>
    <mergeCell ref="EC44:ED44"/>
    <mergeCell ref="DA44:DB44"/>
    <mergeCell ref="DC44:DD44"/>
    <mergeCell ref="DE44:DF44"/>
    <mergeCell ref="DI44:DJ44"/>
    <mergeCell ref="DK44:DL44"/>
    <mergeCell ref="DM44:DN44"/>
    <mergeCell ref="EC45:ED45"/>
    <mergeCell ref="EG45:EH45"/>
    <mergeCell ref="EI45:EJ45"/>
    <mergeCell ref="EK45:EL45"/>
    <mergeCell ref="EC43:ED43"/>
    <mergeCell ref="EG43:EH43"/>
    <mergeCell ref="EI43:EJ43"/>
    <mergeCell ref="EK43:EL43"/>
    <mergeCell ref="AS44:AT44"/>
    <mergeCell ref="AU44:AV44"/>
    <mergeCell ref="AW44:AX44"/>
    <mergeCell ref="BW44:BX44"/>
    <mergeCell ref="BY44:BZ44"/>
    <mergeCell ref="CA44:CB44"/>
    <mergeCell ref="DM43:DN43"/>
    <mergeCell ref="DQ43:DR43"/>
    <mergeCell ref="DS43:DT43"/>
    <mergeCell ref="DU43:DV43"/>
    <mergeCell ref="DY43:DZ43"/>
    <mergeCell ref="EA43:EB43"/>
    <mergeCell ref="CA43:CB43"/>
    <mergeCell ref="DA43:DB43"/>
    <mergeCell ref="DC43:DD43"/>
    <mergeCell ref="DE43:DF43"/>
    <mergeCell ref="DI43:DJ43"/>
    <mergeCell ref="DK43:DL43"/>
    <mergeCell ref="EG44:EH44"/>
    <mergeCell ref="EI44:EJ44"/>
    <mergeCell ref="EC42:ED42"/>
    <mergeCell ref="AS41:AT41"/>
    <mergeCell ref="AU41:AV41"/>
    <mergeCell ref="EG42:EH42"/>
    <mergeCell ref="EI42:EJ42"/>
    <mergeCell ref="EK42:EL42"/>
    <mergeCell ref="GY42:GZ42"/>
    <mergeCell ref="AS43:AT43"/>
    <mergeCell ref="AU43:AV43"/>
    <mergeCell ref="AW43:AX43"/>
    <mergeCell ref="BW43:BX43"/>
    <mergeCell ref="BY43:BZ43"/>
    <mergeCell ref="DM42:DN42"/>
    <mergeCell ref="DQ42:DR42"/>
    <mergeCell ref="DS42:DT42"/>
    <mergeCell ref="DU42:DV42"/>
    <mergeCell ref="DY42:DZ42"/>
    <mergeCell ref="EA42:EB42"/>
    <mergeCell ref="CL42:CM42"/>
    <mergeCell ref="DA42:DB42"/>
    <mergeCell ref="DC42:DD42"/>
    <mergeCell ref="DE42:DF42"/>
    <mergeCell ref="DI42:DJ42"/>
    <mergeCell ref="DK42:DL42"/>
    <mergeCell ref="CL41:CM41"/>
    <mergeCell ref="AS42:AT42"/>
    <mergeCell ref="AU42:AV42"/>
    <mergeCell ref="AW42:AX42"/>
    <mergeCell ref="AY42:AZ42"/>
    <mergeCell ref="BH42:BI42"/>
    <mergeCell ref="BW42:BX42"/>
    <mergeCell ref="BY42:BZ42"/>
    <mergeCell ref="CA42:CB42"/>
    <mergeCell ref="CC42:CD42"/>
    <mergeCell ref="BY41:BZ41"/>
    <mergeCell ref="CA41:CB41"/>
    <mergeCell ref="CC41:CD41"/>
    <mergeCell ref="CF41:CG41"/>
    <mergeCell ref="CH41:CI41"/>
    <mergeCell ref="CJ41:CK41"/>
    <mergeCell ref="DC40:DD40"/>
    <mergeCell ref="DS33:DT33"/>
    <mergeCell ref="DU33:DV33"/>
    <mergeCell ref="DY33:DZ33"/>
    <mergeCell ref="EA33:EB33"/>
    <mergeCell ref="EC33:ED33"/>
    <mergeCell ref="EG33:EH33"/>
    <mergeCell ref="DC33:DD33"/>
    <mergeCell ref="DI40:DJ40"/>
    <mergeCell ref="DK40:DL40"/>
    <mergeCell ref="DM40:DN40"/>
    <mergeCell ref="DQ40:DV40"/>
    <mergeCell ref="DY40:ED40"/>
    <mergeCell ref="DQ33:DR33"/>
    <mergeCell ref="EG40:EL40"/>
    <mergeCell ref="DE40:DF40"/>
    <mergeCell ref="EI33:EJ33"/>
    <mergeCell ref="EK33:EL33"/>
    <mergeCell ref="DY32:DZ32"/>
    <mergeCell ref="EA32:EB32"/>
    <mergeCell ref="EC32:ED32"/>
    <mergeCell ref="DQ32:DR32"/>
    <mergeCell ref="DS32:DT32"/>
    <mergeCell ref="AW41:AX41"/>
    <mergeCell ref="AY41:AZ41"/>
    <mergeCell ref="BB41:BC41"/>
    <mergeCell ref="BD41:BE41"/>
    <mergeCell ref="BF41:BG41"/>
    <mergeCell ref="BH41:BI41"/>
    <mergeCell ref="BW41:BX41"/>
    <mergeCell ref="BB37:BI37"/>
    <mergeCell ref="CF37:CM37"/>
    <mergeCell ref="AS40:AX40"/>
    <mergeCell ref="BB40:BG40"/>
    <mergeCell ref="BW40:CB40"/>
    <mergeCell ref="CF40:CK40"/>
    <mergeCell ref="DA40:DB40"/>
    <mergeCell ref="DA32:DB32"/>
    <mergeCell ref="DC32:DD32"/>
    <mergeCell ref="DE32:DF32"/>
    <mergeCell ref="DI32:DJ32"/>
    <mergeCell ref="DK32:DL32"/>
    <mergeCell ref="DM32:DN32"/>
    <mergeCell ref="AS33:AT33"/>
    <mergeCell ref="AU33:AV33"/>
    <mergeCell ref="AW33:AX33"/>
    <mergeCell ref="BW33:BX33"/>
    <mergeCell ref="BY33:BZ33"/>
    <mergeCell ref="CA33:CB33"/>
    <mergeCell ref="DA33:DB33"/>
    <mergeCell ref="DE33:DF33"/>
    <mergeCell ref="DI33:DJ33"/>
    <mergeCell ref="DK33:DL33"/>
    <mergeCell ref="DM33:DN33"/>
    <mergeCell ref="EI31:EJ31"/>
    <mergeCell ref="EK31:EL31"/>
    <mergeCell ref="AS32:AT32"/>
    <mergeCell ref="AU32:AV32"/>
    <mergeCell ref="AW32:AX32"/>
    <mergeCell ref="BW32:BX32"/>
    <mergeCell ref="BY32:BZ32"/>
    <mergeCell ref="CA32:CB32"/>
    <mergeCell ref="DM31:DN31"/>
    <mergeCell ref="DQ31:DR31"/>
    <mergeCell ref="DS31:DT31"/>
    <mergeCell ref="DU31:DV31"/>
    <mergeCell ref="DY31:DZ31"/>
    <mergeCell ref="EA31:EB31"/>
    <mergeCell ref="CL31:CM31"/>
    <mergeCell ref="DA31:DB31"/>
    <mergeCell ref="DC31:DD31"/>
    <mergeCell ref="DE31:DF31"/>
    <mergeCell ref="DI31:DJ31"/>
    <mergeCell ref="DK31:DL31"/>
    <mergeCell ref="EG32:EH32"/>
    <mergeCell ref="EI32:EJ32"/>
    <mergeCell ref="EK32:EL32"/>
    <mergeCell ref="DU32:DV32"/>
    <mergeCell ref="EK30:EL30"/>
    <mergeCell ref="AS31:AT31"/>
    <mergeCell ref="AU31:AV31"/>
    <mergeCell ref="AW31:AX31"/>
    <mergeCell ref="BH31:BI31"/>
    <mergeCell ref="BW31:BX31"/>
    <mergeCell ref="BY31:BZ31"/>
    <mergeCell ref="CA31:CB31"/>
    <mergeCell ref="DQ30:DR30"/>
    <mergeCell ref="DS30:DT30"/>
    <mergeCell ref="DU30:DV30"/>
    <mergeCell ref="DY30:DZ30"/>
    <mergeCell ref="EA30:EB30"/>
    <mergeCell ref="EC30:ED30"/>
    <mergeCell ref="DA30:DB30"/>
    <mergeCell ref="DC30:DD30"/>
    <mergeCell ref="DE30:DF30"/>
    <mergeCell ref="DI30:DJ30"/>
    <mergeCell ref="DK30:DL30"/>
    <mergeCell ref="DM30:DN30"/>
    <mergeCell ref="AS30:AT30"/>
    <mergeCell ref="AU30:AV30"/>
    <mergeCell ref="EC31:ED31"/>
    <mergeCell ref="EG31:EH31"/>
    <mergeCell ref="AW30:AX30"/>
    <mergeCell ref="BW30:BX30"/>
    <mergeCell ref="BY30:BZ30"/>
    <mergeCell ref="CA30:CB30"/>
    <mergeCell ref="DY29:DZ29"/>
    <mergeCell ref="EA29:EB29"/>
    <mergeCell ref="EC29:ED29"/>
    <mergeCell ref="EG29:EH29"/>
    <mergeCell ref="EI29:EJ29"/>
    <mergeCell ref="EG30:EH30"/>
    <mergeCell ref="EI30:EJ30"/>
    <mergeCell ref="EK29:EL29"/>
    <mergeCell ref="DI29:DJ29"/>
    <mergeCell ref="DK29:DL29"/>
    <mergeCell ref="DM29:DN29"/>
    <mergeCell ref="DQ29:DR29"/>
    <mergeCell ref="DS29:DT29"/>
    <mergeCell ref="DU29:DV29"/>
    <mergeCell ref="GY28:GZ28"/>
    <mergeCell ref="AS29:AT29"/>
    <mergeCell ref="AU29:AV29"/>
    <mergeCell ref="AW29:AX29"/>
    <mergeCell ref="BW29:BX29"/>
    <mergeCell ref="BY29:BZ29"/>
    <mergeCell ref="CA29:CB29"/>
    <mergeCell ref="DA29:DB29"/>
    <mergeCell ref="DC29:DD29"/>
    <mergeCell ref="DE29:DF29"/>
    <mergeCell ref="DY28:DZ28"/>
    <mergeCell ref="EA28:EB28"/>
    <mergeCell ref="EC28:ED28"/>
    <mergeCell ref="EG28:EH28"/>
    <mergeCell ref="EI28:EJ28"/>
    <mergeCell ref="EK28:EL28"/>
    <mergeCell ref="DI28:DJ28"/>
    <mergeCell ref="DK28:DL28"/>
    <mergeCell ref="DM28:DN28"/>
    <mergeCell ref="DQ28:DR28"/>
    <mergeCell ref="DS28:DT28"/>
    <mergeCell ref="DU28:DV28"/>
    <mergeCell ref="CA28:CB28"/>
    <mergeCell ref="CC28:CD28"/>
    <mergeCell ref="CL28:CM28"/>
    <mergeCell ref="DA28:DB28"/>
    <mergeCell ref="DC28:DD28"/>
    <mergeCell ref="DE28:DF28"/>
    <mergeCell ref="AS28:AT28"/>
    <mergeCell ref="AU28:AV28"/>
    <mergeCell ref="AW28:AX28"/>
    <mergeCell ref="AY28:AZ28"/>
    <mergeCell ref="BH28:BI28"/>
    <mergeCell ref="BW28:BX28"/>
    <mergeCell ref="BY28:BZ28"/>
    <mergeCell ref="BH27:BI27"/>
    <mergeCell ref="BW27:BX27"/>
    <mergeCell ref="BY27:BZ27"/>
    <mergeCell ref="DQ26:DV26"/>
    <mergeCell ref="DY26:ED26"/>
    <mergeCell ref="EG26:EL26"/>
    <mergeCell ref="AS27:AT27"/>
    <mergeCell ref="AU27:AV27"/>
    <mergeCell ref="AW27:AX27"/>
    <mergeCell ref="AY27:AZ27"/>
    <mergeCell ref="BB27:BC27"/>
    <mergeCell ref="BD27:BE27"/>
    <mergeCell ref="BF27:BG27"/>
    <mergeCell ref="DA26:DB26"/>
    <mergeCell ref="DC26:DD26"/>
    <mergeCell ref="DE26:DF26"/>
    <mergeCell ref="DI26:DJ26"/>
    <mergeCell ref="DK26:DL26"/>
    <mergeCell ref="DM26:DN26"/>
    <mergeCell ref="CH27:CI27"/>
    <mergeCell ref="CJ27:CK27"/>
    <mergeCell ref="CL27:CM27"/>
    <mergeCell ref="CA27:CB27"/>
    <mergeCell ref="CC27:CD27"/>
    <mergeCell ref="CF27:CG27"/>
    <mergeCell ref="CJ19:CK19"/>
    <mergeCell ref="BB23:BI23"/>
    <mergeCell ref="CF23:CM23"/>
    <mergeCell ref="AS26:AX26"/>
    <mergeCell ref="BB26:BG26"/>
    <mergeCell ref="BW26:CB26"/>
    <mergeCell ref="CF26:CK26"/>
    <mergeCell ref="CH18:CI18"/>
    <mergeCell ref="CJ18:CK18"/>
    <mergeCell ref="BB19:BC19"/>
    <mergeCell ref="BD19:BE19"/>
    <mergeCell ref="BF19:BG19"/>
    <mergeCell ref="BW19:BX19"/>
    <mergeCell ref="BY19:BZ19"/>
    <mergeCell ref="CA19:CB19"/>
    <mergeCell ref="CF19:CG19"/>
    <mergeCell ref="CH19:CI19"/>
    <mergeCell ref="CV17:CW17"/>
    <mergeCell ref="HJ17:HK17"/>
    <mergeCell ref="HT17:HU17"/>
    <mergeCell ref="BB18:BC18"/>
    <mergeCell ref="BD18:BE18"/>
    <mergeCell ref="BF18:BG18"/>
    <mergeCell ref="BW18:BX18"/>
    <mergeCell ref="BY18:BZ18"/>
    <mergeCell ref="CA18:CB18"/>
    <mergeCell ref="CF18:CG18"/>
    <mergeCell ref="BY17:BZ17"/>
    <mergeCell ref="CA17:CB17"/>
    <mergeCell ref="CF17:CG17"/>
    <mergeCell ref="CH17:CI17"/>
    <mergeCell ref="CJ17:CK17"/>
    <mergeCell ref="CL17:CM17"/>
    <mergeCell ref="BW16:BX16"/>
    <mergeCell ref="BY16:BZ16"/>
    <mergeCell ref="CA16:CB16"/>
    <mergeCell ref="CF16:CG16"/>
    <mergeCell ref="CH16:CI16"/>
    <mergeCell ref="CJ16:CK16"/>
    <mergeCell ref="BB17:BC17"/>
    <mergeCell ref="BD17:BE17"/>
    <mergeCell ref="BF17:BG17"/>
    <mergeCell ref="BH17:BI17"/>
    <mergeCell ref="BR17:BS17"/>
    <mergeCell ref="BW17:BX17"/>
    <mergeCell ref="CL14:CM14"/>
    <mergeCell ref="CV14:CW14"/>
    <mergeCell ref="GY14:GZ14"/>
    <mergeCell ref="HJ14:HK14"/>
    <mergeCell ref="HT14:HU14"/>
    <mergeCell ref="C15:C19"/>
    <mergeCell ref="BB15:BC15"/>
    <mergeCell ref="BD15:BE15"/>
    <mergeCell ref="BF15:BG15"/>
    <mergeCell ref="BW15:BX15"/>
    <mergeCell ref="BY14:BZ14"/>
    <mergeCell ref="CA14:CB14"/>
    <mergeCell ref="CC14:CD14"/>
    <mergeCell ref="CF14:CG14"/>
    <mergeCell ref="CH14:CI14"/>
    <mergeCell ref="CJ14:CK14"/>
    <mergeCell ref="BY15:BZ15"/>
    <mergeCell ref="CA15:CB15"/>
    <mergeCell ref="CF15:CG15"/>
    <mergeCell ref="CH15:CI15"/>
    <mergeCell ref="CJ15:CK15"/>
    <mergeCell ref="BB16:BC16"/>
    <mergeCell ref="BD16:BE16"/>
    <mergeCell ref="BF16:BG16"/>
    <mergeCell ref="HP13:HQ13"/>
    <mergeCell ref="HR13:HS13"/>
    <mergeCell ref="HT13:HU13"/>
    <mergeCell ref="AY14:AZ14"/>
    <mergeCell ref="BB14:BC14"/>
    <mergeCell ref="BD14:BE14"/>
    <mergeCell ref="BF14:BG14"/>
    <mergeCell ref="BH14:BI14"/>
    <mergeCell ref="BR14:BS14"/>
    <mergeCell ref="BW14:BX14"/>
    <mergeCell ref="CV13:CW13"/>
    <mergeCell ref="HD13:HE13"/>
    <mergeCell ref="HF13:HG13"/>
    <mergeCell ref="HH13:HI13"/>
    <mergeCell ref="HJ13:HK13"/>
    <mergeCell ref="HN13:HO13"/>
    <mergeCell ref="CH13:CI13"/>
    <mergeCell ref="CJ13:CK13"/>
    <mergeCell ref="CL13:CM13"/>
    <mergeCell ref="CP13:CQ13"/>
    <mergeCell ref="CR13:CS13"/>
    <mergeCell ref="CT13:CU13"/>
    <mergeCell ref="BR13:BS13"/>
    <mergeCell ref="BW13:BX13"/>
    <mergeCell ref="AS13:AT13"/>
    <mergeCell ref="AU13:AV13"/>
    <mergeCell ref="AW13:AX13"/>
    <mergeCell ref="AY13:AZ13"/>
    <mergeCell ref="BB13:BC13"/>
    <mergeCell ref="BY13:BZ13"/>
    <mergeCell ref="CA13:CB13"/>
    <mergeCell ref="CC13:CD13"/>
    <mergeCell ref="CF13:CG13"/>
    <mergeCell ref="BD13:BE13"/>
    <mergeCell ref="BF13:BG13"/>
    <mergeCell ref="BH13:BI13"/>
    <mergeCell ref="BL13:BM13"/>
    <mergeCell ref="BN13:BO13"/>
    <mergeCell ref="BP13:BQ13"/>
    <mergeCell ref="HN10:HU10"/>
    <mergeCell ref="HY10:IA10"/>
    <mergeCell ref="IC10:IE10"/>
    <mergeCell ref="AS12:AX12"/>
    <mergeCell ref="BB12:BG12"/>
    <mergeCell ref="BL12:BQ12"/>
    <mergeCell ref="BW12:CB12"/>
    <mergeCell ref="CF12:CK12"/>
    <mergeCell ref="CP12:CU12"/>
    <mergeCell ref="DQ12:DV12"/>
    <mergeCell ref="DY12:ED12"/>
    <mergeCell ref="EG12:EL12"/>
    <mergeCell ref="HD12:HI12"/>
    <mergeCell ref="HN12:HS12"/>
    <mergeCell ref="BM1:BN1"/>
    <mergeCell ref="CQ1:CR1"/>
    <mergeCell ref="C2:F2"/>
    <mergeCell ref="AS5:AT5"/>
    <mergeCell ref="BB10:BI10"/>
    <mergeCell ref="BL10:BS10"/>
    <mergeCell ref="CF10:CM10"/>
    <mergeCell ref="CP10:CW10"/>
    <mergeCell ref="HD10:HK10"/>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67211-2FA0-4E04-A940-FE7FA8C872FE}">
  <sheetPr codeName="Sheet6">
    <pageSetUpPr autoPageBreaks="0"/>
  </sheetPr>
  <dimension ref="E4:AU49"/>
  <sheetViews>
    <sheetView topLeftCell="A38" workbookViewId="0">
      <selection activeCell="G59" sqref="G59"/>
    </sheetView>
  </sheetViews>
  <sheetFormatPr defaultColWidth="9.140625" defaultRowHeight="15"/>
  <cols>
    <col min="1" max="1" width="18.140625" bestFit="1" customWidth="1"/>
    <col min="5" max="5" width="18.140625" bestFit="1" customWidth="1"/>
    <col min="6" max="6" width="13" customWidth="1"/>
    <col min="7" max="7" width="29.140625" customWidth="1"/>
    <col min="8" max="8" width="9.140625" customWidth="1"/>
    <col min="9" max="21" width="9.140625" hidden="1" customWidth="1"/>
    <col min="22" max="23" width="9.140625" customWidth="1"/>
    <col min="24" max="47" width="10.7109375" customWidth="1"/>
  </cols>
  <sheetData>
    <row r="4" spans="5:47" ht="45.75" hidden="1" thickBot="1">
      <c r="L4" s="509" t="s">
        <v>598</v>
      </c>
      <c r="M4" s="510"/>
      <c r="N4" s="513" t="s">
        <v>601</v>
      </c>
      <c r="X4" s="1306" t="s">
        <v>608</v>
      </c>
      <c r="Y4" s="1303"/>
      <c r="Z4" s="1303" t="s">
        <v>608</v>
      </c>
      <c r="AA4" s="1303"/>
      <c r="AB4" s="1303" t="s">
        <v>608</v>
      </c>
      <c r="AC4" s="1303"/>
      <c r="AD4" s="1303" t="s">
        <v>608</v>
      </c>
      <c r="AE4" s="1303"/>
      <c r="AF4" s="1303" t="s">
        <v>608</v>
      </c>
      <c r="AG4" s="1303"/>
      <c r="AH4" s="1303" t="s">
        <v>608</v>
      </c>
      <c r="AI4" s="1303"/>
      <c r="AJ4" s="1303" t="s">
        <v>608</v>
      </c>
      <c r="AK4" s="1303"/>
      <c r="AL4" s="1303" t="s">
        <v>608</v>
      </c>
      <c r="AM4" s="1303"/>
      <c r="AN4" s="1303" t="s">
        <v>608</v>
      </c>
      <c r="AO4" s="1303"/>
      <c r="AP4" s="1303" t="s">
        <v>608</v>
      </c>
      <c r="AQ4" s="1303"/>
      <c r="AR4" s="1303" t="s">
        <v>608</v>
      </c>
      <c r="AS4" s="1303"/>
      <c r="AT4" s="1303" t="s">
        <v>608</v>
      </c>
      <c r="AU4" s="1305"/>
    </row>
    <row r="5" spans="5:47" ht="61.5" hidden="1" customHeight="1">
      <c r="L5" s="766">
        <v>1</v>
      </c>
      <c r="N5" s="514" t="s">
        <v>634</v>
      </c>
      <c r="X5" s="1308" t="str">
        <f>IF(COLUMN()-COLUMN($X$5)+1&lt;=$F$10*$L$5*2,
TEXT($N$5,"0.00")&amp;" ("&amp;ROUNDUP((COLUMN()-COLUMN($X$5)+2)/($L$5*2),0)&amp;")",
"")</f>
        <v>12" 15' (1)</v>
      </c>
      <c r="Y5" s="1310"/>
      <c r="Z5" s="1308" t="str">
        <f>IF(COLUMN()-COLUMN($X$5)+1&lt;=$F$10*$L$5*2,
TEXT($N$5,"0.00")&amp;" ("&amp;ROUNDUP((COLUMN()-COLUMN($X$5)+2)/($L$5*2),0)&amp;")",
"")</f>
        <v>12" 15' (2)</v>
      </c>
      <c r="AA5" s="1309"/>
      <c r="AB5" s="1310" t="str">
        <f>IF(COLUMN()-COLUMN($X$5)+1&lt;=$F$10*$L$5*2,
TEXT($N$5,"0.00")&amp;" ("&amp;ROUNDUP((COLUMN()-COLUMN($X$5)+2)/($L$5*2),0)&amp;")",
"")</f>
        <v>12" 15' (3)</v>
      </c>
      <c r="AC5" s="1310"/>
      <c r="AD5" s="1308" t="str">
        <f>IF(COLUMN()-COLUMN($X$5)+1&lt;=$F$10*$L$5*2,
TEXT($N$5,"0.00")&amp;" ("&amp;ROUNDUP((COLUMN()-COLUMN($X$5)+2)/($L$5*2),0)&amp;")",
"")</f>
        <v>12" 15' (4)</v>
      </c>
      <c r="AE5" s="1309"/>
      <c r="AF5" s="1310" t="str">
        <f>IF(COLUMN()-COLUMN($X$5)+1&lt;=$F$10*$L$5*2,
TEXT($N$5,"0.00")&amp;" ("&amp;ROUNDUP((COLUMN()-COLUMN($X$5)+2)/($L$5*2),0)&amp;")",
"")</f>
        <v>12" 15' (5)</v>
      </c>
      <c r="AG5" s="1310"/>
      <c r="AH5" s="1308" t="str">
        <f>IF(COLUMN()-COLUMN($X$5)+1&lt;=$F$10*$L$5*2,
TEXT($N$5,"0.00")&amp;" ("&amp;ROUNDUP((COLUMN()-COLUMN($X$5)+2)/($L$5*2),0)&amp;")",
"")</f>
        <v>12" 15' (6)</v>
      </c>
      <c r="AI5" s="1309"/>
      <c r="AJ5" s="1310" t="str">
        <f>IF(COLUMN()-COLUMN($X$5)+1&lt;=$F$10*$L$5*2,
TEXT($N$5,"0.00")&amp;" ("&amp;ROUNDUP((COLUMN()-COLUMN($X$5)+2)/($L$5*2),0)&amp;")",
"")</f>
        <v>12" 15' (7)</v>
      </c>
      <c r="AK5" s="1310"/>
      <c r="AL5" s="1308" t="str">
        <f>IF(COLUMN()-COLUMN($X$5)+1&lt;=$F$10*$L$5*2,
TEXT($N$5,"0.00")&amp;" ("&amp;ROUNDUP((COLUMN()-COLUMN($X$5)+2)/($L$5*2),0)&amp;")",
"")</f>
        <v/>
      </c>
      <c r="AM5" s="1309"/>
      <c r="AN5" s="1310" t="str">
        <f>IF(COLUMN()-COLUMN($X$5)+1&lt;=$F$10*$L$5*2,
TEXT($N$5,"0.00")&amp;" ("&amp;ROUNDUP((COLUMN()-COLUMN($X$5)+2)/($L$5*2),0)&amp;")",
"")</f>
        <v/>
      </c>
      <c r="AO5" s="1310"/>
      <c r="AP5" s="1308" t="str">
        <f>IF(COLUMN()-COLUMN($X$5)+1&lt;=$F$10*$L$5*2,
TEXT($N$5,"0.00")&amp;" ("&amp;ROUNDUP((COLUMN()-COLUMN($X$5)+2)/($L$5*2),0)&amp;")",
"")</f>
        <v/>
      </c>
      <c r="AQ5" s="1309"/>
      <c r="AR5" s="1310" t="str">
        <f>IF(COLUMN()-COLUMN($X$5)+1&lt;=$F$10*$L$5*2,
TEXT($N$5,"0.00")&amp;" ("&amp;ROUNDUP((COLUMN()-COLUMN($X$5)+2)/($L$5*2),0)&amp;")",
"")</f>
        <v/>
      </c>
      <c r="AS5" s="1310"/>
      <c r="AT5" s="1301" t="str">
        <f>IF(COLUMN()-COLUMN($X$5)+1&lt;=$F$10*$L$5*2,
TEXT($N$5,"0.00")&amp;" ("&amp;ROUNDUP((COLUMN()-COLUMN($X$5)+2)/($L$5*2),0)&amp;")",
"")</f>
        <v/>
      </c>
      <c r="AU5" s="1302"/>
    </row>
    <row r="6" spans="5:47" ht="61.5" hidden="1" customHeight="1">
      <c r="L6" s="766">
        <v>1</v>
      </c>
      <c r="N6" s="514" t="s">
        <v>635</v>
      </c>
      <c r="X6" s="1298" t="str" cm="1">
        <f t="array" ref="X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Y6" s="1300"/>
      <c r="Z6" s="1298" t="str" cm="1">
        <f t="array" ref="Z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A6" s="1299"/>
      <c r="AB6" s="1300" t="str" cm="1">
        <f t="array" ref="AB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C6" s="1300"/>
      <c r="AD6" s="1298" t="str" cm="1">
        <f t="array" ref="AD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E6" s="1299"/>
      <c r="AF6" s="1300" t="str" cm="1">
        <f t="array" ref="AF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G6" s="1300"/>
      <c r="AH6" s="1298" t="str" cm="1">
        <f t="array" ref="AH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I6" s="1299"/>
      <c r="AJ6" s="1300" t="str" cm="1">
        <f t="array" ref="AJ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K6" s="1300"/>
      <c r="AL6" s="1298" t="str" cm="1">
        <f t="array" ref="AL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M6" s="1299"/>
      <c r="AN6" s="1300" t="str" cm="1">
        <f t="array" ref="AN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O6" s="1300"/>
      <c r="AP6" s="1298" t="str" cm="1">
        <f t="array" ref="AP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Q6" s="1299"/>
      <c r="AR6" s="1300" t="str" cm="1">
        <f t="array" ref="AR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S6" s="1300"/>
      <c r="AT6" s="1298" t="str" cm="1">
        <f t="array" ref="AT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U6" s="1299"/>
    </row>
    <row r="7" spans="5:47" ht="61.5" hidden="1" customHeight="1" thickBot="1">
      <c r="L7" s="767">
        <v>1</v>
      </c>
      <c r="M7" s="512"/>
      <c r="N7" s="516" t="s">
        <v>636</v>
      </c>
      <c r="X7" s="539" t="str" cm="1">
        <f t="array" ref="X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Y7" s="541" t="str" cm="1">
        <f t="array" ref="Y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Z7" s="539" t="str" cm="1">
        <f t="array" ref="Z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A7" s="540" t="str" cm="1">
        <f t="array" ref="AA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B7" s="542" t="str" cm="1">
        <f t="array" ref="AB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C7" s="541" t="str" cm="1">
        <f t="array" ref="AC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D7" s="539" t="str" cm="1">
        <f t="array" ref="AD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E7" s="540" t="str" cm="1">
        <f t="array" ref="AE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F7" s="542" t="str" cm="1">
        <f t="array" ref="AF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G7" s="541" t="str" cm="1">
        <f t="array" ref="AG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H7" s="539" t="str" cm="1">
        <f t="array" ref="AH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I7" s="540" t="str" cm="1">
        <f t="array" ref="AI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J7" s="542" t="str" cm="1">
        <f t="array" ref="AJ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K7" s="541" t="str" cm="1">
        <f t="array" ref="AK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L7" s="539" t="str" cm="1">
        <f t="array" ref="AL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M7" s="540" t="str" cm="1">
        <f t="array" ref="AM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N7" s="542" t="str" cm="1">
        <f t="array" ref="AN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O7" s="541" t="str" cm="1">
        <f t="array" ref="AO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P7" s="539" t="str" cm="1">
        <f t="array" ref="AP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Q7" s="540" t="str" cm="1">
        <f t="array" ref="AQ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R7" s="542" t="str" cm="1">
        <f t="array" ref="AR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S7" s="541" t="str" cm="1">
        <f t="array" ref="AS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T7" s="539" t="str" cm="1">
        <f t="array" ref="AT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U7" s="540" t="str" cm="1">
        <f t="array" ref="AU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row>
    <row r="8" spans="5:47" ht="15.75" thickBot="1">
      <c r="E8" s="358"/>
      <c r="F8" s="358"/>
      <c r="G8" s="358"/>
    </row>
    <row r="9" spans="5:47" ht="13.5" customHeight="1" thickBot="1">
      <c r="E9" s="997" t="s">
        <v>637</v>
      </c>
      <c r="F9" s="997"/>
      <c r="G9" s="997"/>
      <c r="X9" s="1306" t="s">
        <v>608</v>
      </c>
      <c r="Y9" s="1305"/>
      <c r="Z9" s="1304" t="s">
        <v>608</v>
      </c>
      <c r="AA9" s="1307"/>
      <c r="AB9" s="1306" t="s">
        <v>608</v>
      </c>
      <c r="AC9" s="1305"/>
      <c r="AD9" s="1304" t="s">
        <v>608</v>
      </c>
      <c r="AE9" s="1307"/>
      <c r="AF9" s="1306" t="s">
        <v>608</v>
      </c>
      <c r="AG9" s="1305"/>
      <c r="AH9" s="1304" t="s">
        <v>608</v>
      </c>
      <c r="AI9" s="1307"/>
      <c r="AJ9" s="1306" t="s">
        <v>608</v>
      </c>
      <c r="AK9" s="1305"/>
      <c r="AL9" s="1304" t="s">
        <v>608</v>
      </c>
      <c r="AM9" s="1307"/>
      <c r="AN9" s="1306" t="s">
        <v>608</v>
      </c>
      <c r="AO9" s="1305"/>
      <c r="AP9" s="1304" t="s">
        <v>608</v>
      </c>
      <c r="AQ9" s="1307"/>
      <c r="AR9" s="1306" t="s">
        <v>608</v>
      </c>
      <c r="AS9" s="1305"/>
      <c r="AT9" s="1304" t="s">
        <v>608</v>
      </c>
      <c r="AU9" s="1305"/>
    </row>
    <row r="10" spans="5:47" ht="30" customHeight="1" thickBot="1">
      <c r="E10" s="492" t="s">
        <v>246</v>
      </c>
      <c r="F10" s="523">
        <f>'IW Calc 2'!V92</f>
        <v>7</v>
      </c>
      <c r="G10" s="521" t="str">
        <f>'IW Calc 2'!W92</f>
        <v>Gets (7) 12" by 15' isolation wrap</v>
      </c>
      <c r="X10" s="538" t="str" cm="1">
        <f t="array" ref="X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(1)</v>
      </c>
      <c r="Y10" s="544" t="str" cm="1">
        <f t="array" ref="Y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Z10" s="538" t="str" cm="1">
        <f t="array" ref="Z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(2)</v>
      </c>
      <c r="AA10" s="543" t="str" cm="1">
        <f t="array" ref="AA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B10" s="545" t="str" cm="1">
        <f t="array" ref="AB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(3)</v>
      </c>
      <c r="AC10" s="544" t="str" cm="1">
        <f t="array" ref="AC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D10" s="538" t="str" cm="1">
        <f t="array" ref="AD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(4)</v>
      </c>
      <c r="AE10" s="543" t="str" cm="1">
        <f t="array" ref="AE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F10" s="545" t="str" cm="1">
        <f t="array" ref="AF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(5)</v>
      </c>
      <c r="AG10" s="544" t="str" cm="1">
        <f t="array" ref="AG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H10" s="538" t="str" cm="1">
        <f t="array" ref="AH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(6)</v>
      </c>
      <c r="AI10" s="543" t="str" cm="1">
        <f t="array" ref="AI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J10" s="545" t="str" cm="1">
        <f t="array" ref="AJ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(7)</v>
      </c>
      <c r="AK10" s="544" t="str" cm="1">
        <f t="array" ref="AK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L10" s="538" t="str" cm="1">
        <f t="array" ref="AL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M10" s="543" t="str" cm="1">
        <f t="array" ref="AM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N10" s="545" t="str" cm="1">
        <f t="array" ref="AN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O10" s="544" t="str" cm="1">
        <f t="array" ref="AO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P10" s="538" t="str" cm="1">
        <f t="array" ref="AP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Q10" s="543" t="str" cm="1">
        <f t="array" ref="AQ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R10" s="545" t="str" cm="1">
        <f t="array" ref="AR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S10" s="544" t="str" cm="1">
        <f t="array" ref="AS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T10" s="538" t="str" cm="1">
        <f t="array" ref="AT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U10" s="543" t="str" cm="1">
        <f t="array" ref="AU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row>
    <row r="11" spans="5:47" ht="30" customHeight="1">
      <c r="E11" s="492" t="s">
        <v>253</v>
      </c>
      <c r="F11" s="523">
        <f>'IW Calc 2'!V93</f>
        <v>0</v>
      </c>
      <c r="G11" s="521" t="str">
        <f>'IW Calc 2'!W93</f>
        <v/>
      </c>
    </row>
    <row r="12" spans="5:47" ht="30" customHeight="1">
      <c r="E12" s="492" t="s">
        <v>240</v>
      </c>
      <c r="F12" s="523">
        <f>'IW Calc 2'!V91</f>
        <v>0</v>
      </c>
      <c r="G12" s="521" t="str">
        <f>'IW Calc 2'!W91</f>
        <v/>
      </c>
    </row>
    <row r="14" spans="5:47" hidden="1">
      <c r="E14" s="553" t="s">
        <v>307</v>
      </c>
      <c r="F14">
        <f>SUM(F10:F12)</f>
        <v>7</v>
      </c>
    </row>
    <row r="15" spans="5:47" hidden="1"/>
    <row r="16" spans="5:47" hidden="1">
      <c r="E16" s="492" t="s">
        <v>246</v>
      </c>
      <c r="F16" s="523">
        <f>IF(F14=F10,F10,0)</f>
        <v>7</v>
      </c>
    </row>
    <row r="17" spans="5:47" hidden="1">
      <c r="E17" s="492" t="s">
        <v>253</v>
      </c>
      <c r="F17" s="523">
        <f>IF(F14=F11,F11,0)</f>
        <v>0</v>
      </c>
    </row>
    <row r="18" spans="5:47" hidden="1">
      <c r="E18" s="492" t="s">
        <v>240</v>
      </c>
      <c r="F18" s="523">
        <f>IF(F14=F12,F12,0)</f>
        <v>0</v>
      </c>
    </row>
    <row r="19" spans="5:47" hidden="1">
      <c r="E19" s="554" t="s">
        <v>638</v>
      </c>
      <c r="F19" s="523">
        <f>IF(SUM(F16:F18)=0,1,0)</f>
        <v>0</v>
      </c>
    </row>
    <row r="20" spans="5:47" hidden="1"/>
    <row r="21" spans="5:47" hidden="1"/>
    <row r="22" spans="5:47" hidden="1"/>
    <row r="23" spans="5:47" hidden="1"/>
    <row r="24" spans="5:47" hidden="1">
      <c r="E24" t="s">
        <v>639</v>
      </c>
    </row>
    <row r="25" spans="5:47" hidden="1">
      <c r="E25" s="492" t="s">
        <v>240</v>
      </c>
      <c r="F25" s="522">
        <f>F12</f>
        <v>0</v>
      </c>
    </row>
    <row r="26" spans="5:47" hidden="1">
      <c r="E26" s="492" t="s">
        <v>246</v>
      </c>
      <c r="F26" s="522">
        <f>F10</f>
        <v>7</v>
      </c>
    </row>
    <row r="27" spans="5:47" hidden="1">
      <c r="E27" s="492" t="s">
        <v>253</v>
      </c>
      <c r="F27" s="522">
        <f>F11</f>
        <v>0</v>
      </c>
    </row>
    <row r="28" spans="5:47" ht="15.75" thickBot="1"/>
    <row r="29" spans="5:47" ht="15.75" thickBot="1">
      <c r="E29" s="997" t="s">
        <v>622</v>
      </c>
      <c r="F29" s="997"/>
      <c r="G29" s="997"/>
      <c r="T29" s="997" t="s">
        <v>640</v>
      </c>
      <c r="U29" s="997"/>
      <c r="X29" s="1306" t="s">
        <v>608</v>
      </c>
      <c r="Y29" s="1303"/>
      <c r="Z29" s="1303" t="s">
        <v>608</v>
      </c>
      <c r="AA29" s="1303"/>
      <c r="AB29" s="1303" t="s">
        <v>608</v>
      </c>
      <c r="AC29" s="1303"/>
      <c r="AD29" s="1303" t="s">
        <v>608</v>
      </c>
      <c r="AE29" s="1303"/>
      <c r="AF29" s="1303" t="s">
        <v>608</v>
      </c>
      <c r="AG29" s="1303"/>
      <c r="AH29" s="1303" t="s">
        <v>608</v>
      </c>
      <c r="AI29" s="1303"/>
      <c r="AJ29" s="1303" t="s">
        <v>608</v>
      </c>
      <c r="AK29" s="1303"/>
      <c r="AL29" s="1303" t="s">
        <v>608</v>
      </c>
      <c r="AM29" s="1303"/>
      <c r="AN29" s="1303" t="s">
        <v>608</v>
      </c>
      <c r="AO29" s="1303"/>
      <c r="AP29" s="1303" t="s">
        <v>608</v>
      </c>
      <c r="AQ29" s="1303"/>
      <c r="AR29" s="1303" t="s">
        <v>608</v>
      </c>
      <c r="AS29" s="1303"/>
      <c r="AT29" s="1303" t="s">
        <v>608</v>
      </c>
      <c r="AU29" s="1305"/>
    </row>
    <row r="30" spans="5:47" ht="30" customHeight="1">
      <c r="E30" s="492" t="s">
        <v>240</v>
      </c>
      <c r="F30" s="522">
        <f>IFERROR('IW Calc 2'!V96,0)</f>
        <v>14</v>
      </c>
      <c r="G30" s="521">
        <f>IFERROR('IW Calc 2'!W96,"")</f>
        <v>0</v>
      </c>
      <c r="I30" s="508" t="s">
        <v>596</v>
      </c>
      <c r="J30" s="509" t="s">
        <v>597</v>
      </c>
      <c r="K30" s="509" t="s">
        <v>598</v>
      </c>
      <c r="L30" s="509" t="s">
        <v>599</v>
      </c>
      <c r="M30" s="510"/>
      <c r="N30" s="513" t="s">
        <v>601</v>
      </c>
      <c r="P30" s="508" t="s">
        <v>597</v>
      </c>
      <c r="Q30" s="509" t="s">
        <v>596</v>
      </c>
      <c r="R30" s="510"/>
      <c r="T30" s="491" t="str">
        <f>N32</f>
        <v>6" 11'</v>
      </c>
      <c r="U30" s="504">
        <f>IFERROR('IW Calc 2'!BL103,0)</f>
        <v>0</v>
      </c>
      <c r="X30" s="548" t="str">
        <f t="shared" ref="X30:AU30" si="0">IF(COLUMN()-COLUMN($X$30)+1&lt;=$J$32*$K$32,
TEXT($N$32,"0.00")&amp;" ("&amp;ROUNDUP((COLUMN()-COLUMN($X$30)+1)/$K$32,0)&amp;")",
"")</f>
        <v>6" 11' (1)</v>
      </c>
      <c r="Y30" s="549" t="str">
        <f t="shared" si="0"/>
        <v>6" 11' (2)</v>
      </c>
      <c r="Z30" s="547" t="str">
        <f t="shared" si="0"/>
        <v>6" 11' (3)</v>
      </c>
      <c r="AA30" s="550" t="str">
        <f t="shared" si="0"/>
        <v>6" 11' (4)</v>
      </c>
      <c r="AB30" s="548" t="str">
        <f t="shared" si="0"/>
        <v>6" 11' (5)</v>
      </c>
      <c r="AC30" s="549" t="str">
        <f t="shared" si="0"/>
        <v>6" 11' (6)</v>
      </c>
      <c r="AD30" s="547" t="str">
        <f t="shared" si="0"/>
        <v>6" 11' (7)</v>
      </c>
      <c r="AE30" s="550" t="str">
        <f t="shared" si="0"/>
        <v>6" 11' (8)</v>
      </c>
      <c r="AF30" s="548" t="str">
        <f t="shared" si="0"/>
        <v>6" 11' (9)</v>
      </c>
      <c r="AG30" s="549" t="str">
        <f t="shared" si="0"/>
        <v>6" 11' (10)</v>
      </c>
      <c r="AH30" s="547" t="str">
        <f t="shared" si="0"/>
        <v>6" 11' (11)</v>
      </c>
      <c r="AI30" s="550" t="str">
        <f t="shared" si="0"/>
        <v>6" 11' (12)</v>
      </c>
      <c r="AJ30" s="548" t="str">
        <f t="shared" si="0"/>
        <v>6" 11' (13)</v>
      </c>
      <c r="AK30" s="549" t="str">
        <f t="shared" si="0"/>
        <v>6" 11' (14)</v>
      </c>
      <c r="AL30" s="547" t="str">
        <f t="shared" si="0"/>
        <v/>
      </c>
      <c r="AM30" s="550" t="str">
        <f t="shared" si="0"/>
        <v/>
      </c>
      <c r="AN30" s="548" t="str">
        <f t="shared" si="0"/>
        <v/>
      </c>
      <c r="AO30" s="549" t="str">
        <f t="shared" si="0"/>
        <v/>
      </c>
      <c r="AP30" s="547" t="str">
        <f t="shared" si="0"/>
        <v/>
      </c>
      <c r="AQ30" s="550" t="str">
        <f t="shared" si="0"/>
        <v/>
      </c>
      <c r="AR30" s="548" t="str">
        <f t="shared" si="0"/>
        <v/>
      </c>
      <c r="AS30" s="549" t="str">
        <f t="shared" si="0"/>
        <v/>
      </c>
      <c r="AT30" s="547" t="str">
        <f t="shared" si="0"/>
        <v/>
      </c>
      <c r="AU30" s="546" t="str">
        <f t="shared" si="0"/>
        <v/>
      </c>
    </row>
    <row r="31" spans="5:47" ht="30" customHeight="1">
      <c r="E31" s="492" t="s">
        <v>246</v>
      </c>
      <c r="F31" s="522">
        <f>IFERROR('IW Calc 2'!V97,0)</f>
        <v>7</v>
      </c>
      <c r="G31" s="521">
        <f>IFERROR('IW Calc 2'!W97,"")</f>
        <v>0</v>
      </c>
      <c r="I31" s="496"/>
      <c r="N31" s="497"/>
      <c r="P31" s="496"/>
      <c r="T31" s="491" t="str">
        <f>N34</f>
        <v>12" 11'</v>
      </c>
      <c r="U31" s="504">
        <f>IFERROR('IW Calc 2'!BL105,0)</f>
        <v>0</v>
      </c>
      <c r="X31" s="1315" t="str">
        <f>IF(COLUMN()-COLUMN($X$31)+1&lt;=$J$34*$K$34*2,
TEXT($N$34,"0.00")&amp;" ("&amp;ROUNDUP((COLUMN()-COLUMN($X$31)+1)/($K$34*2),0)&amp;")",
"")</f>
        <v>12" 11' (1)</v>
      </c>
      <c r="Y31" s="1316"/>
      <c r="Z31" s="991" t="str">
        <f>IF(COLUMN()-COLUMN($X$31)+1&lt;=$J$34*$K$34*2,
TEXT($N$34,"0.00")&amp;" ("&amp;ROUNDUP((COLUMN()-COLUMN($X$31)+1)/($K$34*2),0)&amp;")",
"")</f>
        <v>12" 11' (2)</v>
      </c>
      <c r="AA31" s="991"/>
      <c r="AB31" s="1315" t="str">
        <f>IF(COLUMN()-COLUMN($X$31)+1&lt;=$J$34*$K$34*2,
TEXT($N$34,"0.00")&amp;" ("&amp;ROUNDUP((COLUMN()-COLUMN($X$31)+1)/($K$34*2),0)&amp;")",
"")</f>
        <v>12" 11' (3)</v>
      </c>
      <c r="AC31" s="1316"/>
      <c r="AD31" s="991" t="str">
        <f>IF(COLUMN()-COLUMN($X$31)+1&lt;=$J$34*$K$34*2,
TEXT($N$34,"0.00")&amp;" ("&amp;ROUNDUP((COLUMN()-COLUMN($X$31)+1)/($K$34*2),0)&amp;")",
"")</f>
        <v>12" 11' (4)</v>
      </c>
      <c r="AE31" s="991"/>
      <c r="AF31" s="1315" t="str">
        <f>IF(COLUMN()-COLUMN($X$31)+1&lt;=$J$34*$K$34*2,
TEXT($N$34,"0.00")&amp;" ("&amp;ROUNDUP((COLUMN()-COLUMN($X$31)+1)/($K$34*2),0)&amp;")",
"")</f>
        <v>12" 11' (5)</v>
      </c>
      <c r="AG31" s="1316"/>
      <c r="AH31" s="991" t="str">
        <f>IF(COLUMN()-COLUMN($X$31)+1&lt;=$J$34*$K$34*2,
TEXT($N$34,"0.00")&amp;" ("&amp;ROUNDUP((COLUMN()-COLUMN($X$31)+1)/($K$34*2),0)&amp;")",
"")</f>
        <v>12" 11' (6)</v>
      </c>
      <c r="AI31" s="991"/>
      <c r="AJ31" s="1315" t="str">
        <f>IF(COLUMN()-COLUMN($X$31)+1&lt;=$J$34*$K$34*2,
TEXT($N$34,"0.00")&amp;" ("&amp;ROUNDUP((COLUMN()-COLUMN($X$31)+1)/($K$34*2),0)&amp;")",
"")</f>
        <v>12" 11' (7)</v>
      </c>
      <c r="AK31" s="1316"/>
      <c r="AL31" s="991" t="str">
        <f>IF(COLUMN()-COLUMN($X$31)+1&lt;=$J$34*$K$34*2,
TEXT($N$34,"0.00")&amp;" ("&amp;ROUNDUP((COLUMN()-COLUMN($X$31)+1)/($K$34*2),0)&amp;")",
"")</f>
        <v/>
      </c>
      <c r="AM31" s="991"/>
      <c r="AN31" s="1315" t="str">
        <f>IF(COLUMN()-COLUMN($X$31)+1&lt;=$J$34*$K$34*2,
TEXT($N$34,"0.00")&amp;" ("&amp;ROUNDUP((COLUMN()-COLUMN($X$31)+1)/($K$34*2),0)&amp;")",
"")</f>
        <v/>
      </c>
      <c r="AO31" s="1316"/>
      <c r="AP31" s="991" t="str">
        <f>IF(COLUMN()-COLUMN($X$31)+1&lt;=$J$34*$K$34*2,
TEXT($N$34,"0.00")&amp;" ("&amp;ROUNDUP((COLUMN()-COLUMN($X$31)+1)/($K$34*2),0)&amp;")",
"")</f>
        <v/>
      </c>
      <c r="AQ31" s="991"/>
      <c r="AR31" s="1315" t="str">
        <f>IF(COLUMN()-COLUMN($X$31)+1&lt;=$J$34*$K$34*2,
TEXT($N$34,"0.00")&amp;" ("&amp;ROUNDUP((COLUMN()-COLUMN($X$31)+1)/($K$34*2),0)&amp;")",
"")</f>
        <v/>
      </c>
      <c r="AS31" s="1316"/>
      <c r="AT31" s="991" t="str">
        <f>IF(COLUMN()-COLUMN($X$31)+1&lt;=$J$34*$K$34*2,
TEXT($N$34,"0.00")&amp;" ("&amp;ROUNDUP((COLUMN()-COLUMN($X$31)+1)/($K$34*2),0)&amp;")",
"")</f>
        <v/>
      </c>
      <c r="AU31" s="1317"/>
    </row>
    <row r="32" spans="5:47" ht="30" customHeight="1" thickBot="1">
      <c r="E32" s="492" t="s">
        <v>253</v>
      </c>
      <c r="F32" s="522">
        <f>IFERROR('IW Calc 2'!V98,0)</f>
        <v>4</v>
      </c>
      <c r="G32" s="521">
        <f>IFERROR('IW Calc 2'!W98,"")</f>
        <v>0</v>
      </c>
      <c r="I32" s="768">
        <v>6.2</v>
      </c>
      <c r="J32" s="765">
        <f>IFERROR('IW Calc 2'!BT103,0)</f>
        <v>14</v>
      </c>
      <c r="K32" s="766">
        <f>'IW Calc 2'!BU103</f>
        <v>1</v>
      </c>
      <c r="L32" s="765">
        <f>IFERROR('IW Calc 2'!BV103,0)</f>
        <v>14</v>
      </c>
      <c r="N32" s="514" t="str">
        <f>'IW Calc 2'!BX103</f>
        <v>6" 11'</v>
      </c>
      <c r="P32" s="769">
        <f>IFERROR('IW Calc 2'!BZ103,0)</f>
        <v>14</v>
      </c>
      <c r="Q32" s="770">
        <v>6.2</v>
      </c>
      <c r="T32" s="491" t="str">
        <f>N36</f>
        <v>12" 11'</v>
      </c>
      <c r="U32" s="504">
        <f>IFERROR('IW Calc 2'!BL107,0)</f>
        <v>1</v>
      </c>
      <c r="X32" s="1311" t="str">
        <f>IF(COLUMN()-COLUMN($X$32)+1&lt;=$J$36*$K$36*2,
TEXT($N$36,"0.00")&amp;" ("&amp;ROUNDUP((COLUMN()-COLUMN($X$32)+1)/($K$36*2),0)&amp;")",
"")</f>
        <v>12" 11' (1)</v>
      </c>
      <c r="Y32" s="1312"/>
      <c r="Z32" s="1313" t="str">
        <f>IF(COLUMN()-COLUMN($X$32)+1&lt;=$J$36*$K$36*2,
TEXT($N$36,"0.00")&amp;" ("&amp;ROUNDUP((COLUMN()-COLUMN($X$32)+1)/($K$36*2),0)&amp;")",
"")</f>
        <v>12" 11' (1)</v>
      </c>
      <c r="AA32" s="1313"/>
      <c r="AB32" s="1311" t="str">
        <f>IF(COLUMN()-COLUMN($X$32)+1&lt;=$J$36*$K$36*2,
TEXT($N$36,"0.00")&amp;" ("&amp;ROUNDUP((COLUMN()-COLUMN($X$32)+1)/($K$36*2),0)&amp;")",
"")</f>
        <v>12" 11' (2)</v>
      </c>
      <c r="AC32" s="1312"/>
      <c r="AD32" s="1313" t="str">
        <f>IF(COLUMN()-COLUMN($X$32)+1&lt;=$J$36*$K$36*2,
TEXT($N$36,"0.00")&amp;" ("&amp;ROUNDUP((COLUMN()-COLUMN($X$32)+1)/($K$36*2),0)&amp;")",
"")</f>
        <v>12" 11' (2)</v>
      </c>
      <c r="AE32" s="1313"/>
      <c r="AF32" s="1311" t="str">
        <f>IF(COLUMN()-COLUMN($X$32)+1&lt;=$J$36*$K$36*2,
TEXT($N$36,"0.00")&amp;" ("&amp;ROUNDUP((COLUMN()-COLUMN($X$32)+1)/($K$36*2),0)&amp;")",
"")</f>
        <v>12" 11' (3)</v>
      </c>
      <c r="AG32" s="1312"/>
      <c r="AH32" s="1313" t="str">
        <f>IF(COLUMN()-COLUMN($X$32)+1&lt;=$J$36*$K$36*2,
TEXT($N$36,"0.00")&amp;" ("&amp;ROUNDUP((COLUMN()-COLUMN($X$32)+1)/($K$36*2),0)&amp;")",
"")</f>
        <v>12" 11' (3)</v>
      </c>
      <c r="AI32" s="1313"/>
      <c r="AJ32" s="1311" t="str">
        <f>IF(COLUMN()-COLUMN($X$32)+1&lt;=$J$36*$K$36*2,
TEXT($N$36,"0.00")&amp;" ("&amp;ROUNDUP((COLUMN()-COLUMN($X$32)+1)/($K$36*2),0)&amp;")",
"")</f>
        <v>12" 11' (4)</v>
      </c>
      <c r="AK32" s="1312"/>
      <c r="AL32" s="1313" t="str">
        <f>IF(COLUMN()-COLUMN($X$32)+1&lt;=$J$36*$K$36*2,
TEXT($N$36,"0.00")&amp;" ("&amp;ROUNDUP((COLUMN()-COLUMN($X$32)+1)/($K$36*2),0)&amp;")",
"")</f>
        <v>12" 11' (4)</v>
      </c>
      <c r="AM32" s="1313"/>
      <c r="AN32" s="1311" t="str">
        <f>IF(COLUMN()-COLUMN($X$32)+1&lt;=$J$36*$K$36*2,
TEXT($N$36,"0.00")&amp;" ("&amp;ROUNDUP((COLUMN()-COLUMN($X$32)+1)/($K$36*2),0)&amp;")",
"")</f>
        <v/>
      </c>
      <c r="AO32" s="1312"/>
      <c r="AP32" s="1313" t="str">
        <f>IF(COLUMN()-COLUMN($X$32)+1&lt;=$J$36*$K$36*2,
TEXT($N$36,"0.00")&amp;" ("&amp;ROUNDUP((COLUMN()-COLUMN($X$32)+1)/($K$36*2),0)&amp;")",
"")</f>
        <v/>
      </c>
      <c r="AQ32" s="1313"/>
      <c r="AR32" s="1311" t="str">
        <f>IF(COLUMN()-COLUMN($X$32)+1&lt;=$J$36*$K$36*2,
TEXT($N$36,"0.00")&amp;" ("&amp;ROUNDUP((COLUMN()-COLUMN($X$32)+1)/($K$36*2),0)&amp;")",
"")</f>
        <v/>
      </c>
      <c r="AS32" s="1312"/>
      <c r="AT32" s="1313" t="str">
        <f>IF(COLUMN()-COLUMN($X$32)+1&lt;=$J$36*$K$36*2,
TEXT($N$36,"0.00")&amp;" ("&amp;ROUNDUP((COLUMN()-COLUMN($X$32)+1)/($K$36*2),0)&amp;")",
"")</f>
        <v/>
      </c>
      <c r="AU32" s="1314"/>
    </row>
    <row r="33" spans="5:47">
      <c r="I33" s="628"/>
      <c r="J33" s="629"/>
      <c r="K33" s="629"/>
      <c r="L33" s="629"/>
      <c r="N33" s="515"/>
      <c r="P33" s="630"/>
      <c r="Q33" s="631"/>
    </row>
    <row r="34" spans="5:47">
      <c r="I34" s="768">
        <v>12.15</v>
      </c>
      <c r="J34" s="765">
        <f>IFERROR('IW Calc 2'!BT105,0)</f>
        <v>7</v>
      </c>
      <c r="K34" s="766">
        <f>'IW Calc 2'!BU105</f>
        <v>1</v>
      </c>
      <c r="L34" s="765">
        <f>IFERROR('IW Calc 2'!BV105,0)</f>
        <v>7</v>
      </c>
      <c r="N34" s="514" t="str">
        <f>'IW Calc 2'!BX105</f>
        <v>12" 11'</v>
      </c>
      <c r="P34" s="769">
        <f>IFERROR('IW Calc 2'!BZ105,0)</f>
        <v>7</v>
      </c>
      <c r="Q34" s="770">
        <v>12.15</v>
      </c>
    </row>
    <row r="35" spans="5:47" ht="15.75" thickBot="1">
      <c r="I35" s="628"/>
      <c r="J35" s="629"/>
      <c r="K35" s="629"/>
      <c r="L35" s="629"/>
      <c r="N35" s="515"/>
      <c r="P35" s="630"/>
      <c r="Q35" s="631"/>
    </row>
    <row r="36" spans="5:47" ht="15.75" thickBot="1">
      <c r="E36" s="551" t="s">
        <v>641</v>
      </c>
      <c r="F36" s="552">
        <f>IF(OR(AND(F10&gt;0,F12&gt;0),AND(F11&gt;0,F12&gt;0)),1,0)</f>
        <v>0</v>
      </c>
      <c r="I36" s="771">
        <v>12.15</v>
      </c>
      <c r="J36" s="772">
        <f>IFERROR('IW Calc 2'!BT107,0)</f>
        <v>4</v>
      </c>
      <c r="K36" s="767">
        <f>'IW Calc 2'!BU107</f>
        <v>2</v>
      </c>
      <c r="L36" s="772">
        <f>IFERROR('IW Calc 2'!BV107,0)</f>
        <v>8</v>
      </c>
      <c r="M36" s="512"/>
      <c r="N36" s="516" t="str">
        <f>'IW Calc 2'!BX107</f>
        <v>12" 11'</v>
      </c>
      <c r="P36" s="773">
        <f>IFERROR('IW Calc 2'!BZ107,0)</f>
        <v>4</v>
      </c>
      <c r="Q36" s="774">
        <v>12.15</v>
      </c>
      <c r="R36" s="512"/>
    </row>
    <row r="37" spans="5:47">
      <c r="G37" s="268" t="s">
        <v>642</v>
      </c>
    </row>
    <row r="38" spans="5:47">
      <c r="E38" s="492" t="s">
        <v>240</v>
      </c>
      <c r="F38" s="522" cm="1">
        <f t="array" ref="F38">IF(F30=F12,F30,MIN(_xlfn._xlws.FILTER(CHOOSE({1,2},F12,F30),CHOOSE({1,2},F12,F30)&lt;&gt;0)))</f>
        <v>14</v>
      </c>
      <c r="G38">
        <f>IF(F38=F30,1,0)</f>
        <v>1</v>
      </c>
    </row>
    <row r="39" spans="5:47">
      <c r="E39" s="492" t="s">
        <v>246</v>
      </c>
      <c r="F39" s="522" cm="1">
        <f t="array" ref="F39">IF(F31=F10,F31,MIN(_xlfn._xlws.FILTER(CHOOSE({1,2},F10,F31),CHOOSE({1,2},F10,F31)&lt;&gt;0)))</f>
        <v>7</v>
      </c>
      <c r="G39">
        <f>IF(F39=F31,1,0)</f>
        <v>1</v>
      </c>
    </row>
    <row r="40" spans="5:47">
      <c r="E40" s="492" t="s">
        <v>253</v>
      </c>
      <c r="F40" s="522" cm="1">
        <f t="array" ref="F40">IF(F32=F11,F32,MIN(_xlfn._xlws.FILTER(CHOOSE({1,2},F11,F32),CHOOSE({1,2},F11,F32)&lt;&gt;0)))</f>
        <v>4</v>
      </c>
      <c r="G40">
        <f>IF(F40=F32,1,0)</f>
        <v>1</v>
      </c>
    </row>
    <row r="42" spans="5:47">
      <c r="E42" s="553" t="s">
        <v>401</v>
      </c>
      <c r="F42" s="451" cm="1">
        <f t="array" ref="F42">MIN(_xlfn._xlws.FILTER(CHOOSE({1,2,3},F38,F39,F40),CHOOSE({1,2,3},F38,F39,F40)&lt;&gt;0))</f>
        <v>4</v>
      </c>
    </row>
    <row r="45" spans="5:47" ht="15.75" thickBot="1"/>
    <row r="46" spans="5:47" ht="15.75" thickBot="1">
      <c r="E46" s="1221" t="s">
        <v>518</v>
      </c>
      <c r="F46" s="1221"/>
      <c r="G46" s="1221"/>
      <c r="X46" s="1327" t="s">
        <v>608</v>
      </c>
      <c r="Y46" s="1325"/>
      <c r="Z46" s="1325" t="s">
        <v>608</v>
      </c>
      <c r="AA46" s="1325"/>
      <c r="AB46" s="1325" t="s">
        <v>608</v>
      </c>
      <c r="AC46" s="1325"/>
      <c r="AD46" s="1325" t="s">
        <v>608</v>
      </c>
      <c r="AE46" s="1325"/>
      <c r="AF46" s="1325" t="s">
        <v>608</v>
      </c>
      <c r="AG46" s="1325"/>
      <c r="AH46" s="1325" t="s">
        <v>608</v>
      </c>
      <c r="AI46" s="1325"/>
      <c r="AJ46" s="1325" t="s">
        <v>608</v>
      </c>
      <c r="AK46" s="1325"/>
      <c r="AL46" s="1325" t="s">
        <v>608</v>
      </c>
      <c r="AM46" s="1325"/>
      <c r="AN46" s="1325" t="s">
        <v>608</v>
      </c>
      <c r="AO46" s="1325"/>
      <c r="AP46" s="1325" t="s">
        <v>608</v>
      </c>
      <c r="AQ46" s="1325"/>
      <c r="AR46" s="1325" t="s">
        <v>608</v>
      </c>
      <c r="AS46" s="1325"/>
      <c r="AT46" s="1325" t="s">
        <v>608</v>
      </c>
      <c r="AU46" s="1326"/>
    </row>
    <row r="47" spans="5:47" ht="30" customHeight="1">
      <c r="E47" s="555" t="s">
        <v>240</v>
      </c>
      <c r="F47" s="556">
        <f>IF(F42=F38,IF(G38=1,F38,0),0)</f>
        <v>0</v>
      </c>
      <c r="G47" s="291" t="str">
        <f>IF(F47&gt;0,IF(G38=1,G30,G12),"")</f>
        <v/>
      </c>
      <c r="X47" s="1301" t="s">
        <v>643</v>
      </c>
      <c r="Y47" s="1318"/>
      <c r="Z47" s="1318"/>
      <c r="AA47" s="1318"/>
      <c r="AB47" s="1318"/>
      <c r="AC47" s="1318"/>
      <c r="AD47" s="1318"/>
      <c r="AE47" s="1318"/>
      <c r="AF47" s="1318"/>
      <c r="AG47" s="1318"/>
      <c r="AH47" s="1318"/>
      <c r="AI47" s="1318"/>
      <c r="AJ47" s="1318"/>
      <c r="AK47" s="1318"/>
      <c r="AL47" s="1318"/>
      <c r="AM47" s="1318"/>
      <c r="AN47" s="1318"/>
      <c r="AO47" s="1318"/>
      <c r="AP47" s="1318"/>
      <c r="AQ47" s="1318"/>
      <c r="AR47" s="1318"/>
      <c r="AS47" s="1318"/>
      <c r="AT47" s="1318"/>
      <c r="AU47" s="1302"/>
    </row>
    <row r="48" spans="5:47" ht="30" customHeight="1">
      <c r="E48" s="492" t="s">
        <v>246</v>
      </c>
      <c r="F48" s="557">
        <f>IF(F42=F39,IF(G39=1,F39,0),0)</f>
        <v>0</v>
      </c>
      <c r="G48" s="291" t="str">
        <f>IF(F48&gt;0,IF(G39=1,G31,G10),"")</f>
        <v/>
      </c>
      <c r="X48" s="1319"/>
      <c r="Y48" s="1320"/>
      <c r="Z48" s="1320"/>
      <c r="AA48" s="1320"/>
      <c r="AB48" s="1320"/>
      <c r="AC48" s="1320"/>
      <c r="AD48" s="1320"/>
      <c r="AE48" s="1320"/>
      <c r="AF48" s="1320"/>
      <c r="AG48" s="1320"/>
      <c r="AH48" s="1320"/>
      <c r="AI48" s="1320"/>
      <c r="AJ48" s="1320"/>
      <c r="AK48" s="1320"/>
      <c r="AL48" s="1320"/>
      <c r="AM48" s="1320"/>
      <c r="AN48" s="1320"/>
      <c r="AO48" s="1320"/>
      <c r="AP48" s="1320"/>
      <c r="AQ48" s="1320"/>
      <c r="AR48" s="1320"/>
      <c r="AS48" s="1320"/>
      <c r="AT48" s="1320"/>
      <c r="AU48" s="1321"/>
    </row>
    <row r="49" spans="5:47" ht="15.75" thickBot="1">
      <c r="E49" s="492" t="s">
        <v>253</v>
      </c>
      <c r="F49" s="557">
        <f>IF(F42=F40,IF(G40=1,F40,0),0)</f>
        <v>4</v>
      </c>
      <c r="G49" s="291">
        <f>IF(F49&gt;0,IF(G40=1,G32,G11),"")</f>
        <v>0</v>
      </c>
      <c r="X49" s="1322"/>
      <c r="Y49" s="1323"/>
      <c r="Z49" s="1323"/>
      <c r="AA49" s="1323"/>
      <c r="AB49" s="1323"/>
      <c r="AC49" s="1323"/>
      <c r="AD49" s="1323"/>
      <c r="AE49" s="1323"/>
      <c r="AF49" s="1323"/>
      <c r="AG49" s="1323"/>
      <c r="AH49" s="1323"/>
      <c r="AI49" s="1323"/>
      <c r="AJ49" s="1323"/>
      <c r="AK49" s="1323"/>
      <c r="AL49" s="1323"/>
      <c r="AM49" s="1323"/>
      <c r="AN49" s="1323"/>
      <c r="AO49" s="1323"/>
      <c r="AP49" s="1323"/>
      <c r="AQ49" s="1323"/>
      <c r="AR49" s="1323"/>
      <c r="AS49" s="1323"/>
      <c r="AT49" s="1323"/>
      <c r="AU49" s="1324"/>
    </row>
  </sheetData>
  <mergeCells count="101">
    <mergeCell ref="X47:AU49"/>
    <mergeCell ref="AR46:AS46"/>
    <mergeCell ref="AT46:AU46"/>
    <mergeCell ref="AH46:AI46"/>
    <mergeCell ref="AJ46:AK46"/>
    <mergeCell ref="AL46:AM46"/>
    <mergeCell ref="AN46:AO46"/>
    <mergeCell ref="AP46:AQ46"/>
    <mergeCell ref="X46:Y46"/>
    <mergeCell ref="Z46:AA46"/>
    <mergeCell ref="AB46:AC46"/>
    <mergeCell ref="AD46:AE46"/>
    <mergeCell ref="AF46:AG46"/>
    <mergeCell ref="E46:G46"/>
    <mergeCell ref="X4:Y4"/>
    <mergeCell ref="Z4:AA4"/>
    <mergeCell ref="AB4:AC4"/>
    <mergeCell ref="X5:Y5"/>
    <mergeCell ref="Z5:AA5"/>
    <mergeCell ref="AB5:AC5"/>
    <mergeCell ref="E9:G9"/>
    <mergeCell ref="E29:G29"/>
    <mergeCell ref="X29:Y29"/>
    <mergeCell ref="Z29:AA29"/>
    <mergeCell ref="AB29:AC29"/>
    <mergeCell ref="T29:U29"/>
    <mergeCell ref="X32:Y32"/>
    <mergeCell ref="Z32:AA32"/>
    <mergeCell ref="AB32:AC32"/>
    <mergeCell ref="AN32:AO32"/>
    <mergeCell ref="AT31:AU31"/>
    <mergeCell ref="AD32:AE32"/>
    <mergeCell ref="AF32:AG32"/>
    <mergeCell ref="AH32:AI32"/>
    <mergeCell ref="AR31:AS31"/>
    <mergeCell ref="AP32:AQ32"/>
    <mergeCell ref="AT29:AU29"/>
    <mergeCell ref="X31:Y31"/>
    <mergeCell ref="Z31:AA31"/>
    <mergeCell ref="AJ31:AK31"/>
    <mergeCell ref="AL31:AM31"/>
    <mergeCell ref="AN31:AO31"/>
    <mergeCell ref="AP31:AQ31"/>
    <mergeCell ref="AD29:AE29"/>
    <mergeCell ref="AF29:AG29"/>
    <mergeCell ref="AH29:AI29"/>
    <mergeCell ref="AJ29:AK29"/>
    <mergeCell ref="AL29:AM29"/>
    <mergeCell ref="AB31:AC31"/>
    <mergeCell ref="AD31:AE31"/>
    <mergeCell ref="AN29:AO29"/>
    <mergeCell ref="AP29:AQ29"/>
    <mergeCell ref="AR29:AS29"/>
    <mergeCell ref="AR9:AS9"/>
    <mergeCell ref="AR32:AS32"/>
    <mergeCell ref="AT4:AU4"/>
    <mergeCell ref="X6:Y6"/>
    <mergeCell ref="Z6:AA6"/>
    <mergeCell ref="AB6:AC6"/>
    <mergeCell ref="AD6:AE6"/>
    <mergeCell ref="AF6:AG6"/>
    <mergeCell ref="AN6:AO6"/>
    <mergeCell ref="AP6:AQ6"/>
    <mergeCell ref="AR6:AS6"/>
    <mergeCell ref="AL4:AM4"/>
    <mergeCell ref="AN4:AO4"/>
    <mergeCell ref="AP4:AQ4"/>
    <mergeCell ref="AR4:AS4"/>
    <mergeCell ref="AD4:AE4"/>
    <mergeCell ref="AF4:AG4"/>
    <mergeCell ref="AH4:AI4"/>
    <mergeCell ref="AT6:AU6"/>
    <mergeCell ref="AT32:AU32"/>
    <mergeCell ref="AF31:AG31"/>
    <mergeCell ref="AH31:AI31"/>
    <mergeCell ref="AJ32:AK32"/>
    <mergeCell ref="AL32:AM32"/>
    <mergeCell ref="AH6:AI6"/>
    <mergeCell ref="AJ6:AK6"/>
    <mergeCell ref="AL6:AM6"/>
    <mergeCell ref="AT5:AU5"/>
    <mergeCell ref="AJ4:AK4"/>
    <mergeCell ref="AT9:AU9"/>
    <mergeCell ref="X9:Y9"/>
    <mergeCell ref="Z9:AA9"/>
    <mergeCell ref="AB9:AC9"/>
    <mergeCell ref="AD9:AE9"/>
    <mergeCell ref="AF9:AG9"/>
    <mergeCell ref="AD5:AE5"/>
    <mergeCell ref="AF5:AG5"/>
    <mergeCell ref="AH5:AI5"/>
    <mergeCell ref="AL9:AM9"/>
    <mergeCell ref="AN9:AO9"/>
    <mergeCell ref="AH9:AI9"/>
    <mergeCell ref="AJ9:AK9"/>
    <mergeCell ref="AP9:AQ9"/>
    <mergeCell ref="AN5:AO5"/>
    <mergeCell ref="AP5:AQ5"/>
    <mergeCell ref="AR5:AS5"/>
    <mergeCell ref="AJ5:AK5"/>
    <mergeCell ref="AL5:AM5"/>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30109-341D-468F-A308-C55990A5E76C}">
  <dimension ref="A1:K24"/>
  <sheetViews>
    <sheetView workbookViewId="0">
      <selection activeCell="H23" sqref="H23"/>
    </sheetView>
  </sheetViews>
  <sheetFormatPr defaultRowHeight="15"/>
  <cols>
    <col min="1" max="1" width="31.85546875" bestFit="1" customWidth="1"/>
  </cols>
  <sheetData>
    <row r="1" spans="1:11" ht="36">
      <c r="A1" s="398"/>
      <c r="E1" s="399" t="s">
        <v>644</v>
      </c>
      <c r="F1" s="400"/>
    </row>
    <row r="2" spans="1:11">
      <c r="B2" s="268"/>
    </row>
    <row r="3" spans="1:11">
      <c r="A3" t="s">
        <v>30</v>
      </c>
      <c r="B3" s="414">
        <f>MechCarbonPrice!F3</f>
        <v>20</v>
      </c>
      <c r="C3" t="s">
        <v>32</v>
      </c>
    </row>
    <row r="4" spans="1:11">
      <c r="A4" t="s">
        <v>645</v>
      </c>
      <c r="B4" s="401">
        <f>MechCarbonPrice!F5*12</f>
        <v>72</v>
      </c>
      <c r="C4" t="s">
        <v>32</v>
      </c>
      <c r="E4" s="304" t="s">
        <v>646</v>
      </c>
      <c r="F4" s="304"/>
    </row>
    <row r="5" spans="1:11">
      <c r="A5" t="s">
        <v>647</v>
      </c>
      <c r="B5" s="401">
        <v>12</v>
      </c>
      <c r="C5" t="s">
        <v>32</v>
      </c>
    </row>
    <row r="6" spans="1:11">
      <c r="A6" t="s">
        <v>648</v>
      </c>
      <c r="B6" s="411">
        <v>2</v>
      </c>
    </row>
    <row r="7" spans="1:11">
      <c r="A7" t="s">
        <v>495</v>
      </c>
      <c r="B7" s="412">
        <f>(1/B6)*100</f>
        <v>50</v>
      </c>
      <c r="C7" t="s">
        <v>49</v>
      </c>
    </row>
    <row r="8" spans="1:11">
      <c r="A8" t="s">
        <v>649</v>
      </c>
      <c r="B8" s="402">
        <f>B5*B7/100</f>
        <v>6</v>
      </c>
      <c r="C8" t="s">
        <v>32</v>
      </c>
    </row>
    <row r="9" spans="1:11">
      <c r="A9" t="s">
        <v>650</v>
      </c>
      <c r="B9" s="403">
        <f>B4/B8</f>
        <v>12</v>
      </c>
      <c r="E9">
        <f>B9</f>
        <v>12</v>
      </c>
      <c r="F9" t="s">
        <v>651</v>
      </c>
      <c r="G9" s="404">
        <f>POWER(B10,2)</f>
        <v>3947.8417604357433</v>
      </c>
      <c r="H9" s="268" t="s">
        <v>441</v>
      </c>
      <c r="I9" s="268">
        <f>POWER(B8,2)</f>
        <v>36</v>
      </c>
    </row>
    <row r="10" spans="1:11">
      <c r="A10" t="s">
        <v>652</v>
      </c>
      <c r="B10" s="403">
        <f>B3*PI()</f>
        <v>62.831853071795862</v>
      </c>
      <c r="C10" t="s">
        <v>32</v>
      </c>
      <c r="G10" s="404"/>
    </row>
    <row r="11" spans="1:11">
      <c r="A11" t="s">
        <v>652</v>
      </c>
      <c r="B11" s="403">
        <f>B10/12</f>
        <v>5.2359877559829888</v>
      </c>
      <c r="C11" t="s">
        <v>75</v>
      </c>
      <c r="E11">
        <f>E9</f>
        <v>12</v>
      </c>
      <c r="F11" t="s">
        <v>651</v>
      </c>
      <c r="G11" s="404">
        <f>G9+I9</f>
        <v>3983.8417604357433</v>
      </c>
    </row>
    <row r="12" spans="1:11">
      <c r="A12" t="s">
        <v>653</v>
      </c>
      <c r="B12" s="403">
        <f>ROUNDUP(I15,0)</f>
        <v>758</v>
      </c>
      <c r="C12" t="s">
        <v>32</v>
      </c>
      <c r="G12" s="404"/>
    </row>
    <row r="13" spans="1:11">
      <c r="A13" t="s">
        <v>653</v>
      </c>
      <c r="B13" s="405">
        <f>ROUNDUP(B12/12,0)</f>
        <v>64</v>
      </c>
      <c r="C13" t="s">
        <v>75</v>
      </c>
      <c r="E13">
        <f>E11</f>
        <v>12</v>
      </c>
      <c r="F13" s="268" t="s">
        <v>442</v>
      </c>
      <c r="G13" s="406">
        <f>SQRT(G11)</f>
        <v>63.117681836675082</v>
      </c>
    </row>
    <row r="14" spans="1:11">
      <c r="A14" t="s">
        <v>654</v>
      </c>
      <c r="B14" s="405">
        <f>ROUNDUP(B13+(2*PI()),0)</f>
        <v>71</v>
      </c>
      <c r="C14" t="s">
        <v>75</v>
      </c>
    </row>
    <row r="15" spans="1:11">
      <c r="B15" s="268"/>
      <c r="E15" s="407"/>
      <c r="F15" s="407"/>
      <c r="G15" s="407"/>
      <c r="H15" s="273" t="s">
        <v>655</v>
      </c>
      <c r="I15" s="1328">
        <f>E13*G13</f>
        <v>757.41218204010102</v>
      </c>
      <c r="J15" s="1328"/>
      <c r="K15" s="304" t="s">
        <v>32</v>
      </c>
    </row>
    <row r="16" spans="1:11">
      <c r="A16" t="s">
        <v>656</v>
      </c>
      <c r="B16" s="401">
        <v>2</v>
      </c>
    </row>
    <row r="17" spans="1:3">
      <c r="A17" t="s">
        <v>78</v>
      </c>
      <c r="B17" s="402">
        <f>B16*B14</f>
        <v>142</v>
      </c>
      <c r="C17" t="s">
        <v>75</v>
      </c>
    </row>
    <row r="18" spans="1:3">
      <c r="B18" s="268"/>
    </row>
    <row r="19" spans="1:3">
      <c r="B19" s="268"/>
    </row>
    <row r="20" spans="1:3">
      <c r="B20" s="268"/>
    </row>
    <row r="21" spans="1:3">
      <c r="A21" s="304" t="s">
        <v>657</v>
      </c>
      <c r="B21" s="268"/>
    </row>
    <row r="22" spans="1:3">
      <c r="A22" s="367"/>
      <c r="B22" s="368" t="s">
        <v>658</v>
      </c>
    </row>
    <row r="23" spans="1:3">
      <c r="A23" s="369"/>
      <c r="B23" s="368" t="s">
        <v>659</v>
      </c>
    </row>
    <row r="24" spans="1:3">
      <c r="A24" s="408" t="s">
        <v>660</v>
      </c>
      <c r="B24" s="268"/>
    </row>
  </sheetData>
  <mergeCells count="1">
    <mergeCell ref="I15:J1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4162F-2E1C-40B7-97B1-B42E31757988}">
  <dimension ref="D5:CM18"/>
  <sheetViews>
    <sheetView topLeftCell="L1" workbookViewId="0">
      <selection activeCell="BK24" sqref="BK24"/>
    </sheetView>
  </sheetViews>
  <sheetFormatPr defaultRowHeight="15"/>
  <cols>
    <col min="4" max="4" width="26.85546875" customWidth="1"/>
    <col min="5" max="5" width="24.5703125" bestFit="1" customWidth="1"/>
    <col min="11" max="11" width="28.7109375" customWidth="1"/>
    <col min="12" max="12" width="56.28515625" bestFit="1" customWidth="1"/>
    <col min="14" max="14" width="36.140625" customWidth="1"/>
    <col min="16" max="16" width="25.85546875" bestFit="1" customWidth="1"/>
    <col min="18" max="18" width="24.140625" customWidth="1"/>
    <col min="19" max="19" width="30.7109375" customWidth="1"/>
    <col min="21" max="21" width="33.7109375" customWidth="1"/>
    <col min="23" max="23" width="24.140625" customWidth="1"/>
    <col min="30" max="30" width="20.5703125" customWidth="1"/>
    <col min="32" max="32" width="49" customWidth="1"/>
    <col min="33" max="33" width="20" customWidth="1"/>
    <col min="35" max="35" width="25.28515625" customWidth="1"/>
    <col min="37" max="37" width="36.140625" customWidth="1"/>
    <col min="39" max="39" width="29" customWidth="1"/>
    <col min="41" max="41" width="21" customWidth="1"/>
    <col min="43" max="43" width="23.140625" customWidth="1"/>
    <col min="51" max="51" width="37.5703125" customWidth="1"/>
    <col min="54" max="54" width="20.7109375" customWidth="1"/>
    <col min="58" max="58" width="21.140625" customWidth="1"/>
    <col min="59" max="59" width="22.42578125" customWidth="1"/>
    <col min="60" max="60" width="23" customWidth="1"/>
    <col min="61" max="61" width="21.7109375" customWidth="1"/>
  </cols>
  <sheetData>
    <row r="5" spans="4:91" ht="15.75" thickBot="1"/>
    <row r="6" spans="4:91" ht="15.75" thickBot="1">
      <c r="E6" s="1336" t="s">
        <v>661</v>
      </c>
      <c r="F6" s="1337"/>
      <c r="G6" s="1338"/>
    </row>
    <row r="8" spans="4:91">
      <c r="E8" s="358" t="s">
        <v>662</v>
      </c>
      <c r="F8" s="808">
        <v>4</v>
      </c>
      <c r="G8" t="s">
        <v>75</v>
      </c>
    </row>
    <row r="9" spans="4:91">
      <c r="E9" s="358" t="s">
        <v>663</v>
      </c>
      <c r="F9" s="807">
        <v>31.5</v>
      </c>
      <c r="G9" s="358" t="s">
        <v>75</v>
      </c>
    </row>
    <row r="10" spans="4:91">
      <c r="E10" s="358" t="s">
        <v>555</v>
      </c>
      <c r="F10" s="490">
        <f>ROUNDUP(F9,0)</f>
        <v>32</v>
      </c>
      <c r="G10" s="358" t="s">
        <v>75</v>
      </c>
    </row>
    <row r="11" spans="4:91" ht="15.75" thickBot="1">
      <c r="E11" s="358" t="s">
        <v>623</v>
      </c>
      <c r="F11" s="370">
        <f>F8*F10</f>
        <v>128</v>
      </c>
      <c r="G11" t="s">
        <v>75</v>
      </c>
    </row>
    <row r="12" spans="4:91" ht="30">
      <c r="K12" s="480" t="str">
        <f>"Linear foot per (" &amp; F10 &amp; ") ft roll"</f>
        <v>Linear foot per (32) ft roll</v>
      </c>
      <c r="L12" s="483" t="s">
        <v>271</v>
      </c>
      <c r="M12" s="289"/>
      <c r="N12" s="483" t="s">
        <v>664</v>
      </c>
      <c r="P12" s="483" t="s">
        <v>591</v>
      </c>
      <c r="R12" s="480" t="s">
        <v>592</v>
      </c>
      <c r="U12" s="480" t="s">
        <v>593</v>
      </c>
      <c r="W12" s="480" t="s">
        <v>594</v>
      </c>
      <c r="AA12" s="480" t="s">
        <v>595</v>
      </c>
      <c r="AB12" s="480" t="s">
        <v>626</v>
      </c>
      <c r="AK12" s="480" t="s">
        <v>627</v>
      </c>
      <c r="AM12" s="480" t="s">
        <v>628</v>
      </c>
      <c r="AO12" s="480" t="s">
        <v>629</v>
      </c>
      <c r="AQ12" s="480" t="s">
        <v>628</v>
      </c>
      <c r="AU12" s="517" t="s">
        <v>630</v>
      </c>
      <c r="AX12" s="325" t="s">
        <v>486</v>
      </c>
      <c r="AY12" s="480" t="s">
        <v>631</v>
      </c>
      <c r="BB12" s="658" t="s">
        <v>596</v>
      </c>
      <c r="BC12" s="787"/>
      <c r="BD12" s="787"/>
      <c r="BE12" s="659" t="s">
        <v>597</v>
      </c>
      <c r="BF12" s="659" t="s">
        <v>598</v>
      </c>
      <c r="BG12" s="749" t="s">
        <v>599</v>
      </c>
      <c r="BH12" s="750" t="s">
        <v>665</v>
      </c>
      <c r="BI12" s="751" t="s">
        <v>601</v>
      </c>
      <c r="BK12" s="658" t="s">
        <v>597</v>
      </c>
      <c r="BL12" s="659" t="s">
        <v>596</v>
      </c>
      <c r="BM12" s="210"/>
      <c r="BN12" s="1329" t="s">
        <v>608</v>
      </c>
      <c r="BO12" s="1329"/>
      <c r="BP12" s="1329" t="s">
        <v>608</v>
      </c>
      <c r="BQ12" s="1329"/>
      <c r="BR12" s="1329" t="s">
        <v>608</v>
      </c>
      <c r="BS12" s="1329"/>
      <c r="BT12" s="1329" t="s">
        <v>608</v>
      </c>
      <c r="BU12" s="1329"/>
      <c r="BV12" s="1329" t="s">
        <v>608</v>
      </c>
      <c r="BW12" s="1329"/>
      <c r="BX12" s="1329" t="s">
        <v>608</v>
      </c>
      <c r="BY12" s="1329"/>
      <c r="BZ12" s="1329" t="s">
        <v>608</v>
      </c>
      <c r="CA12" s="1329"/>
      <c r="CB12" s="1329" t="s">
        <v>608</v>
      </c>
      <c r="CC12" s="1329"/>
      <c r="CD12" s="1329" t="s">
        <v>608</v>
      </c>
      <c r="CE12" s="1329"/>
      <c r="CF12" s="1329" t="s">
        <v>608</v>
      </c>
      <c r="CG12" s="1329"/>
      <c r="CH12" s="1329" t="s">
        <v>608</v>
      </c>
      <c r="CI12" s="1329"/>
      <c r="CJ12" s="1329" t="s">
        <v>608</v>
      </c>
      <c r="CK12" s="1329"/>
      <c r="CL12" s="1329" t="s">
        <v>608</v>
      </c>
      <c r="CM12" s="1330"/>
    </row>
    <row r="13" spans="4:91" ht="15.75" thickBot="1">
      <c r="G13" t="s">
        <v>545</v>
      </c>
      <c r="H13" t="s">
        <v>513</v>
      </c>
      <c r="AU13" s="518"/>
      <c r="BB13" s="532"/>
      <c r="BI13" s="47"/>
      <c r="BK13" s="532"/>
      <c r="CM13" s="47"/>
    </row>
    <row r="14" spans="4:91" ht="30">
      <c r="D14" s="1331" t="s">
        <v>275</v>
      </c>
      <c r="E14" s="680" t="s">
        <v>666</v>
      </c>
      <c r="F14" s="809" t="str">
        <f>""&amp; G14 &amp;"."  &amp; H14 &amp; ""</f>
        <v>6.20</v>
      </c>
      <c r="G14" s="785">
        <v>6</v>
      </c>
      <c r="H14" s="785">
        <v>20</v>
      </c>
      <c r="J14" s="465">
        <f>ROUNDDOWN((H14/F10),0)/2</f>
        <v>0</v>
      </c>
      <c r="K14" s="465">
        <f>IF(J14=0,ROUNDUP((F10/H14),0),J14)</f>
        <v>2</v>
      </c>
      <c r="L14" s="464" t="str">
        <f>"which is (" &amp; (K14*2) &amp; ") pieces cut into (" &amp; (F10) &amp; ") ft equal length from 6 inch roll"</f>
        <v>which is (4) pieces cut into (32) ft equal length from 6 inch roll</v>
      </c>
      <c r="M14" s="477"/>
      <c r="N14" s="484">
        <f>K14*2</f>
        <v>4</v>
      </c>
      <c r="P14" s="484" t="str">
        <f>"which is (" &amp; (K14) &amp; ") Linear foot total"</f>
        <v>which is (2) Linear foot total</v>
      </c>
      <c r="R14" s="486">
        <f>IF(F8-K14&lt;=0,0,F8-K14)</f>
        <v>2</v>
      </c>
      <c r="S14" t="str">
        <f>"which are (" &amp; (F10) &amp; ") ft in length"</f>
        <v>which are (32) ft in length</v>
      </c>
      <c r="U14" s="484">
        <f>IFERROR(ROUNDUP(R14/K14,0),0)</f>
        <v>1</v>
      </c>
      <c r="W14" s="491">
        <f>U14+N14</f>
        <v>5</v>
      </c>
      <c r="Y14" s="325">
        <f>IFERROR(W14/N14,0)</f>
        <v>1.25</v>
      </c>
      <c r="AA14" s="325">
        <f>ROUNDUP(Y14,0)</f>
        <v>2</v>
      </c>
      <c r="AB14" s="325">
        <f>AA14*N14</f>
        <v>8</v>
      </c>
      <c r="AD14" s="799" t="str">
        <f>"Quantity of "&amp;""&amp;G14&amp;":"&amp;H14&amp;"ft"</f>
        <v>Quantity of 6:20ft</v>
      </c>
      <c r="AE14" s="800">
        <f>AA14</f>
        <v>2</v>
      </c>
      <c r="AF14" s="801" t="str">
        <f>IF(AE14=0,"","Each one gets cut into (" &amp; K14*2 &amp; ") equal pieces that are (" &amp; F10 &amp; ") ft long ")</f>
        <v xml:space="preserve">Each one gets cut into (4) equal pieces that are (32) ft long </v>
      </c>
      <c r="AG14" s="373" t="s">
        <v>632</v>
      </c>
      <c r="AH14" s="503">
        <f>AE14*K14</f>
        <v>4</v>
      </c>
      <c r="AI14" s="325" t="s">
        <v>633</v>
      </c>
      <c r="AK14" s="504">
        <f>IFERROR(N14/K14,0)</f>
        <v>2</v>
      </c>
      <c r="AM14" s="504">
        <f>AH14*AK14</f>
        <v>8</v>
      </c>
      <c r="AO14" s="504">
        <f>F8</f>
        <v>4</v>
      </c>
      <c r="AQ14" s="504">
        <f>AO14*AK14</f>
        <v>8</v>
      </c>
      <c r="AU14" s="519">
        <f>AM14-AQ14</f>
        <v>0</v>
      </c>
      <c r="AX14" s="506" t="str">
        <f>F14</f>
        <v>6.20</v>
      </c>
      <c r="AY14" s="505">
        <f>AE14</f>
        <v>2</v>
      </c>
      <c r="BB14" s="776" t="str">
        <f>AX14</f>
        <v>6.20</v>
      </c>
      <c r="BC14" s="788"/>
      <c r="BD14" s="788"/>
      <c r="BE14" s="765">
        <f>IF(J14=0,W14-1,AY14)</f>
        <v>4</v>
      </c>
      <c r="BF14" s="777">
        <f>IF(J14=0,1,N14)</f>
        <v>1</v>
      </c>
      <c r="BG14" s="766">
        <f>BE14*BF14</f>
        <v>4</v>
      </c>
      <c r="BH14" s="524" t="str">
        <f>""&amp; G14 &amp;""" " &amp; H14 &amp; "'"</f>
        <v>6" 20'</v>
      </c>
      <c r="BI14" s="752" t="str">
        <f>"6"" " &amp; F10 &amp; "'"</f>
        <v>6" 32'</v>
      </c>
      <c r="BK14" s="778">
        <f>BE14</f>
        <v>4</v>
      </c>
      <c r="BL14" s="770" t="str">
        <f>BB14</f>
        <v>6.20</v>
      </c>
      <c r="BN14" s="507" t="str">
        <f t="shared" ref="BN14:CM14" si="0">IF(COLUMN()-COLUMN($BN$14)+1&lt;=$BE$14*$BF$14,
TEXT($BI$14,"0.00")&amp;" ("&amp;ROUNDUP((COLUMN()-COLUMN($BN$14)+1)/$BF$14,0)&amp;")",
"")</f>
        <v>6" 32' (1)</v>
      </c>
      <c r="BO14" s="507" t="str">
        <f t="shared" si="0"/>
        <v>6" 32' (2)</v>
      </c>
      <c r="BP14" s="507" t="str">
        <f t="shared" si="0"/>
        <v>6" 32' (3)</v>
      </c>
      <c r="BQ14" s="507" t="str">
        <f t="shared" si="0"/>
        <v>6" 32' (4)</v>
      </c>
      <c r="BR14" s="507" t="str">
        <f t="shared" si="0"/>
        <v/>
      </c>
      <c r="BS14" s="507" t="str">
        <f t="shared" si="0"/>
        <v/>
      </c>
      <c r="BT14" s="507" t="str">
        <f t="shared" si="0"/>
        <v/>
      </c>
      <c r="BU14" s="507" t="str">
        <f t="shared" si="0"/>
        <v/>
      </c>
      <c r="BV14" s="507" t="str">
        <f t="shared" si="0"/>
        <v/>
      </c>
      <c r="BW14" s="507" t="str">
        <f t="shared" si="0"/>
        <v/>
      </c>
      <c r="BX14" s="507" t="str">
        <f t="shared" si="0"/>
        <v/>
      </c>
      <c r="BY14" s="507" t="str">
        <f t="shared" si="0"/>
        <v/>
      </c>
      <c r="BZ14" s="507" t="str">
        <f t="shared" si="0"/>
        <v/>
      </c>
      <c r="CA14" s="507" t="str">
        <f t="shared" si="0"/>
        <v/>
      </c>
      <c r="CB14" s="507" t="str">
        <f t="shared" si="0"/>
        <v/>
      </c>
      <c r="CC14" s="507" t="str">
        <f t="shared" si="0"/>
        <v/>
      </c>
      <c r="CD14" s="507" t="str">
        <f t="shared" si="0"/>
        <v/>
      </c>
      <c r="CE14" s="507" t="str">
        <f t="shared" si="0"/>
        <v/>
      </c>
      <c r="CF14" s="507" t="str">
        <f t="shared" si="0"/>
        <v/>
      </c>
      <c r="CG14" s="507" t="str">
        <f t="shared" si="0"/>
        <v/>
      </c>
      <c r="CH14" s="507" t="str">
        <f t="shared" si="0"/>
        <v/>
      </c>
      <c r="CI14" s="507" t="str">
        <f t="shared" si="0"/>
        <v/>
      </c>
      <c r="CJ14" s="507" t="str">
        <f t="shared" si="0"/>
        <v/>
      </c>
      <c r="CK14" s="507" t="str">
        <f t="shared" si="0"/>
        <v/>
      </c>
      <c r="CL14" s="507" t="str">
        <f t="shared" si="0"/>
        <v/>
      </c>
      <c r="CM14" s="790" t="str">
        <f t="shared" si="0"/>
        <v/>
      </c>
    </row>
    <row r="15" spans="4:91">
      <c r="D15" s="1211"/>
      <c r="E15" s="268"/>
      <c r="F15" s="798"/>
      <c r="G15" s="268"/>
      <c r="H15" s="268"/>
      <c r="J15" s="477"/>
      <c r="K15" s="477"/>
      <c r="L15" s="477"/>
      <c r="M15" s="477"/>
      <c r="N15" s="485"/>
      <c r="P15" s="485"/>
      <c r="R15" s="487"/>
      <c r="U15" s="485"/>
      <c r="AD15" s="532"/>
      <c r="AF15" s="47"/>
      <c r="AU15" s="518"/>
      <c r="AY15" s="268"/>
      <c r="BB15" s="660"/>
      <c r="BC15" s="631"/>
      <c r="BD15" s="631"/>
      <c r="BE15" s="629"/>
      <c r="BF15" s="629"/>
      <c r="BG15" s="629"/>
      <c r="BI15" s="753"/>
      <c r="BK15" s="748"/>
      <c r="BL15" s="631"/>
      <c r="BN15" s="74"/>
      <c r="BO15" s="74"/>
      <c r="BP15" s="74"/>
      <c r="BQ15" s="74"/>
      <c r="BR15" s="74"/>
      <c r="BS15" s="74"/>
      <c r="BT15" s="74"/>
      <c r="BU15" s="74"/>
      <c r="BV15" s="74"/>
      <c r="BW15" s="74"/>
      <c r="BX15" s="74"/>
      <c r="BY15" s="74"/>
      <c r="BZ15" s="74"/>
      <c r="CA15" s="74"/>
      <c r="CB15" s="320"/>
      <c r="CC15" s="320"/>
      <c r="CD15" s="320"/>
      <c r="CE15" s="320"/>
      <c r="CF15" s="320"/>
      <c r="CG15" s="320"/>
      <c r="CM15" s="47"/>
    </row>
    <row r="16" spans="4:91" ht="30">
      <c r="D16" s="1332"/>
      <c r="E16" s="264" t="s">
        <v>667</v>
      </c>
      <c r="F16" s="809" t="str">
        <f>""&amp; G16 &amp;"."  &amp; H16 &amp; ""</f>
        <v>12.20</v>
      </c>
      <c r="G16" s="785">
        <v>12</v>
      </c>
      <c r="H16" s="785">
        <v>20</v>
      </c>
      <c r="J16" s="465">
        <f>ROUNDDOWN((H16/F10),0)</f>
        <v>0</v>
      </c>
      <c r="K16" s="465">
        <f>IF(J16=0,ROUNDUP((F10/H16),0),J16)</f>
        <v>2</v>
      </c>
      <c r="L16" s="464" t="str">
        <f>"which is (" &amp; (K16) &amp; ") pieces cut into (" &amp; (F10) &amp; ") ft equal length from 12 inch roll"</f>
        <v>which is (2) pieces cut into (32) ft equal length from 12 inch roll</v>
      </c>
      <c r="M16" s="477"/>
      <c r="N16" s="484">
        <f>K16</f>
        <v>2</v>
      </c>
      <c r="P16" s="484" t="str">
        <f>"which is (" &amp; (K16) &amp; ") Linear foot total"</f>
        <v>which is (2) Linear foot total</v>
      </c>
      <c r="R16" s="486">
        <f>IF(F8-K16&lt;=0,0,F8-K16)</f>
        <v>2</v>
      </c>
      <c r="S16" t="str">
        <f>"which are (" &amp; (F10) &amp; ") ft in length"</f>
        <v>which are (32) ft in length</v>
      </c>
      <c r="U16" s="484">
        <f>IFERROR(ROUNDUP(R16/K16,0),0)</f>
        <v>1</v>
      </c>
      <c r="W16" s="491">
        <f>U16+N16</f>
        <v>3</v>
      </c>
      <c r="Y16" s="325">
        <f>IFERROR(W16/N16,0)</f>
        <v>1.5</v>
      </c>
      <c r="AA16" s="325">
        <f>ROUNDUP(Y16,0)</f>
        <v>2</v>
      </c>
      <c r="AB16" s="325">
        <f>AA16*N16</f>
        <v>4</v>
      </c>
      <c r="AD16" s="802" t="str">
        <f>"Quantity of "&amp;""&amp;G16&amp;":"&amp;H16&amp;"ft"</f>
        <v>Quantity of 12:20ft</v>
      </c>
      <c r="AE16" s="489">
        <f>AA16</f>
        <v>2</v>
      </c>
      <c r="AF16" s="803" t="str">
        <f>IF(AE16=0,"","Each one gets cut into (" &amp; K16 &amp; ") equal pieces that are (" &amp; F10 &amp; ") ft long")</f>
        <v>Each one gets cut into (2) equal pieces that are (32) ft long</v>
      </c>
      <c r="AG16" s="373" t="s">
        <v>632</v>
      </c>
      <c r="AH16" s="503">
        <f>AE16*K16</f>
        <v>4</v>
      </c>
      <c r="AI16" s="325" t="s">
        <v>633</v>
      </c>
      <c r="AK16" s="504">
        <f>IFERROR(N16/K16,0)</f>
        <v>1</v>
      </c>
      <c r="AM16" s="504">
        <f>AH16*AK16</f>
        <v>4</v>
      </c>
      <c r="AO16" s="504">
        <f>F8</f>
        <v>4</v>
      </c>
      <c r="AQ16" s="504">
        <f>AO16*AK16</f>
        <v>4</v>
      </c>
      <c r="AU16" s="519">
        <f>AM16-AQ16</f>
        <v>0</v>
      </c>
      <c r="AX16" s="506" t="str">
        <f>F16</f>
        <v>12.20</v>
      </c>
      <c r="AY16" s="505">
        <f>AE16</f>
        <v>2</v>
      </c>
      <c r="BB16" s="776" t="str">
        <f>AX16</f>
        <v>12.20</v>
      </c>
      <c r="BC16" s="788"/>
      <c r="BD16" s="788"/>
      <c r="BE16" s="765">
        <f>IF(J16=0,W16,AY16)</f>
        <v>3</v>
      </c>
      <c r="BF16" s="777">
        <f>IF(J16=0,1,N16)</f>
        <v>1</v>
      </c>
      <c r="BG16" s="766">
        <f>BE16*BF16</f>
        <v>3</v>
      </c>
      <c r="BH16" s="524" t="str">
        <f>""&amp; G16 &amp;""" " &amp; H16 &amp; "'"</f>
        <v>12" 20'</v>
      </c>
      <c r="BI16" s="752" t="str">
        <f>"12"" " &amp; F10 &amp; "'"</f>
        <v>12" 32'</v>
      </c>
      <c r="BK16" s="778">
        <f>BE16</f>
        <v>3</v>
      </c>
      <c r="BL16" s="770" t="str">
        <f>BB16</f>
        <v>12.20</v>
      </c>
      <c r="BN16" s="1293" t="str">
        <f>IF(COLUMN()-COLUMN($BN$16)+1&lt;=$BE$16*$BF$16*2,
TEXT($BI$16,"0.00")&amp;" ("&amp;ROUNDUP((COLUMN()-COLUMN($BN$16)+1)/($BF$16*2),0)&amp;")",
"")</f>
        <v>12" 32' (1)</v>
      </c>
      <c r="BO16" s="1293"/>
      <c r="BP16" s="1334" t="str">
        <f>IF(COLUMN()-COLUMN($BN$16)+1&lt;=$BE$16*$BF$16*2,
TEXT($BI$16,"0.00")&amp;" ("&amp;ROUNDUP((COLUMN()-COLUMN($BN$16)+1)/($BF$16*2),0)&amp;")",
"")</f>
        <v>12" 32' (2)</v>
      </c>
      <c r="BQ16" s="1335"/>
      <c r="BR16" s="1334" t="str">
        <f>IF(COLUMN()-COLUMN($BN$16)+1&lt;=$BE$16*$BF$16*2,
TEXT($BI$16,"0.00")&amp;" ("&amp;ROUNDUP((COLUMN()-COLUMN($BN$16)+1)/($BF$16*2),0)&amp;")",
"")</f>
        <v>12" 32' (3)</v>
      </c>
      <c r="BS16" s="1335"/>
      <c r="BT16" s="1334" t="str">
        <f>IF(COLUMN()-COLUMN($BN$16)+1&lt;=$BE$16*$BF$16*2,
TEXT($BI$16,"0.00")&amp;" ("&amp;ROUNDUP((COLUMN()-COLUMN($BN$16)+1)/($BF$16*2),0)&amp;")",
"")</f>
        <v/>
      </c>
      <c r="BU16" s="1335"/>
      <c r="BV16" s="1334" t="str">
        <f>IF(COLUMN()-COLUMN($BN$16)+1&lt;=$BE$16*$BF$16*2,
TEXT($BI$16,"0.00")&amp;" ("&amp;ROUNDUP((COLUMN()-COLUMN($BN$16)+1)/($BF$16*2),0)&amp;")",
"")</f>
        <v/>
      </c>
      <c r="BW16" s="1335"/>
      <c r="BX16" s="1334" t="str">
        <f>IF(COLUMN()-COLUMN($BN$16)+1&lt;=$BE$16*$BF$16*2,
TEXT($BI$16,"0.00")&amp;" ("&amp;ROUNDUP((COLUMN()-COLUMN($BN$16)+1)/($BF$16*2),0)&amp;")",
"")</f>
        <v/>
      </c>
      <c r="BY16" s="1335"/>
      <c r="BZ16" s="1334" t="str">
        <f>IF(COLUMN()-COLUMN($BN$16)+1&lt;=$BE$16*$BF$16*2,
TEXT($BI$16,"0.00")&amp;" ("&amp;ROUNDUP((COLUMN()-COLUMN($BN$16)+1)/($BF$16*2),0)&amp;")",
"")</f>
        <v/>
      </c>
      <c r="CA16" s="1335"/>
      <c r="CB16" s="1334" t="str">
        <f>IF(COLUMN()-COLUMN($BN$16)+1&lt;=$BE$16*$BF$16*2,
TEXT($BI$16,"0.00")&amp;" ("&amp;ROUNDUP((COLUMN()-COLUMN($BN$16)+1)/($BF$16*2),0)&amp;")",
"")</f>
        <v/>
      </c>
      <c r="CC16" s="1335"/>
      <c r="CD16" s="1334" t="str">
        <f>IF(COLUMN()-COLUMN($BN$16)+1&lt;=$BE$16*$BF$16*2,
TEXT($BI$16,"0.00")&amp;" ("&amp;ROUNDUP((COLUMN()-COLUMN($BN$16)+1)/($BF$16*2),0)&amp;")",
"")</f>
        <v/>
      </c>
      <c r="CE16" s="1335"/>
      <c r="CF16" s="1334" t="str">
        <f>IF(COLUMN()-COLUMN($BN$16)+1&lt;=$BE$16*$BF$16*2,
TEXT($BI$16,"0.00")&amp;" ("&amp;ROUNDUP((COLUMN()-COLUMN($BN$16)+1)/($BF$16*2),0)&amp;")",
"")</f>
        <v/>
      </c>
      <c r="CG16" s="1335"/>
      <c r="CH16" s="1334" t="str">
        <f>IF(COLUMN()-COLUMN($BN$16)+1&lt;=$BE$16*$BF$16*2,
TEXT($BI$16,"0.00")&amp;" ("&amp;ROUNDUP((COLUMN()-COLUMN($BN$16)+1)/($BF$16*2),0)&amp;")",
"")</f>
        <v/>
      </c>
      <c r="CI16" s="1335"/>
      <c r="CJ16" s="1334" t="str">
        <f>IF(COLUMN()-COLUMN($BN$16)+1&lt;=$BE$16*$BF$16*2,
TEXT($BI$16,"0.00")&amp;" ("&amp;ROUNDUP((COLUMN()-COLUMN($BN$16)+1)/($BF$16*2),0)&amp;")",
"")</f>
        <v/>
      </c>
      <c r="CK16" s="1335"/>
      <c r="CL16" s="1334" t="str">
        <f>IF(COLUMN()-COLUMN($BN$16)+1&lt;=$BE$16*$BF$16*2,
TEXT($BI$16,"0.00")&amp;" ("&amp;ROUNDUP((COLUMN()-COLUMN($BN$16)+1)/($BF$16*2),0)&amp;")",
"")</f>
        <v/>
      </c>
      <c r="CM16" s="1339"/>
    </row>
    <row r="17" spans="4:91">
      <c r="D17" s="1211"/>
      <c r="E17" s="268"/>
      <c r="F17" s="798"/>
      <c r="G17" s="268"/>
      <c r="H17" s="268"/>
      <c r="J17" s="477"/>
      <c r="K17" s="477"/>
      <c r="L17" s="477"/>
      <c r="M17" s="477"/>
      <c r="N17" s="485"/>
      <c r="P17" s="485"/>
      <c r="R17" s="487"/>
      <c r="U17" s="485"/>
      <c r="AD17" s="532"/>
      <c r="AF17" s="47"/>
      <c r="AU17" s="518"/>
      <c r="AY17" s="268"/>
      <c r="BB17" s="660"/>
      <c r="BC17" s="631"/>
      <c r="BD17" s="631"/>
      <c r="BE17" s="629"/>
      <c r="BF17" s="629"/>
      <c r="BG17" s="629"/>
      <c r="BI17" s="753"/>
      <c r="BK17" s="748"/>
      <c r="BL17" s="631"/>
      <c r="BN17" s="74"/>
      <c r="BO17" s="74"/>
      <c r="BP17" s="74"/>
      <c r="BQ17" s="74"/>
      <c r="BR17" s="74"/>
      <c r="BS17" s="74"/>
      <c r="BT17" s="74"/>
      <c r="BU17" s="74"/>
      <c r="BV17" s="74"/>
      <c r="BW17" s="74"/>
      <c r="BX17" s="74"/>
      <c r="BY17" s="74"/>
      <c r="BZ17" s="74"/>
      <c r="CA17" s="74"/>
      <c r="CB17" s="320"/>
      <c r="CC17" s="320"/>
      <c r="CD17" s="320"/>
      <c r="CE17" s="320"/>
      <c r="CF17" s="320"/>
      <c r="CG17" s="320"/>
      <c r="CM17" s="47"/>
    </row>
    <row r="18" spans="4:91" ht="30.75" thickBot="1">
      <c r="D18" s="1333"/>
      <c r="E18" s="264" t="s">
        <v>667</v>
      </c>
      <c r="F18" s="809" t="str">
        <f>""&amp; G18 &amp;"."  &amp; H18 &amp; ""</f>
        <v>12.30</v>
      </c>
      <c r="G18" s="785">
        <v>12</v>
      </c>
      <c r="H18" s="785">
        <v>30</v>
      </c>
      <c r="J18" s="465">
        <f>ROUNDDOWN((H18/F10),0)</f>
        <v>0</v>
      </c>
      <c r="K18" s="465">
        <f>IF(J18=0,ROUNDUP((F10/H18),0),J18)</f>
        <v>2</v>
      </c>
      <c r="L18" s="464" t="str">
        <f>"which is (" &amp; (K18) &amp; ") pieces cut into (" &amp; (F10) &amp; ") ft equal length from 12 inch roll"</f>
        <v>which is (2) pieces cut into (32) ft equal length from 12 inch roll</v>
      </c>
      <c r="M18" s="477"/>
      <c r="N18" s="484">
        <f>K18</f>
        <v>2</v>
      </c>
      <c r="P18" s="484" t="str">
        <f>"which is (" &amp; (K18) &amp; ") Linear foot total"</f>
        <v>which is (2) Linear foot total</v>
      </c>
      <c r="R18" s="486">
        <f>IF(F8-K18&lt;=0,0,F8-K18)</f>
        <v>2</v>
      </c>
      <c r="S18" t="str">
        <f>"which are (" &amp; (F10) &amp; ") ft in length"</f>
        <v>which are (32) ft in length</v>
      </c>
      <c r="U18" s="484">
        <f>IFERROR(ROUNDUP(R18/K18,0),0)</f>
        <v>1</v>
      </c>
      <c r="W18" s="491">
        <f>U18+N18</f>
        <v>3</v>
      </c>
      <c r="Y18" s="325">
        <f>IFERROR(W18/N18,0)</f>
        <v>1.5</v>
      </c>
      <c r="AA18" s="325">
        <f>ROUNDUP(Y18,0)</f>
        <v>2</v>
      </c>
      <c r="AB18" s="325">
        <f>AA18*N18</f>
        <v>4</v>
      </c>
      <c r="AD18" s="804" t="str">
        <f>"Quantity of "&amp;""&amp;G18&amp;":"&amp;H18&amp;"ft"</f>
        <v>Quantity of 12:30ft</v>
      </c>
      <c r="AE18" s="805">
        <f>AA18</f>
        <v>2</v>
      </c>
      <c r="AF18" s="806" t="str">
        <f>IF(AE18=0,"","Each one gets cut into (" &amp; K18 &amp; ") equal pieces that are (" &amp; F10 &amp; ") ft long")</f>
        <v>Each one gets cut into (2) equal pieces that are (32) ft long</v>
      </c>
      <c r="AG18" s="373" t="s">
        <v>632</v>
      </c>
      <c r="AH18" s="503">
        <f>AE18*K18</f>
        <v>4</v>
      </c>
      <c r="AI18" s="325" t="s">
        <v>633</v>
      </c>
      <c r="AK18" s="504">
        <f>IFERROR(N18/K18,0)</f>
        <v>1</v>
      </c>
      <c r="AM18" s="504">
        <f>AH18*AK18</f>
        <v>4</v>
      </c>
      <c r="AO18" s="504">
        <f>F8</f>
        <v>4</v>
      </c>
      <c r="AQ18" s="504">
        <f>AO18*AK18</f>
        <v>4</v>
      </c>
      <c r="AU18" s="520">
        <f>AM18-AQ18</f>
        <v>0</v>
      </c>
      <c r="AX18" s="506" t="str">
        <f>F18</f>
        <v>12.30</v>
      </c>
      <c r="AY18" s="505">
        <f>AE18</f>
        <v>2</v>
      </c>
      <c r="BB18" s="779" t="str">
        <f>AX18</f>
        <v>12.30</v>
      </c>
      <c r="BC18" s="789"/>
      <c r="BD18" s="789"/>
      <c r="BE18" s="780">
        <f>IF(J18=0,W18,AY18)</f>
        <v>3</v>
      </c>
      <c r="BF18" s="781">
        <f>IF(J18=0,1,N18)</f>
        <v>1</v>
      </c>
      <c r="BG18" s="782">
        <f>BE18*BF18</f>
        <v>3</v>
      </c>
      <c r="BH18" s="584" t="str">
        <f>""&amp; G18 &amp;""" " &amp; H18 &amp; "'"</f>
        <v>12" 30'</v>
      </c>
      <c r="BI18" s="754" t="str">
        <f>"12"" " &amp; F10 &amp; "'"</f>
        <v>12" 32'</v>
      </c>
      <c r="BK18" s="783">
        <f>BE18</f>
        <v>3</v>
      </c>
      <c r="BL18" s="784" t="str">
        <f>BB18</f>
        <v>12.30</v>
      </c>
      <c r="BM18" s="46"/>
      <c r="BN18" s="1340" t="str">
        <f>IF(COLUMN()-COLUMN($BN$18)+1&lt;=$BE$18*$BF$18*2,
TEXT($BI$18,"0.00")&amp;" ("&amp;ROUNDUP((COLUMN()-COLUMN($BN$18)+1)/($BF$18*2),0)&amp;")",
"")</f>
        <v>12" 32' (1)</v>
      </c>
      <c r="BO18" s="1340"/>
      <c r="BP18" s="1341" t="str">
        <f>IF(COLUMN()-COLUMN($BN$18)+1&lt;=$BE$18*$BF$18*2,
TEXT($BI$18,"0.00")&amp;" ("&amp;ROUNDUP((COLUMN()-COLUMN($BN$18)+1)/($BF$18*2),0)&amp;")",
"")</f>
        <v>12" 32' (2)</v>
      </c>
      <c r="BQ18" s="1342"/>
      <c r="BR18" s="1341" t="str">
        <f>IF(COLUMN()-COLUMN($BN$18)+1&lt;=$BE$18*$BF$18*2,
TEXT($BI$18,"0.00")&amp;" ("&amp;ROUNDUP((COLUMN()-COLUMN($BN$18)+1)/($BF$18*2),0)&amp;")",
"")</f>
        <v>12" 32' (3)</v>
      </c>
      <c r="BS18" s="1342"/>
      <c r="BT18" s="1341" t="str">
        <f>IF(COLUMN()-COLUMN($BN$18)+1&lt;=$BE$18*$BF$18*2,
TEXT($BI$18,"0.00")&amp;" ("&amp;ROUNDUP((COLUMN()-COLUMN($BN$18)+1)/($BF$18*2),0)&amp;")",
"")</f>
        <v/>
      </c>
      <c r="BU18" s="1342"/>
      <c r="BV18" s="1341" t="str">
        <f>IF(COLUMN()-COLUMN($BN$18)+1&lt;=$BE$18*$BF$18*2,
TEXT($BI$18,"0.00")&amp;" ("&amp;ROUNDUP((COLUMN()-COLUMN($BN$18)+1)/($BF$18*2),0)&amp;")",
"")</f>
        <v/>
      </c>
      <c r="BW18" s="1342"/>
      <c r="BX18" s="1341" t="str">
        <f>IF(COLUMN()-COLUMN($BN$18)+1&lt;=$BE$18*$BF$18*2,
TEXT($BI$18,"0.00")&amp;" ("&amp;ROUNDUP((COLUMN()-COLUMN($BN$18)+1)/($BF$18*2),0)&amp;")",
"")</f>
        <v/>
      </c>
      <c r="BY18" s="1342"/>
      <c r="BZ18" s="1341" t="str">
        <f>IF(COLUMN()-COLUMN($BN$18)+1&lt;=$BE$18*$BF$18*2,
TEXT($BI$18,"0.00")&amp;" ("&amp;ROUNDUP((COLUMN()-COLUMN($BN$18)+1)/($BF$18*2),0)&amp;")",
"")</f>
        <v/>
      </c>
      <c r="CA18" s="1342"/>
      <c r="CB18" s="1341" t="str">
        <f>IF(COLUMN()-COLUMN($BN$18)+1&lt;=$BE$18*$BF$18*2,
TEXT($BI$18,"0.00")&amp;" ("&amp;ROUNDUP((COLUMN()-COLUMN($BN$18)+1)/($BF$18*2),0)&amp;")",
"")</f>
        <v/>
      </c>
      <c r="CC18" s="1342"/>
      <c r="CD18" s="1341" t="str">
        <f>IF(COLUMN()-COLUMN($BN$18)+1&lt;=$BE$18*$BF$18*2,
TEXT($BI$18,"0.00")&amp;" ("&amp;ROUNDUP((COLUMN()-COLUMN($BN$18)+1)/($BF$18*2),0)&amp;")",
"")</f>
        <v/>
      </c>
      <c r="CE18" s="1342"/>
      <c r="CF18" s="1341" t="str">
        <f>IF(COLUMN()-COLUMN($BN$18)+1&lt;=$BE$18*$BF$18*2,
TEXT($BI$18,"0.00")&amp;" ("&amp;ROUNDUP((COLUMN()-COLUMN($BN$18)+1)/($BF$18*2),0)&amp;")",
"")</f>
        <v/>
      </c>
      <c r="CG18" s="1342"/>
      <c r="CH18" s="1341" t="str">
        <f>IF(COLUMN()-COLUMN($BN$18)+1&lt;=$BE$18*$BF$18*2,
TEXT($BI$18,"0.00")&amp;" ("&amp;ROUNDUP((COLUMN()-COLUMN($BN$18)+1)/($BF$18*2),0)&amp;")",
"")</f>
        <v/>
      </c>
      <c r="CI18" s="1342"/>
      <c r="CJ18" s="1341" t="str">
        <f>IF(COLUMN()-COLUMN($BN$18)+1&lt;=$BE$18*$BF$18*2,
TEXT($BI$18,"0.00")&amp;" ("&amp;ROUNDUP((COLUMN()-COLUMN($BN$18)+1)/($BF$18*2),0)&amp;")",
"")</f>
        <v/>
      </c>
      <c r="CK18" s="1342"/>
      <c r="CL18" s="1341" t="str">
        <f>IF(COLUMN()-COLUMN($BN$18)+1&lt;=$BE$18*$BF$18*2,
TEXT($BI$18,"0.00")&amp;" ("&amp;ROUNDUP((COLUMN()-COLUMN($BN$18)+1)/($BF$18*2),0)&amp;")",
"")</f>
        <v/>
      </c>
      <c r="CM18" s="1312"/>
    </row>
  </sheetData>
  <mergeCells count="41">
    <mergeCell ref="E6:G6"/>
    <mergeCell ref="CL16:CM16"/>
    <mergeCell ref="BN18:BO18"/>
    <mergeCell ref="BP18:BQ18"/>
    <mergeCell ref="BR18:BS18"/>
    <mergeCell ref="BT18:BU18"/>
    <mergeCell ref="BV18:BW18"/>
    <mergeCell ref="BX18:BY18"/>
    <mergeCell ref="CL18:CM18"/>
    <mergeCell ref="BZ18:CA18"/>
    <mergeCell ref="CB18:CC18"/>
    <mergeCell ref="CD18:CE18"/>
    <mergeCell ref="CF18:CG18"/>
    <mergeCell ref="CH18:CI18"/>
    <mergeCell ref="CJ18:CK18"/>
    <mergeCell ref="CH12:CI12"/>
    <mergeCell ref="CJ12:CK12"/>
    <mergeCell ref="CL12:CM12"/>
    <mergeCell ref="D14:D18"/>
    <mergeCell ref="BN16:BO16"/>
    <mergeCell ref="BP16:BQ16"/>
    <mergeCell ref="BR16:BS16"/>
    <mergeCell ref="BT16:BU16"/>
    <mergeCell ref="BV16:BW16"/>
    <mergeCell ref="BX16:BY16"/>
    <mergeCell ref="BZ16:CA16"/>
    <mergeCell ref="CB16:CC16"/>
    <mergeCell ref="CD16:CE16"/>
    <mergeCell ref="CF16:CG16"/>
    <mergeCell ref="CH16:CI16"/>
    <mergeCell ref="CJ16:CK16"/>
    <mergeCell ref="BX12:BY12"/>
    <mergeCell ref="BZ12:CA12"/>
    <mergeCell ref="CB12:CC12"/>
    <mergeCell ref="CD12:CE12"/>
    <mergeCell ref="CF12:CG12"/>
    <mergeCell ref="BN12:BO12"/>
    <mergeCell ref="BP12:BQ12"/>
    <mergeCell ref="BR12:BS12"/>
    <mergeCell ref="BT12:BU12"/>
    <mergeCell ref="BV12:BW12"/>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4304B-432A-4D67-B061-855E0A537B1C}">
  <sheetPr codeName="Sheet2">
    <tabColor theme="5" tint="-0.249977111117893"/>
  </sheetPr>
  <dimension ref="A1:R39"/>
  <sheetViews>
    <sheetView zoomScaleNormal="100" workbookViewId="0">
      <selection activeCell="C17" sqref="C17"/>
    </sheetView>
  </sheetViews>
  <sheetFormatPr defaultColWidth="9.140625" defaultRowHeight="15"/>
  <cols>
    <col min="1" max="1" width="26.140625" style="382" bestFit="1" customWidth="1"/>
    <col min="2" max="2" width="5.5703125" style="382" bestFit="1" customWidth="1"/>
    <col min="3" max="3" width="20.7109375" style="382" customWidth="1"/>
    <col min="4" max="4" width="25.85546875" style="382" customWidth="1"/>
    <col min="5" max="5" width="6" style="382" customWidth="1"/>
    <col min="6" max="6" width="9.140625" style="382" customWidth="1"/>
    <col min="7" max="7" width="27.5703125" style="382" customWidth="1"/>
    <col min="8" max="9" width="9.140625" style="382" customWidth="1"/>
    <col min="10" max="10" width="26.140625" style="382" bestFit="1" customWidth="1"/>
    <col min="11" max="11" width="16.5703125" style="382" customWidth="1"/>
    <col min="12" max="12" width="20.7109375" style="382" bestFit="1" customWidth="1"/>
    <col min="13" max="13" width="9.140625" style="382" customWidth="1"/>
    <col min="14" max="14" width="26.140625" style="382" customWidth="1"/>
    <col min="15" max="15" width="5.5703125" style="382" customWidth="1"/>
    <col min="16" max="16" width="9.140625" style="382" customWidth="1"/>
    <col min="17" max="17" width="26.140625" style="382" bestFit="1" customWidth="1"/>
    <col min="18" max="18" width="8.7109375" style="382" customWidth="1"/>
    <col min="19" max="42" width="9.140625" style="382" customWidth="1"/>
    <col min="43" max="16384" width="9.140625" style="382"/>
  </cols>
  <sheetData>
    <row r="1" spans="1:18" ht="15.75">
      <c r="A1" s="1343" t="s">
        <v>668</v>
      </c>
      <c r="B1" s="1343"/>
      <c r="D1" s="1343" t="s">
        <v>669</v>
      </c>
      <c r="E1" s="1343"/>
      <c r="G1" s="1343" t="s">
        <v>670</v>
      </c>
      <c r="H1" s="1343"/>
      <c r="J1" s="1343" t="s">
        <v>671</v>
      </c>
      <c r="K1" s="1343"/>
      <c r="N1" s="1343" t="s">
        <v>672</v>
      </c>
      <c r="O1" s="1343"/>
      <c r="Q1" s="1343" t="s">
        <v>673</v>
      </c>
      <c r="R1" s="1343"/>
    </row>
    <row r="2" spans="1:18" ht="15.75">
      <c r="A2" s="693" t="s">
        <v>90</v>
      </c>
      <c r="B2" s="694" t="s">
        <v>91</v>
      </c>
      <c r="D2" s="383" t="s">
        <v>90</v>
      </c>
      <c r="E2" s="384" t="s">
        <v>91</v>
      </c>
      <c r="G2" s="383" t="s">
        <v>90</v>
      </c>
      <c r="H2" s="384" t="s">
        <v>91</v>
      </c>
      <c r="J2" s="383" t="s">
        <v>90</v>
      </c>
      <c r="K2" s="384" t="s">
        <v>91</v>
      </c>
      <c r="N2" s="383" t="s">
        <v>90</v>
      </c>
      <c r="O2" s="384" t="s">
        <v>91</v>
      </c>
      <c r="Q2" s="383" t="s">
        <v>90</v>
      </c>
      <c r="R2" s="384" t="s">
        <v>91</v>
      </c>
    </row>
    <row r="3" spans="1:18" ht="15.75">
      <c r="A3" s="437" t="s">
        <v>215</v>
      </c>
      <c r="B3" s="438">
        <f>IF(MechCarbonPrice!D6=1,MechCarbonPrice!F10,0)</f>
        <v>12</v>
      </c>
      <c r="D3" s="409" t="str">
        <f t="shared" ref="D3:D23" si="0">IF(B3=0,"",A3)</f>
        <v>OW-CB-30FT</v>
      </c>
      <c r="E3" s="410">
        <f t="shared" ref="E3:E23" si="1">IF(B3=0,"",B3)</f>
        <v>12</v>
      </c>
      <c r="G3" s="409" t="str" cm="1">
        <f t="array" ref="G3:G13">_xlfn._xlws.FILTER(D3:D23, D3:D23&lt;&gt;"")</f>
        <v>OW-CB-30FT</v>
      </c>
      <c r="H3" s="410">
        <f t="shared" ref="H3:H23" si="2">IF(G3="", "", INDEX(E$3:E$23, MATCH(G3, D$3:D$23, 0)))</f>
        <v>12</v>
      </c>
      <c r="J3" s="443" t="str">
        <f>IF(G3="k","",IF(G3=0,"",G3))</f>
        <v>OW-CB-30FT</v>
      </c>
      <c r="K3" s="410">
        <f t="shared" ref="K3:K19" si="3">IF((IF((IF(H3="k","",H3))="",0,(IF(H3="k","",H3))))=0,"",H3)</f>
        <v>12</v>
      </c>
      <c r="N3" s="409" t="str">
        <f t="shared" ref="N3:N23" si="4">IF(OR(E3=0,D3="k"),"",D3)</f>
        <v>OW-CB-30FT</v>
      </c>
      <c r="O3" s="410">
        <f t="shared" ref="O3:O23" si="5">IF(OR(E3=0,E3="k"),"",E3)</f>
        <v>12</v>
      </c>
      <c r="Q3" s="409" t="str" cm="1">
        <f t="array" ref="Q3">IFERROR(INDEX(N$3:N$23, SMALL(IF(N$3:N$23&lt;&gt;"", ROW(N$3:N$23)-ROW(N$3)+1), ROW(1:1))), "")</f>
        <v>OW-CB-30FT</v>
      </c>
      <c r="R3" s="410">
        <f t="shared" ref="R3:R13" si="6">IF(Q3="", "", INDEX(O$3:O$23, MATCH(Q3, N$3:N$23, 0)))</f>
        <v>12</v>
      </c>
    </row>
    <row r="4" spans="1:18" ht="15.75">
      <c r="A4" s="437" t="s">
        <v>218</v>
      </c>
      <c r="B4" s="438">
        <f>IF(MechCarbonPrice!D6=1,MechCarbonPrice!F11,0)</f>
        <v>0</v>
      </c>
      <c r="D4" s="409" t="str">
        <f t="shared" si="0"/>
        <v/>
      </c>
      <c r="E4" s="410" t="str">
        <f t="shared" si="1"/>
        <v/>
      </c>
      <c r="G4" s="409" t="str">
        <v>OW-RESIN-AB-QT</v>
      </c>
      <c r="H4" s="410">
        <f t="shared" si="2"/>
        <v>18</v>
      </c>
      <c r="J4" s="443" t="str">
        <f t="shared" ref="J4:J19" si="7">IF(G4="k","",IF(G4=0,"",G4))</f>
        <v>OW-RESIN-AB-QT</v>
      </c>
      <c r="K4" s="410">
        <f>IF((IF((IF(H4="k","",H4))="",0,(IF(H4="k","",H4))))=0,"",H4)</f>
        <v>18</v>
      </c>
      <c r="N4" s="409" t="str">
        <f t="shared" si="4"/>
        <v/>
      </c>
      <c r="O4" s="410" t="str">
        <f t="shared" si="5"/>
        <v/>
      </c>
      <c r="Q4" s="409" t="str" cm="1">
        <f t="array" ref="Q4">IFERROR(INDEX(N$3:N$23, SMALL(IF(N$3:N$23&lt;&gt;"", ROW(N$3:N$23)-ROW(N$3)+1), ROW(2:2))), "")</f>
        <v>OW-RESIN-AB-QT</v>
      </c>
      <c r="R4" s="410">
        <f t="shared" si="6"/>
        <v>18</v>
      </c>
    </row>
    <row r="5" spans="1:18" ht="15.75">
      <c r="A5" s="439" t="s">
        <v>221</v>
      </c>
      <c r="B5" s="438">
        <f>IF(MechCarbonPrice!D6=1,MechCarbonPrice!F12,0)</f>
        <v>0</v>
      </c>
      <c r="D5" s="409" t="str">
        <f t="shared" si="0"/>
        <v/>
      </c>
      <c r="E5" s="410" t="str">
        <f t="shared" si="1"/>
        <v/>
      </c>
      <c r="G5" s="409" t="str">
        <v>OW-PUTTY-AB</v>
      </c>
      <c r="H5" s="410">
        <f t="shared" si="2"/>
        <v>3</v>
      </c>
      <c r="J5" s="443" t="str">
        <f>IF(G5="k","",IF(G5=0,"",G5))</f>
        <v>OW-PUTTY-AB</v>
      </c>
      <c r="K5" s="410">
        <f t="shared" si="3"/>
        <v>3</v>
      </c>
      <c r="N5" s="409" t="str">
        <f t="shared" si="4"/>
        <v/>
      </c>
      <c r="O5" s="410" t="str">
        <f t="shared" si="5"/>
        <v/>
      </c>
      <c r="Q5" s="409" t="str" cm="1">
        <f t="array" ref="Q5">IFERROR(INDEX(N$3:N$23, SMALL(IF(N$3:N$23&lt;&gt;"", ROW(N$3:N$23)-ROW(N$3)+1), ROW(3:3))), "")</f>
        <v>OW-PUTTY-AB</v>
      </c>
      <c r="R5" s="410">
        <f t="shared" si="6"/>
        <v>3</v>
      </c>
    </row>
    <row r="6" spans="1:18" ht="15.75">
      <c r="A6" s="439" t="s">
        <v>223</v>
      </c>
      <c r="B6" s="438">
        <f>IF(MechCarbonPrice!D6=1,MechCarbonPrice!F13,0)</f>
        <v>0</v>
      </c>
      <c r="D6" s="409" t="str">
        <f t="shared" si="0"/>
        <v/>
      </c>
      <c r="E6" s="410" t="str">
        <f t="shared" si="1"/>
        <v/>
      </c>
      <c r="G6" s="409" t="str">
        <v>OW-ISOLATIONWRAP-12.30</v>
      </c>
      <c r="H6" s="410">
        <f t="shared" si="2"/>
        <v>4</v>
      </c>
      <c r="J6" s="443" t="str">
        <f t="shared" si="7"/>
        <v>OW-ISOLATIONWRAP-12.30</v>
      </c>
      <c r="K6" s="410">
        <f t="shared" si="3"/>
        <v>4</v>
      </c>
      <c r="N6" s="409" t="str">
        <f t="shared" si="4"/>
        <v/>
      </c>
      <c r="O6" s="410" t="str">
        <f t="shared" si="5"/>
        <v/>
      </c>
      <c r="Q6" s="409" t="str" cm="1">
        <f t="array" ref="Q6">IFERROR(INDEX(N$3:N$23, SMALL(IF(N$3:N$23&lt;&gt;"", ROW(N$3:N$23)-ROW(N$3)+1), ROW(4:4))), "")</f>
        <v>OW-ISOLATIONWRAP-12.30</v>
      </c>
      <c r="R6" s="410">
        <f t="shared" si="6"/>
        <v>4</v>
      </c>
    </row>
    <row r="7" spans="1:18" ht="15.75">
      <c r="A7" s="437" t="s">
        <v>262</v>
      </c>
      <c r="B7" s="410">
        <f>IF(MechCarbonPrice!D6=0,MechCarbonPrice!F22,0)</f>
        <v>0</v>
      </c>
      <c r="D7" s="409" t="str">
        <f t="shared" si="0"/>
        <v/>
      </c>
      <c r="E7" s="410" t="str">
        <f t="shared" si="1"/>
        <v/>
      </c>
      <c r="G7" s="409" t="str">
        <v>k</v>
      </c>
      <c r="H7" s="410" t="str">
        <f t="shared" si="2"/>
        <v>k</v>
      </c>
      <c r="J7" s="443" t="str">
        <f t="shared" si="7"/>
        <v/>
      </c>
      <c r="K7" s="410" t="str">
        <f t="shared" si="3"/>
        <v/>
      </c>
      <c r="N7" s="409" t="str">
        <f t="shared" si="4"/>
        <v/>
      </c>
      <c r="O7" s="410" t="str">
        <f t="shared" si="5"/>
        <v/>
      </c>
      <c r="Q7" s="409" t="str" cm="1">
        <f t="array" ref="Q7">IFERROR(INDEX(N$3:N$23, SMALL(IF(N$3:N$23&lt;&gt;"", ROW(N$3:N$23)-ROW(N$3)+1), ROW(5:5))), "")</f>
        <v>OW-ACCESSORYKIT</v>
      </c>
      <c r="R7" s="410">
        <f t="shared" si="6"/>
        <v>1</v>
      </c>
    </row>
    <row r="8" spans="1:18" ht="15.75">
      <c r="A8" s="437" t="s">
        <v>264</v>
      </c>
      <c r="B8" s="410">
        <f>IF(MechCarbonPrice!D6=0,MechCarbonPrice!F23,0)</f>
        <v>0</v>
      </c>
      <c r="D8" s="409" t="str">
        <f t="shared" si="0"/>
        <v/>
      </c>
      <c r="E8" s="410" t="str">
        <f t="shared" si="1"/>
        <v/>
      </c>
      <c r="G8" s="409" t="str">
        <v>OW-ACCESSORYKIT</v>
      </c>
      <c r="H8" s="410">
        <f t="shared" si="2"/>
        <v>1</v>
      </c>
      <c r="J8" s="443" t="str">
        <f>IF(G8="k","",IF(G8=0,"",G8))</f>
        <v>OW-ACCESSORYKIT</v>
      </c>
      <c r="K8" s="410">
        <f t="shared" si="3"/>
        <v>1</v>
      </c>
      <c r="N8" s="409" t="str">
        <f t="shared" si="4"/>
        <v/>
      </c>
      <c r="O8" s="410" t="str">
        <f t="shared" si="5"/>
        <v/>
      </c>
      <c r="Q8" s="409" t="str" cm="1">
        <f t="array" ref="Q8">IFERROR(INDEX(N$3:N$23, SMALL(IF(N$3:N$23&lt;&gt;"", ROW(N$3:N$23)-ROW(N$3)+1), ROW(6:6))), "")</f>
        <v>OW-PW-LARGE</v>
      </c>
      <c r="R8" s="410">
        <f t="shared" si="6"/>
        <v>1</v>
      </c>
    </row>
    <row r="9" spans="1:18" ht="15.75">
      <c r="A9" s="439" t="s">
        <v>268</v>
      </c>
      <c r="B9" s="410">
        <f>IF(MechCarbonPrice!D6=0,MechCarbonPrice!F24,0)</f>
        <v>0</v>
      </c>
      <c r="D9" s="409" t="str">
        <f t="shared" si="0"/>
        <v/>
      </c>
      <c r="E9" s="410" t="str">
        <f t="shared" si="1"/>
        <v/>
      </c>
      <c r="G9" s="409" t="str">
        <v>OW-PW-LARGE</v>
      </c>
      <c r="H9" s="410">
        <f t="shared" si="2"/>
        <v>1</v>
      </c>
      <c r="J9" s="443" t="str">
        <f t="shared" si="7"/>
        <v>OW-PW-LARGE</v>
      </c>
      <c r="K9" s="410">
        <f t="shared" si="3"/>
        <v>1</v>
      </c>
      <c r="N9" s="409" t="str">
        <f t="shared" si="4"/>
        <v/>
      </c>
      <c r="O9" s="410" t="str">
        <f t="shared" si="5"/>
        <v/>
      </c>
      <c r="Q9" s="409" t="str" cm="1">
        <f t="array" ref="Q9">IFERROR(INDEX(N$3:N$23, SMALL(IF(N$3:N$23&lt;&gt;"", ROW(N$3:N$23)-ROW(N$3)+1), ROW(7:7))), "")</f>
        <v>Porcupine Roller MRO6500</v>
      </c>
      <c r="R9" s="410">
        <f t="shared" si="6"/>
        <v>1</v>
      </c>
    </row>
    <row r="10" spans="1:18" ht="15.75">
      <c r="A10" s="439" t="s">
        <v>270</v>
      </c>
      <c r="B10" s="410">
        <f>IF(MechCarbonPrice!D6=0,MechCarbonPrice!F25,0)</f>
        <v>0</v>
      </c>
      <c r="D10" s="409" t="str">
        <f t="shared" si="0"/>
        <v/>
      </c>
      <c r="E10" s="410" t="str">
        <f t="shared" si="1"/>
        <v/>
      </c>
      <c r="G10" s="409" t="str">
        <v>Porcupine Roller MRO6500</v>
      </c>
      <c r="H10" s="410">
        <f t="shared" si="2"/>
        <v>1</v>
      </c>
      <c r="J10" s="443" t="str">
        <f t="shared" si="7"/>
        <v>Porcupine Roller MRO6500</v>
      </c>
      <c r="K10" s="410">
        <f t="shared" si="3"/>
        <v>1</v>
      </c>
      <c r="N10" s="409" t="str">
        <f t="shared" si="4"/>
        <v/>
      </c>
      <c r="O10" s="410" t="str">
        <f t="shared" si="5"/>
        <v/>
      </c>
      <c r="Q10" s="409" t="str" cm="1">
        <f t="array" ref="Q10">IFERROR(INDEX(N$3:N$23, SMALL(IF(N$3:N$23&lt;&gt;"", ROW(N$3:N$23)-ROW(N$3)+1), ROW(8:8))), "")</f>
        <v>OW-MAGNET</v>
      </c>
      <c r="R10" s="410">
        <f t="shared" si="6"/>
        <v>2</v>
      </c>
    </row>
    <row r="11" spans="1:18" ht="15.75">
      <c r="A11" s="439" t="s">
        <v>273</v>
      </c>
      <c r="B11" s="441">
        <f>IF(MechCarbonPrice!D6=0,MechCarbonPrice!F26,MechCarbonPrice!F14)</f>
        <v>18</v>
      </c>
      <c r="D11" s="409" t="str">
        <f t="shared" si="0"/>
        <v>OW-RESIN-AB-QT</v>
      </c>
      <c r="E11" s="410">
        <f t="shared" si="1"/>
        <v>18</v>
      </c>
      <c r="G11" s="409" t="str">
        <v>OW-MAGNET</v>
      </c>
      <c r="H11" s="410">
        <f t="shared" si="2"/>
        <v>2</v>
      </c>
      <c r="J11" s="443" t="str">
        <f t="shared" si="7"/>
        <v>OW-MAGNET</v>
      </c>
      <c r="K11" s="410">
        <f t="shared" si="3"/>
        <v>2</v>
      </c>
      <c r="N11" s="409" t="str">
        <f t="shared" si="4"/>
        <v>OW-RESIN-AB-QT</v>
      </c>
      <c r="O11" s="410">
        <f t="shared" si="5"/>
        <v>18</v>
      </c>
      <c r="Q11" s="409" t="str" cm="1">
        <f t="array" ref="Q11">IFERROR(INDEX(N$3:N$23, SMALL(IF(N$3:N$23&lt;&gt;"", ROW(N$3:N$23)-ROW(N$3)+1), ROW(9:9))), "")</f>
        <v>Supervisor/Install</v>
      </c>
      <c r="R11" s="410">
        <f t="shared" si="6"/>
        <v>3</v>
      </c>
    </row>
    <row r="12" spans="1:18" ht="15.75">
      <c r="A12" s="439" t="s">
        <v>232</v>
      </c>
      <c r="B12" s="438">
        <f>MechCarbonPrice!F15</f>
        <v>3</v>
      </c>
      <c r="D12" s="409" t="str">
        <f t="shared" si="0"/>
        <v>OW-PUTTY-AB</v>
      </c>
      <c r="E12" s="410">
        <f t="shared" si="1"/>
        <v>3</v>
      </c>
      <c r="G12" s="409" t="str">
        <v>k</v>
      </c>
      <c r="H12" s="410" t="str">
        <f t="shared" si="2"/>
        <v>k</v>
      </c>
      <c r="J12" s="443" t="str">
        <f t="shared" si="7"/>
        <v/>
      </c>
      <c r="K12" s="410" t="str">
        <f t="shared" si="3"/>
        <v/>
      </c>
      <c r="N12" s="409" t="str">
        <f t="shared" si="4"/>
        <v>OW-PUTTY-AB</v>
      </c>
      <c r="O12" s="410">
        <f t="shared" si="5"/>
        <v>3</v>
      </c>
      <c r="Q12" s="409" t="str" cm="1">
        <f t="array" ref="Q12">IFERROR(INDEX(N$3:N$23, SMALL(IF(N$3:N$23&lt;&gt;"", ROW(N$3:N$23)-ROW(N$3)+1), ROW(10:10))), "")</f>
        <v/>
      </c>
      <c r="R12" s="410" t="str">
        <f t="shared" si="6"/>
        <v/>
      </c>
    </row>
    <row r="13" spans="1:18" ht="15.75">
      <c r="A13" s="439" t="s">
        <v>243</v>
      </c>
      <c r="B13" s="438">
        <f>IF(MechCarbonPrice!D6=1,MechCarbonPrice!F16,0)</f>
        <v>0</v>
      </c>
      <c r="D13" s="409" t="str">
        <f t="shared" si="0"/>
        <v/>
      </c>
      <c r="E13" s="410" t="str">
        <f t="shared" si="1"/>
        <v/>
      </c>
      <c r="G13" s="409" t="str">
        <v>Supervisor/Install</v>
      </c>
      <c r="H13" s="410">
        <f t="shared" si="2"/>
        <v>3</v>
      </c>
      <c r="J13" s="443" t="str">
        <f>IF(G13="k","",IF(G13=0,"",G13))</f>
        <v>Supervisor/Install</v>
      </c>
      <c r="K13" s="410">
        <f t="shared" si="3"/>
        <v>3</v>
      </c>
      <c r="N13" s="409" t="str">
        <f t="shared" si="4"/>
        <v/>
      </c>
      <c r="O13" s="410" t="str">
        <f t="shared" si="5"/>
        <v/>
      </c>
      <c r="Q13" s="409" t="str" cm="1">
        <f t="array" ref="Q13">IFERROR(INDEX(N$3:N$23, SMALL(IF(N$3:N$23&lt;&gt;"", ROW(N$3:N$23)-ROW(N$3)+1), ROW(11:11))), "")</f>
        <v/>
      </c>
      <c r="R13" s="410" t="str">
        <f t="shared" si="6"/>
        <v/>
      </c>
    </row>
    <row r="14" spans="1:18" ht="15.75">
      <c r="A14" s="439" t="s">
        <v>252</v>
      </c>
      <c r="B14" s="438">
        <f>IF(MechCarbonPrice!D6=1,MechCarbonPrice!F17,0)</f>
        <v>0</v>
      </c>
      <c r="D14" s="409" t="str">
        <f t="shared" si="0"/>
        <v/>
      </c>
      <c r="E14" s="410" t="str">
        <f t="shared" si="1"/>
        <v/>
      </c>
      <c r="G14" s="409"/>
      <c r="H14" s="410" t="str">
        <f t="shared" si="2"/>
        <v/>
      </c>
      <c r="J14" s="443" t="str">
        <f t="shared" si="7"/>
        <v/>
      </c>
      <c r="K14" s="410" t="str">
        <f t="shared" si="3"/>
        <v/>
      </c>
      <c r="N14" s="409" t="str">
        <f t="shared" si="4"/>
        <v/>
      </c>
      <c r="O14" s="410" t="str">
        <f t="shared" si="5"/>
        <v/>
      </c>
    </row>
    <row r="15" spans="1:18" ht="15.75">
      <c r="A15" s="439" t="s">
        <v>256</v>
      </c>
      <c r="B15" s="438">
        <f>IF(MechCarbonPrice!D6=1,MechCarbonPrice!F18,0)</f>
        <v>4</v>
      </c>
      <c r="D15" s="409" t="str">
        <f t="shared" si="0"/>
        <v>OW-ISOLATIONWRAP-12.30</v>
      </c>
      <c r="E15" s="410">
        <f t="shared" si="1"/>
        <v>4</v>
      </c>
      <c r="G15" s="409"/>
      <c r="H15" s="410" t="str">
        <f t="shared" si="2"/>
        <v/>
      </c>
      <c r="J15" s="443" t="str">
        <f>IF(G15="k","",IF(G15=0,"",G15))</f>
        <v/>
      </c>
      <c r="K15" s="410" t="str">
        <f>IF((IF((IF(H15="k","",H15))="",0,(IF(H15="k","",H15))))=0,"",H15)</f>
        <v/>
      </c>
      <c r="N15" s="409" t="str">
        <f t="shared" si="4"/>
        <v>OW-ISOLATIONWRAP-12.30</v>
      </c>
      <c r="O15" s="410">
        <f t="shared" si="5"/>
        <v>4</v>
      </c>
    </row>
    <row r="16" spans="1:18" ht="15.75">
      <c r="A16" s="439" t="s">
        <v>257</v>
      </c>
      <c r="B16" s="438" t="s">
        <v>257</v>
      </c>
      <c r="D16" s="409" t="str">
        <f t="shared" si="0"/>
        <v>k</v>
      </c>
      <c r="E16" s="410" t="str">
        <f t="shared" si="1"/>
        <v>k</v>
      </c>
      <c r="G16" s="409"/>
      <c r="H16" s="410" t="str">
        <f>IF(G16="", "", INDEX(E$3:E$23, MATCH(G16, D$3:D$23, 0)))</f>
        <v/>
      </c>
      <c r="J16" s="443" t="str">
        <f t="shared" si="7"/>
        <v/>
      </c>
      <c r="K16" s="410" t="str">
        <f t="shared" si="3"/>
        <v/>
      </c>
      <c r="N16" s="409" t="str">
        <f t="shared" si="4"/>
        <v/>
      </c>
      <c r="O16" s="410" t="str">
        <f t="shared" si="5"/>
        <v/>
      </c>
    </row>
    <row r="17" spans="1:15" ht="15.75">
      <c r="A17" s="439" t="s">
        <v>277</v>
      </c>
      <c r="B17" s="438">
        <f>MechCarbonPrice!F29</f>
        <v>1</v>
      </c>
      <c r="D17" s="409" t="str">
        <f t="shared" si="0"/>
        <v>OW-ACCESSORYKIT</v>
      </c>
      <c r="E17" s="410">
        <f t="shared" si="1"/>
        <v>1</v>
      </c>
      <c r="G17" s="409"/>
      <c r="H17" s="410" t="str">
        <f>IF(G17="", "", INDEX(E$3:E$23, MATCH(G17, D$3:D$23, 0)))</f>
        <v/>
      </c>
      <c r="J17" s="443" t="str">
        <f t="shared" si="7"/>
        <v/>
      </c>
      <c r="K17" s="410" t="str">
        <f t="shared" si="3"/>
        <v/>
      </c>
      <c r="N17" s="409" t="str">
        <f t="shared" si="4"/>
        <v>OW-ACCESSORYKIT</v>
      </c>
      <c r="O17" s="410">
        <f t="shared" si="5"/>
        <v>1</v>
      </c>
    </row>
    <row r="18" spans="1:15" ht="15.75">
      <c r="A18" s="439" t="s">
        <v>285</v>
      </c>
      <c r="B18" s="438">
        <f>MechCarbonPrice!F30</f>
        <v>1</v>
      </c>
      <c r="D18" s="409" t="str">
        <f t="shared" si="0"/>
        <v>OW-PW-LARGE</v>
      </c>
      <c r="E18" s="410">
        <f t="shared" si="1"/>
        <v>1</v>
      </c>
      <c r="G18" s="409"/>
      <c r="H18" s="410" t="str">
        <f t="shared" si="2"/>
        <v/>
      </c>
      <c r="J18" s="443" t="str">
        <f t="shared" si="7"/>
        <v/>
      </c>
      <c r="K18" s="410" t="str">
        <f t="shared" si="3"/>
        <v/>
      </c>
      <c r="N18" s="409" t="str">
        <f t="shared" si="4"/>
        <v>OW-PW-LARGE</v>
      </c>
      <c r="O18" s="410">
        <f t="shared" si="5"/>
        <v>1</v>
      </c>
    </row>
    <row r="19" spans="1:15" ht="15.75">
      <c r="A19" s="439" t="s">
        <v>289</v>
      </c>
      <c r="B19" s="438">
        <f>MechCarbonPrice!F31</f>
        <v>0</v>
      </c>
      <c r="D19" s="409" t="str">
        <f t="shared" si="0"/>
        <v/>
      </c>
      <c r="E19" s="410" t="str">
        <f t="shared" si="1"/>
        <v/>
      </c>
      <c r="G19" s="409"/>
      <c r="H19" s="410" t="str">
        <f t="shared" si="2"/>
        <v/>
      </c>
      <c r="J19" s="443" t="str">
        <f t="shared" si="7"/>
        <v/>
      </c>
      <c r="K19" s="410" t="str">
        <f t="shared" si="3"/>
        <v/>
      </c>
      <c r="N19" s="409" t="str">
        <f t="shared" si="4"/>
        <v/>
      </c>
      <c r="O19" s="410" t="str">
        <f t="shared" si="5"/>
        <v/>
      </c>
    </row>
    <row r="20" spans="1:15" ht="15.75">
      <c r="A20" s="439" t="s">
        <v>292</v>
      </c>
      <c r="B20" s="438">
        <f>MechCarbonPrice!F32</f>
        <v>1</v>
      </c>
      <c r="D20" s="409" t="str">
        <f t="shared" si="0"/>
        <v>Porcupine Roller MRO6500</v>
      </c>
      <c r="E20" s="410">
        <f t="shared" si="1"/>
        <v>1</v>
      </c>
      <c r="G20" s="409"/>
      <c r="H20" s="410" t="str">
        <f t="shared" si="2"/>
        <v/>
      </c>
      <c r="N20" s="409" t="str">
        <f t="shared" si="4"/>
        <v>Porcupine Roller MRO6500</v>
      </c>
      <c r="O20" s="410">
        <f t="shared" si="5"/>
        <v>1</v>
      </c>
    </row>
    <row r="21" spans="1:15" ht="15.75">
      <c r="A21" s="439" t="s">
        <v>295</v>
      </c>
      <c r="B21" s="438">
        <f>MechCarbonPrice!F33</f>
        <v>2</v>
      </c>
      <c r="D21" s="409" t="str">
        <f t="shared" si="0"/>
        <v>OW-MAGNET</v>
      </c>
      <c r="E21" s="410">
        <f t="shared" si="1"/>
        <v>2</v>
      </c>
      <c r="G21" s="409"/>
      <c r="H21" s="410" t="str">
        <f t="shared" si="2"/>
        <v/>
      </c>
      <c r="N21" s="409" t="str">
        <f t="shared" si="4"/>
        <v>OW-MAGNET</v>
      </c>
      <c r="O21" s="410">
        <f t="shared" si="5"/>
        <v>2</v>
      </c>
    </row>
    <row r="22" spans="1:15" ht="15.75">
      <c r="A22" s="439" t="s">
        <v>257</v>
      </c>
      <c r="B22" s="438" t="s">
        <v>257</v>
      </c>
      <c r="D22" s="409" t="str">
        <f t="shared" si="0"/>
        <v>k</v>
      </c>
      <c r="E22" s="410" t="str">
        <f t="shared" si="1"/>
        <v>k</v>
      </c>
      <c r="G22" s="409"/>
      <c r="H22" s="410" t="str">
        <f t="shared" si="2"/>
        <v/>
      </c>
      <c r="N22" s="409" t="str">
        <f t="shared" si="4"/>
        <v/>
      </c>
      <c r="O22" s="410" t="str">
        <f t="shared" si="5"/>
        <v/>
      </c>
    </row>
    <row r="23" spans="1:15" ht="15.75">
      <c r="A23" s="439" t="s">
        <v>302</v>
      </c>
      <c r="B23" s="438">
        <f>MechCarbonPrice!F35</f>
        <v>3</v>
      </c>
      <c r="D23" s="409" t="str">
        <f t="shared" si="0"/>
        <v>Supervisor/Install</v>
      </c>
      <c r="E23" s="410">
        <f t="shared" si="1"/>
        <v>3</v>
      </c>
      <c r="G23" s="409"/>
      <c r="H23" s="410" t="str">
        <f t="shared" si="2"/>
        <v/>
      </c>
      <c r="N23" s="440" t="str">
        <f t="shared" si="4"/>
        <v>Supervisor/Install</v>
      </c>
      <c r="O23" s="442">
        <f t="shared" si="5"/>
        <v>3</v>
      </c>
    </row>
    <row r="24" spans="1:15">
      <c r="M24" s="392"/>
      <c r="N24" s="409" t="str">
        <f t="shared" ref="N24:N39" si="8">IF(OR(E25=0,D25="k"),"",D25)</f>
        <v/>
      </c>
      <c r="O24" s="410" t="str">
        <f t="shared" ref="O24:O39" si="9">IF(OR(E25=0,E25="k"),"",E25)</f>
        <v/>
      </c>
    </row>
    <row r="25" spans="1:15">
      <c r="N25" s="409" t="str">
        <f t="shared" si="8"/>
        <v/>
      </c>
      <c r="O25" s="410" t="str">
        <f t="shared" si="9"/>
        <v/>
      </c>
    </row>
    <row r="26" spans="1:15">
      <c r="N26" s="409" t="str">
        <f t="shared" si="8"/>
        <v/>
      </c>
      <c r="O26" s="410" t="str">
        <f t="shared" si="9"/>
        <v/>
      </c>
    </row>
    <row r="27" spans="1:15">
      <c r="N27" s="409" t="str">
        <f t="shared" si="8"/>
        <v/>
      </c>
      <c r="O27" s="410" t="str">
        <f t="shared" si="9"/>
        <v/>
      </c>
    </row>
    <row r="28" spans="1:15">
      <c r="N28" s="409" t="str">
        <f t="shared" si="8"/>
        <v/>
      </c>
      <c r="O28" s="410" t="str">
        <f t="shared" si="9"/>
        <v/>
      </c>
    </row>
    <row r="29" spans="1:15">
      <c r="N29" s="409" t="str">
        <f t="shared" si="8"/>
        <v/>
      </c>
      <c r="O29" s="410" t="str">
        <f t="shared" si="9"/>
        <v/>
      </c>
    </row>
    <row r="30" spans="1:15">
      <c r="N30" s="409" t="str">
        <f t="shared" si="8"/>
        <v/>
      </c>
      <c r="O30" s="410" t="str">
        <f t="shared" si="9"/>
        <v/>
      </c>
    </row>
    <row r="31" spans="1:15">
      <c r="N31" s="409" t="str">
        <f t="shared" si="8"/>
        <v/>
      </c>
      <c r="O31" s="410" t="str">
        <f t="shared" si="9"/>
        <v/>
      </c>
    </row>
    <row r="32" spans="1:15">
      <c r="N32" s="409" t="str">
        <f t="shared" si="8"/>
        <v/>
      </c>
      <c r="O32" s="410" t="str">
        <f t="shared" si="9"/>
        <v/>
      </c>
    </row>
    <row r="33" spans="14:15">
      <c r="N33" s="409" t="str">
        <f t="shared" si="8"/>
        <v/>
      </c>
      <c r="O33" s="410" t="str">
        <f t="shared" si="9"/>
        <v/>
      </c>
    </row>
    <row r="34" spans="14:15">
      <c r="N34" s="409" t="str">
        <f t="shared" si="8"/>
        <v/>
      </c>
      <c r="O34" s="410" t="str">
        <f t="shared" si="9"/>
        <v/>
      </c>
    </row>
    <row r="35" spans="14:15">
      <c r="N35" s="409" t="str">
        <f t="shared" si="8"/>
        <v/>
      </c>
      <c r="O35" s="410" t="str">
        <f t="shared" si="9"/>
        <v/>
      </c>
    </row>
    <row r="36" spans="14:15">
      <c r="N36" s="409" t="str">
        <f t="shared" si="8"/>
        <v/>
      </c>
      <c r="O36" s="410" t="str">
        <f t="shared" si="9"/>
        <v/>
      </c>
    </row>
    <row r="37" spans="14:15">
      <c r="N37" s="409" t="str">
        <f t="shared" si="8"/>
        <v/>
      </c>
      <c r="O37" s="410" t="str">
        <f t="shared" si="9"/>
        <v/>
      </c>
    </row>
    <row r="38" spans="14:15">
      <c r="N38" s="409" t="str">
        <f t="shared" si="8"/>
        <v/>
      </c>
      <c r="O38" s="410" t="str">
        <f t="shared" si="9"/>
        <v/>
      </c>
    </row>
    <row r="39" spans="14:15">
      <c r="N39" s="409" t="str">
        <f t="shared" si="8"/>
        <v/>
      </c>
      <c r="O39" s="410" t="str">
        <f t="shared" si="9"/>
        <v/>
      </c>
    </row>
  </sheetData>
  <mergeCells count="6">
    <mergeCell ref="A1:B1"/>
    <mergeCell ref="D1:E1"/>
    <mergeCell ref="G1:H1"/>
    <mergeCell ref="Q1:R1"/>
    <mergeCell ref="N1:O1"/>
    <mergeCell ref="J1:K1"/>
  </mergeCells>
  <conditionalFormatting sqref="J2:K19">
    <cfRule type="containsBlanks" dxfId="2" priority="2">
      <formula>LEN(TRIM(J2))=0</formula>
    </cfRule>
  </conditionalFormatting>
  <conditionalFormatting sqref="N2:O2">
    <cfRule type="containsBlanks" dxfId="1" priority="1">
      <formula>LEN(TRIM(N2))=0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76FDA-0AE5-465D-B717-B017253E4FA3}">
  <sheetPr codeName="Sheet3">
    <tabColor theme="5" tint="-0.249977111117893"/>
  </sheetPr>
  <dimension ref="A1:B47"/>
  <sheetViews>
    <sheetView workbookViewId="0">
      <selection activeCell="F25" sqref="F25"/>
    </sheetView>
  </sheetViews>
  <sheetFormatPr defaultColWidth="9.140625" defaultRowHeight="15"/>
  <cols>
    <col min="1" max="1" width="26.140625" style="382" bestFit="1" customWidth="1"/>
    <col min="2" max="2" width="5.5703125" style="382" bestFit="1" customWidth="1"/>
    <col min="3" max="3" width="25.85546875" style="382" bestFit="1" customWidth="1"/>
    <col min="4" max="4" width="6" style="382" bestFit="1" customWidth="1"/>
    <col min="5" max="5" width="9.140625" style="382" customWidth="1"/>
    <col min="6" max="6" width="27.5703125" style="382" customWidth="1"/>
    <col min="7" max="9" width="9.140625" style="382" customWidth="1"/>
    <col min="10" max="10" width="16.5703125" style="382" customWidth="1"/>
    <col min="11" max="12" width="9.140625" style="382" customWidth="1"/>
    <col min="13" max="13" width="26.140625" style="382" customWidth="1"/>
    <col min="14" max="14" width="5.5703125" style="382" customWidth="1"/>
    <col min="15" max="15" width="9.140625" style="382" customWidth="1"/>
    <col min="16" max="16" width="16.5703125" style="382" bestFit="1" customWidth="1"/>
    <col min="17" max="17" width="8.7109375" style="382" bestFit="1" customWidth="1"/>
    <col min="18" max="16384" width="9.140625" style="382"/>
  </cols>
  <sheetData>
    <row r="1" spans="1:2" ht="15.75">
      <c r="A1" s="383" t="s">
        <v>90</v>
      </c>
      <c r="B1" s="384" t="s">
        <v>91</v>
      </c>
    </row>
    <row r="2" spans="1:2" ht="14.45" customHeight="1">
      <c r="A2" s="393" t="str">
        <f>'BOM calc'!J3</f>
        <v>OW-CB-30FT</v>
      </c>
      <c r="B2" s="393">
        <f>'BOM calc'!K3</f>
        <v>12</v>
      </c>
    </row>
    <row r="3" spans="1:2" ht="14.45" customHeight="1">
      <c r="A3" s="393" t="str">
        <f>'BOM calc'!J4</f>
        <v>OW-RESIN-AB-QT</v>
      </c>
      <c r="B3" s="393">
        <f>'BOM calc'!K4</f>
        <v>18</v>
      </c>
    </row>
    <row r="4" spans="1:2" ht="14.45" customHeight="1">
      <c r="A4" s="393" t="str">
        <f>'BOM calc'!J5</f>
        <v>OW-PUTTY-AB</v>
      </c>
      <c r="B4" s="393">
        <f>'BOM calc'!K5</f>
        <v>3</v>
      </c>
    </row>
    <row r="5" spans="1:2" ht="14.45" customHeight="1">
      <c r="A5" s="393" t="str">
        <f>'BOM calc'!J6</f>
        <v>OW-ISOLATIONWRAP-12.30</v>
      </c>
      <c r="B5" s="393">
        <f>'BOM calc'!K6</f>
        <v>4</v>
      </c>
    </row>
    <row r="6" spans="1:2" ht="14.45" customHeight="1">
      <c r="A6" s="393" t="str">
        <f>'BOM calc'!J7</f>
        <v/>
      </c>
      <c r="B6" s="393" t="str">
        <f>'BOM calc'!K7</f>
        <v/>
      </c>
    </row>
    <row r="7" spans="1:2" ht="14.45" customHeight="1">
      <c r="A7" s="393" t="str">
        <f>'BOM calc'!J8</f>
        <v>OW-ACCESSORYKIT</v>
      </c>
      <c r="B7" s="393">
        <f>'BOM calc'!K8</f>
        <v>1</v>
      </c>
    </row>
    <row r="8" spans="1:2" ht="14.45" customHeight="1">
      <c r="A8" s="393" t="str">
        <f>'BOM calc'!J9</f>
        <v>OW-PW-LARGE</v>
      </c>
      <c r="B8" s="393">
        <f>'BOM calc'!K9</f>
        <v>1</v>
      </c>
    </row>
    <row r="9" spans="1:2" ht="14.45" customHeight="1">
      <c r="A9" s="393" t="str">
        <f>'BOM calc'!J10</f>
        <v>Porcupine Roller MRO6500</v>
      </c>
      <c r="B9" s="393">
        <f>'BOM calc'!K10</f>
        <v>1</v>
      </c>
    </row>
    <row r="10" spans="1:2" ht="14.45" customHeight="1">
      <c r="A10" s="393" t="str">
        <f>'BOM calc'!J11</f>
        <v>OW-MAGNET</v>
      </c>
      <c r="B10" s="393">
        <f>'BOM calc'!K11</f>
        <v>2</v>
      </c>
    </row>
    <row r="11" spans="1:2" ht="14.45" customHeight="1">
      <c r="A11" s="393" t="str">
        <f>'BOM calc'!J12</f>
        <v/>
      </c>
      <c r="B11" s="393" t="str">
        <f>'BOM calc'!K12</f>
        <v/>
      </c>
    </row>
    <row r="12" spans="1:2" ht="14.45" customHeight="1">
      <c r="A12" s="393" t="str">
        <f>'BOM calc'!J13</f>
        <v>Supervisor/Install</v>
      </c>
      <c r="B12" s="393">
        <f>'BOM calc'!K13</f>
        <v>3</v>
      </c>
    </row>
    <row r="13" spans="1:2" ht="14.45" customHeight="1">
      <c r="A13" s="393" t="str">
        <f>'BOM calc'!J14</f>
        <v/>
      </c>
      <c r="B13" s="393" t="str">
        <f>'BOM calc'!K14</f>
        <v/>
      </c>
    </row>
    <row r="14" spans="1:2" ht="14.45" customHeight="1">
      <c r="A14" s="393" t="str">
        <f>'BOM calc'!J15</f>
        <v/>
      </c>
      <c r="B14" s="393" t="str">
        <f>'BOM calc'!K15</f>
        <v/>
      </c>
    </row>
    <row r="15" spans="1:2" ht="14.45" customHeight="1">
      <c r="A15" s="393" t="str">
        <f>'BOM calc'!J16</f>
        <v/>
      </c>
      <c r="B15" s="393" t="str">
        <f>'BOM calc'!K16</f>
        <v/>
      </c>
    </row>
    <row r="16" spans="1:2" ht="14.45" customHeight="1">
      <c r="A16" s="393" t="str">
        <f>'BOM calc'!J17</f>
        <v/>
      </c>
      <c r="B16" s="393" t="str">
        <f>'BOM calc'!K17</f>
        <v/>
      </c>
    </row>
    <row r="17" spans="1:2" ht="14.45" customHeight="1">
      <c r="A17" s="393" t="str">
        <f>'BOM calc'!J18</f>
        <v/>
      </c>
      <c r="B17" s="393" t="str">
        <f>'BOM calc'!K18</f>
        <v/>
      </c>
    </row>
    <row r="18" spans="1:2" ht="14.45" customHeight="1">
      <c r="A18" s="393" t="str">
        <f>'BOM calc'!J19</f>
        <v/>
      </c>
      <c r="B18" s="393" t="str">
        <f>'BOM calc'!K19</f>
        <v/>
      </c>
    </row>
    <row r="19" spans="1:2" ht="15.6" customHeight="1"/>
    <row r="20" spans="1:2" ht="14.45" customHeight="1"/>
    <row r="21" spans="1:2" ht="14.45" customHeight="1"/>
    <row r="22" spans="1:2" ht="14.45" customHeight="1"/>
    <row r="23" spans="1:2" ht="14.45" customHeight="1"/>
    <row r="24" spans="1:2" ht="14.45" customHeight="1"/>
    <row r="25" spans="1:2" ht="15.6" customHeight="1"/>
    <row r="26" spans="1:2" ht="15.6" customHeight="1"/>
    <row r="27" spans="1:2" ht="15.6" customHeight="1"/>
    <row r="28" spans="1:2" ht="15.6" customHeight="1"/>
    <row r="29" spans="1:2" ht="15.6" customHeight="1"/>
    <row r="30" spans="1:2" ht="15.6" customHeight="1"/>
    <row r="31" spans="1:2" ht="15.6" customHeight="1"/>
    <row r="32" spans="1:2" ht="15.6" customHeight="1"/>
    <row r="33" ht="15.6" customHeight="1"/>
    <row r="34" ht="15.6" customHeight="1"/>
    <row r="35" ht="15.6" customHeight="1"/>
    <row r="36" ht="15.6" customHeight="1"/>
    <row r="37" ht="15.6" customHeight="1"/>
    <row r="38" ht="15.6" customHeight="1"/>
    <row r="39" ht="15.6" customHeight="1"/>
    <row r="40" ht="15.6" customHeight="1"/>
    <row r="41" ht="15.6" customHeight="1"/>
    <row r="42" ht="15.6" customHeight="1"/>
    <row r="43" ht="15.6" customHeight="1"/>
    <row r="44" ht="15.6" customHeight="1"/>
    <row r="45" ht="15.6" customHeight="1"/>
    <row r="46" ht="15.6" customHeight="1"/>
    <row r="47" ht="15.6" customHeight="1"/>
  </sheetData>
  <conditionalFormatting sqref="A1:B18">
    <cfRule type="containsBlanks" dxfId="0" priority="2">
      <formula>LEN(TRIM(A1))=0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1AEFD-45CC-400B-A225-7E1FB939C0D6}">
  <sheetPr codeName="Sheet08">
    <tabColor theme="7" tint="-0.499984740745262"/>
    <pageSetUpPr fitToPage="1"/>
  </sheetPr>
  <dimension ref="A1:J43"/>
  <sheetViews>
    <sheetView showGridLines="0" showRuler="0" view="pageLayout" zoomScale="85" zoomScaleNormal="100" zoomScaleSheetLayoutView="85" zoomScalePageLayoutView="85" workbookViewId="0">
      <selection activeCell="G1" sqref="G1"/>
    </sheetView>
  </sheetViews>
  <sheetFormatPr defaultColWidth="2" defaultRowHeight="15"/>
  <cols>
    <col min="1" max="1" width="4" customWidth="1"/>
    <col min="2" max="2" width="17" customWidth="1"/>
    <col min="3" max="3" width="11.5703125" customWidth="1"/>
    <col min="4" max="4" width="10.85546875" customWidth="1"/>
    <col min="5" max="5" width="18" customWidth="1"/>
    <col min="6" max="6" width="7" customWidth="1"/>
    <col min="7" max="7" width="11.5703125" customWidth="1"/>
    <col min="8" max="8" width="12.5703125" customWidth="1"/>
    <col min="9" max="9" width="12.42578125" customWidth="1"/>
    <col min="10" max="10" width="6" customWidth="1"/>
    <col min="11" max="12" width="2" customWidth="1"/>
  </cols>
  <sheetData>
    <row r="1" spans="1:10" ht="26.25">
      <c r="A1" s="234"/>
      <c r="B1" s="235" t="s">
        <v>674</v>
      </c>
      <c r="C1" s="235"/>
      <c r="D1" s="235"/>
      <c r="E1" s="235"/>
      <c r="F1" s="236" t="s">
        <v>4</v>
      </c>
      <c r="G1" s="237" t="s">
        <v>675</v>
      </c>
      <c r="H1" s="235"/>
      <c r="I1" s="235"/>
      <c r="J1" s="238"/>
    </row>
    <row r="2" spans="1:10" ht="18" customHeight="1">
      <c r="A2" s="1179" t="s">
        <v>28</v>
      </c>
      <c r="B2" s="1180"/>
      <c r="C2" s="1180"/>
      <c r="D2" s="1180"/>
      <c r="E2" s="1180"/>
      <c r="F2" s="1180"/>
      <c r="G2" s="1180"/>
      <c r="H2" s="1180"/>
      <c r="I2" s="1180"/>
      <c r="J2" s="1181"/>
    </row>
    <row r="3" spans="1:10" ht="12.4" customHeight="1">
      <c r="A3" s="1025" t="s">
        <v>29</v>
      </c>
      <c r="B3" s="1025"/>
      <c r="C3" s="1025"/>
      <c r="D3" s="1025"/>
      <c r="E3" s="1025"/>
      <c r="F3" s="1025"/>
      <c r="G3" s="1025"/>
      <c r="H3" s="1025"/>
      <c r="I3" s="1025"/>
      <c r="J3" s="1025"/>
    </row>
    <row r="4" spans="1:10" ht="19.5" customHeight="1">
      <c r="A4" s="1041" t="s">
        <v>30</v>
      </c>
      <c r="B4" s="1035"/>
      <c r="C4" s="1035"/>
      <c r="D4" s="19"/>
      <c r="E4" s="20">
        <v>36</v>
      </c>
      <c r="F4" s="21" t="s">
        <v>32</v>
      </c>
      <c r="G4" s="22"/>
      <c r="H4" s="93">
        <v>914.4</v>
      </c>
      <c r="I4" s="86" t="s">
        <v>73</v>
      </c>
      <c r="J4" s="18"/>
    </row>
    <row r="5" spans="1:10" ht="19.5" customHeight="1">
      <c r="A5" s="1027" t="s">
        <v>33</v>
      </c>
      <c r="B5" s="1028"/>
      <c r="C5" s="1028"/>
      <c r="D5" s="19"/>
      <c r="E5" s="20">
        <v>0.375</v>
      </c>
      <c r="F5" s="21" t="s">
        <v>32</v>
      </c>
      <c r="G5" s="22"/>
      <c r="H5" s="93">
        <v>9.5249999999999986</v>
      </c>
      <c r="I5" s="86" t="s">
        <v>73</v>
      </c>
      <c r="J5" s="18"/>
    </row>
    <row r="6" spans="1:10" ht="19.5" customHeight="1">
      <c r="A6" s="1027" t="s">
        <v>36</v>
      </c>
      <c r="B6" s="1028"/>
      <c r="C6" s="1028"/>
      <c r="D6" s="19"/>
      <c r="E6" s="67">
        <v>72</v>
      </c>
      <c r="F6" s="21" t="s">
        <v>39</v>
      </c>
      <c r="G6" s="1087" t="s">
        <v>676</v>
      </c>
      <c r="H6" s="72">
        <v>22.222222222222221</v>
      </c>
      <c r="I6" s="86" t="s">
        <v>677</v>
      </c>
      <c r="J6" s="18"/>
    </row>
    <row r="7" spans="1:10" ht="19.5" customHeight="1">
      <c r="A7" s="1027" t="s">
        <v>41</v>
      </c>
      <c r="B7" s="1028"/>
      <c r="C7" s="1028"/>
      <c r="D7" s="19"/>
      <c r="E7" s="20" t="s">
        <v>678</v>
      </c>
      <c r="F7" s="21"/>
      <c r="G7" s="1087"/>
      <c r="H7" s="22"/>
      <c r="I7" s="22"/>
      <c r="J7" s="18"/>
    </row>
    <row r="8" spans="1:10" ht="19.5" customHeight="1">
      <c r="A8" s="1027" t="s">
        <v>44</v>
      </c>
      <c r="B8" s="1028"/>
      <c r="C8" s="1028"/>
      <c r="D8" s="19"/>
      <c r="E8" s="58">
        <v>42100</v>
      </c>
      <c r="F8" s="21" t="s">
        <v>45</v>
      </c>
      <c r="G8" s="1087"/>
      <c r="H8" s="87"/>
      <c r="I8" s="103" t="s">
        <v>31</v>
      </c>
      <c r="J8" s="18"/>
    </row>
    <row r="9" spans="1:10" ht="19.5" customHeight="1">
      <c r="A9" s="1027" t="s">
        <v>47</v>
      </c>
      <c r="B9" s="1028"/>
      <c r="C9" s="1028"/>
      <c r="D9" s="19"/>
      <c r="E9" s="58">
        <v>60200</v>
      </c>
      <c r="F9" s="21" t="s">
        <v>45</v>
      </c>
      <c r="G9" s="1087"/>
      <c r="H9" s="87"/>
      <c r="I9" s="1097" t="s">
        <v>34</v>
      </c>
      <c r="J9" s="1182"/>
    </row>
    <row r="10" spans="1:10" ht="19.5" customHeight="1">
      <c r="A10" s="1027" t="s">
        <v>48</v>
      </c>
      <c r="B10" s="1028"/>
      <c r="C10" s="1028"/>
      <c r="D10" s="19"/>
      <c r="E10" s="20">
        <v>72</v>
      </c>
      <c r="F10" s="21" t="s">
        <v>49</v>
      </c>
      <c r="G10" s="22"/>
      <c r="H10" s="87"/>
      <c r="I10" s="1099" t="s">
        <v>37</v>
      </c>
      <c r="J10" s="1186"/>
    </row>
    <row r="11" spans="1:10" ht="19.5" customHeight="1">
      <c r="A11" s="1027" t="s">
        <v>50</v>
      </c>
      <c r="B11" s="1028"/>
      <c r="C11" s="1028"/>
      <c r="D11" s="19"/>
      <c r="E11" s="58">
        <v>632</v>
      </c>
      <c r="F11" s="21" t="s">
        <v>45</v>
      </c>
      <c r="G11" s="83"/>
      <c r="H11" s="83"/>
      <c r="I11" s="83"/>
      <c r="J11" s="18"/>
    </row>
    <row r="12" spans="1:10" ht="12.4" customHeight="1">
      <c r="A12" s="1025" t="s">
        <v>51</v>
      </c>
      <c r="B12" s="1025"/>
      <c r="C12" s="1025"/>
      <c r="D12" s="1025"/>
      <c r="E12" s="1025"/>
      <c r="F12" s="1025"/>
      <c r="G12" s="1025"/>
      <c r="H12" s="1025"/>
      <c r="I12" s="1025"/>
      <c r="J12" s="1025"/>
    </row>
    <row r="13" spans="1:10" ht="19.5" customHeight="1">
      <c r="A13" s="1027" t="s">
        <v>679</v>
      </c>
      <c r="B13" s="1028"/>
      <c r="C13" s="1028"/>
      <c r="D13" s="239"/>
      <c r="E13" s="39">
        <v>0.5</v>
      </c>
      <c r="F13" s="21" t="s">
        <v>32</v>
      </c>
      <c r="G13" s="1183" t="s">
        <v>676</v>
      </c>
      <c r="H13" s="1183"/>
      <c r="I13" s="93">
        <v>12.7</v>
      </c>
      <c r="J13" s="240" t="s">
        <v>73</v>
      </c>
    </row>
    <row r="14" spans="1:10" ht="19.5" customHeight="1">
      <c r="A14" s="1027" t="s">
        <v>680</v>
      </c>
      <c r="B14" s="1028"/>
      <c r="C14" s="1028"/>
      <c r="D14" s="19"/>
      <c r="E14" s="104">
        <v>5</v>
      </c>
      <c r="F14" s="21" t="s">
        <v>32</v>
      </c>
      <c r="G14" s="1069"/>
      <c r="H14" s="1069"/>
      <c r="I14" s="93">
        <v>127</v>
      </c>
      <c r="J14" s="240" t="s">
        <v>73</v>
      </c>
    </row>
    <row r="15" spans="1:10" ht="19.5" customHeight="1">
      <c r="A15" s="1027" t="s">
        <v>681</v>
      </c>
      <c r="B15" s="1028"/>
      <c r="C15" s="1028"/>
      <c r="D15" s="95"/>
      <c r="E15" s="67">
        <v>120</v>
      </c>
      <c r="F15" s="21" t="s">
        <v>682</v>
      </c>
      <c r="G15" s="1069"/>
      <c r="H15" s="1069"/>
      <c r="I15" s="86"/>
      <c r="J15" s="18"/>
    </row>
    <row r="16" spans="1:10" ht="19.5" customHeight="1">
      <c r="A16" s="1027" t="s">
        <v>683</v>
      </c>
      <c r="B16" s="1028"/>
      <c r="C16" s="1028"/>
      <c r="D16" s="95"/>
      <c r="E16" s="67"/>
      <c r="F16" s="21"/>
      <c r="G16" s="232"/>
      <c r="H16" s="232"/>
      <c r="I16" s="86"/>
      <c r="J16" s="18"/>
    </row>
    <row r="17" spans="1:10" ht="19.5" customHeight="1">
      <c r="A17" s="1027" t="s">
        <v>684</v>
      </c>
      <c r="B17" s="1028"/>
      <c r="C17" s="1028"/>
      <c r="D17" s="95"/>
      <c r="E17" s="67"/>
      <c r="F17" s="21"/>
      <c r="G17" s="232"/>
      <c r="H17" s="232"/>
      <c r="I17" s="86"/>
      <c r="J17" s="18"/>
    </row>
    <row r="18" spans="1:10" ht="12.4" customHeight="1">
      <c r="A18" s="1025" t="s">
        <v>61</v>
      </c>
      <c r="B18" s="1025"/>
      <c r="C18" s="1025"/>
      <c r="D18" s="1025"/>
      <c r="E18" s="1025"/>
      <c r="F18" s="1025"/>
      <c r="G18" s="1025"/>
      <c r="H18" s="1025"/>
      <c r="I18" s="1025"/>
      <c r="J18" s="1025"/>
    </row>
    <row r="19" spans="1:10" ht="19.5" customHeight="1">
      <c r="A19" s="1027" t="s">
        <v>63</v>
      </c>
      <c r="B19" s="1028"/>
      <c r="C19" s="1028"/>
      <c r="D19" s="19"/>
      <c r="E19" s="20" t="s">
        <v>230</v>
      </c>
      <c r="F19" s="21"/>
      <c r="G19" s="230" t="s">
        <v>685</v>
      </c>
      <c r="H19" s="20">
        <v>1</v>
      </c>
      <c r="I19" s="24"/>
      <c r="J19" s="18"/>
    </row>
    <row r="20" spans="1:10" ht="19.5" customHeight="1">
      <c r="A20" s="1027" t="s">
        <v>65</v>
      </c>
      <c r="B20" s="1028"/>
      <c r="C20" s="1028"/>
      <c r="D20" s="19"/>
      <c r="E20" s="58">
        <v>32550</v>
      </c>
      <c r="F20" s="21" t="s">
        <v>45</v>
      </c>
      <c r="G20" s="22"/>
      <c r="H20" s="22"/>
      <c r="I20" s="24"/>
      <c r="J20" s="18"/>
    </row>
    <row r="21" spans="1:10" ht="19.5" customHeight="1">
      <c r="A21" s="1027" t="s">
        <v>67</v>
      </c>
      <c r="B21" s="1028"/>
      <c r="C21" s="1028"/>
      <c r="D21" s="19"/>
      <c r="E21" s="20">
        <v>0.5</v>
      </c>
      <c r="F21" s="86"/>
      <c r="G21" s="86" t="s">
        <v>686</v>
      </c>
      <c r="H21" s="21"/>
      <c r="I21" s="24"/>
      <c r="J21" s="18"/>
    </row>
    <row r="22" spans="1:10" ht="18" customHeight="1">
      <c r="A22" s="1084" t="s">
        <v>69</v>
      </c>
      <c r="B22" s="1085"/>
      <c r="C22" s="1085"/>
      <c r="D22" s="1085"/>
      <c r="E22" s="1085"/>
      <c r="F22" s="1085"/>
      <c r="G22" s="1085"/>
      <c r="H22" s="1085"/>
      <c r="I22" s="1085"/>
      <c r="J22" s="1086"/>
    </row>
    <row r="23" spans="1:10" ht="12.2" customHeight="1">
      <c r="A23" s="1025" t="s">
        <v>70</v>
      </c>
      <c r="B23" s="1025"/>
      <c r="C23" s="1025"/>
      <c r="D23" s="1025"/>
      <c r="E23" s="1025"/>
      <c r="F23" s="1025"/>
      <c r="G23" s="1025"/>
      <c r="H23" s="1025"/>
      <c r="I23" s="1025"/>
      <c r="J23" s="1025"/>
    </row>
    <row r="24" spans="1:10" ht="17.25" customHeight="1">
      <c r="A24" s="1027" t="s">
        <v>687</v>
      </c>
      <c r="B24" s="1076"/>
      <c r="C24" s="96">
        <v>12</v>
      </c>
      <c r="D24" s="176" t="s">
        <v>676</v>
      </c>
      <c r="E24" s="176"/>
      <c r="F24" s="176"/>
      <c r="G24" s="97"/>
      <c r="H24" s="87"/>
      <c r="I24" s="98"/>
      <c r="J24" s="99"/>
    </row>
    <row r="25" spans="1:10" ht="17.25" customHeight="1">
      <c r="A25" s="1027" t="s">
        <v>688</v>
      </c>
      <c r="B25" s="1076"/>
      <c r="C25" s="100">
        <v>8</v>
      </c>
      <c r="D25" s="230" t="s">
        <v>689</v>
      </c>
      <c r="E25" s="233">
        <v>4</v>
      </c>
      <c r="F25" s="21"/>
      <c r="G25" s="21"/>
      <c r="H25" s="87"/>
      <c r="I25" s="93"/>
      <c r="J25" s="23"/>
    </row>
    <row r="26" spans="1:10" ht="17.25" customHeight="1">
      <c r="A26" s="1027" t="s">
        <v>72</v>
      </c>
      <c r="B26" s="1076"/>
      <c r="C26" s="100">
        <v>0.504</v>
      </c>
      <c r="D26" s="21" t="s">
        <v>32</v>
      </c>
      <c r="E26" s="93">
        <v>12.801599999999999</v>
      </c>
      <c r="F26" s="21" t="s">
        <v>73</v>
      </c>
      <c r="G26" s="95"/>
      <c r="H26" s="87"/>
      <c r="I26" s="93"/>
      <c r="J26" s="40"/>
    </row>
    <row r="27" spans="1:10" ht="17.25" customHeight="1">
      <c r="A27" s="1027" t="s">
        <v>74</v>
      </c>
      <c r="B27" s="1076"/>
      <c r="C27" s="215">
        <v>125</v>
      </c>
      <c r="D27" s="21" t="s">
        <v>75</v>
      </c>
      <c r="E27" s="93">
        <v>38.1</v>
      </c>
      <c r="F27" s="24" t="s">
        <v>76</v>
      </c>
      <c r="G27" s="1077"/>
      <c r="H27" s="1077"/>
      <c r="I27" s="1077"/>
      <c r="J27" s="1078"/>
    </row>
    <row r="28" spans="1:10" ht="17.25" customHeight="1">
      <c r="A28" s="1027" t="s">
        <v>690</v>
      </c>
      <c r="B28" s="1076"/>
      <c r="C28" s="215"/>
      <c r="D28" s="21"/>
      <c r="E28" s="93"/>
      <c r="F28" s="24"/>
      <c r="G28" s="19"/>
      <c r="H28" s="19"/>
      <c r="I28" s="19"/>
      <c r="J28" s="231"/>
    </row>
    <row r="29" spans="1:10" ht="17.25" customHeight="1">
      <c r="A29" s="1027" t="s">
        <v>691</v>
      </c>
      <c r="B29" s="1076"/>
      <c r="C29" s="215"/>
      <c r="D29" s="21"/>
      <c r="E29" s="93"/>
      <c r="F29" s="24"/>
      <c r="G29" s="19"/>
      <c r="H29" s="19"/>
      <c r="I29" s="19"/>
      <c r="J29" s="231"/>
    </row>
    <row r="30" spans="1:10" ht="17.25" customHeight="1">
      <c r="A30" s="1027" t="s">
        <v>77</v>
      </c>
      <c r="B30" s="1076"/>
      <c r="C30" s="101">
        <v>24</v>
      </c>
      <c r="D30" s="21" t="s">
        <v>32</v>
      </c>
      <c r="E30" s="93">
        <v>609.59999999999991</v>
      </c>
      <c r="F30" s="21" t="s">
        <v>73</v>
      </c>
      <c r="G30" s="21"/>
      <c r="H30" s="21"/>
      <c r="I30" s="93"/>
      <c r="J30" s="23"/>
    </row>
    <row r="31" spans="1:10" ht="17.25" customHeight="1">
      <c r="A31" s="1027" t="s">
        <v>78</v>
      </c>
      <c r="B31" s="1076"/>
      <c r="C31" s="100">
        <v>250</v>
      </c>
      <c r="D31" s="21" t="s">
        <v>79</v>
      </c>
      <c r="E31" s="93">
        <v>23.225750000000001</v>
      </c>
      <c r="F31" s="21" t="s">
        <v>80</v>
      </c>
      <c r="G31" s="21"/>
      <c r="H31" s="21"/>
      <c r="I31" s="93"/>
      <c r="J31" s="40"/>
    </row>
    <row r="32" spans="1:10" ht="17.25" customHeight="1">
      <c r="A32" s="1027" t="s">
        <v>692</v>
      </c>
      <c r="B32" s="1076"/>
      <c r="C32" s="100"/>
      <c r="D32" s="21"/>
      <c r="E32" s="93"/>
      <c r="F32" s="21"/>
      <c r="G32" s="21"/>
      <c r="H32" s="21"/>
      <c r="I32" s="93"/>
      <c r="J32" s="40"/>
    </row>
    <row r="33" spans="1:10" ht="17.25" customHeight="1">
      <c r="A33" s="1027" t="s">
        <v>693</v>
      </c>
      <c r="B33" s="1076"/>
      <c r="C33" s="100"/>
      <c r="D33" s="21"/>
      <c r="E33" s="93"/>
      <c r="F33" s="21"/>
      <c r="G33" s="21"/>
      <c r="H33" s="21"/>
      <c r="I33" s="93"/>
      <c r="J33" s="40"/>
    </row>
    <row r="34" spans="1:10" ht="17.25" customHeight="1">
      <c r="A34" s="1027" t="s">
        <v>81</v>
      </c>
      <c r="B34" s="1076"/>
      <c r="C34" s="100">
        <v>9.1999999999999993</v>
      </c>
      <c r="D34" s="21" t="s">
        <v>694</v>
      </c>
      <c r="E34" s="93">
        <v>8.6748933333333333</v>
      </c>
      <c r="F34" s="24" t="s">
        <v>82</v>
      </c>
      <c r="G34" s="21"/>
      <c r="H34" s="21"/>
      <c r="I34" s="93"/>
      <c r="J34" s="40"/>
    </row>
    <row r="35" spans="1:10" ht="17.25" customHeight="1">
      <c r="A35" s="1027" t="s">
        <v>83</v>
      </c>
      <c r="B35" s="1076"/>
      <c r="C35" s="100">
        <v>18.400000000000002</v>
      </c>
      <c r="D35" s="21" t="s">
        <v>86</v>
      </c>
      <c r="E35" s="93">
        <v>17.349786666666667</v>
      </c>
      <c r="F35" s="24" t="s">
        <v>84</v>
      </c>
      <c r="G35" s="21"/>
      <c r="H35" s="21"/>
      <c r="I35" s="93"/>
      <c r="J35" s="40"/>
    </row>
    <row r="36" spans="1:10" ht="17.25" customHeight="1">
      <c r="A36" s="1027" t="s">
        <v>85</v>
      </c>
      <c r="B36" s="1076"/>
      <c r="C36" s="100">
        <v>34.6</v>
      </c>
      <c r="D36" s="21" t="s">
        <v>86</v>
      </c>
      <c r="E36" s="93">
        <v>16.371889599999999</v>
      </c>
      <c r="F36" s="24" t="s">
        <v>84</v>
      </c>
      <c r="G36" s="21"/>
      <c r="H36" s="21"/>
      <c r="I36" s="93"/>
      <c r="J36" s="40"/>
    </row>
    <row r="37" spans="1:10" ht="17.25" customHeight="1">
      <c r="A37" s="1065" t="s">
        <v>88</v>
      </c>
      <c r="B37" s="1079"/>
      <c r="C37" s="1344" t="s">
        <v>89</v>
      </c>
      <c r="D37" s="1081"/>
      <c r="E37" s="1082" t="s">
        <v>89</v>
      </c>
      <c r="F37" s="1082"/>
      <c r="G37" s="221"/>
      <c r="H37" s="221"/>
      <c r="I37" s="221"/>
      <c r="J37" s="189"/>
    </row>
    <row r="38" spans="1:10">
      <c r="A38" s="217"/>
      <c r="B38" s="218"/>
      <c r="C38" s="218"/>
      <c r="D38" s="218"/>
      <c r="E38" s="218"/>
      <c r="F38" s="218"/>
      <c r="G38" s="115"/>
      <c r="H38" s="115"/>
      <c r="I38" s="115"/>
      <c r="J38" s="116"/>
    </row>
    <row r="39" spans="1:10">
      <c r="A39" s="217"/>
      <c r="B39" s="218"/>
      <c r="C39" s="218"/>
      <c r="D39" s="218"/>
      <c r="E39" s="218"/>
      <c r="F39" s="218"/>
      <c r="G39" s="115"/>
      <c r="H39" s="115"/>
      <c r="I39" s="115"/>
      <c r="J39" s="116"/>
    </row>
    <row r="40" spans="1:10">
      <c r="A40" s="217"/>
      <c r="B40" s="218"/>
      <c r="C40" s="218"/>
      <c r="D40" s="218"/>
      <c r="E40" s="218"/>
      <c r="F40" s="218"/>
      <c r="G40" s="115"/>
      <c r="H40" s="115"/>
      <c r="I40" s="115"/>
      <c r="J40" s="116"/>
    </row>
    <row r="41" spans="1:10">
      <c r="A41" s="217"/>
      <c r="B41" s="218"/>
      <c r="C41" s="218"/>
      <c r="D41" s="218"/>
      <c r="E41" s="218"/>
      <c r="F41" s="218"/>
      <c r="G41" s="115"/>
      <c r="H41" s="115"/>
      <c r="I41" s="115"/>
      <c r="J41" s="116"/>
    </row>
    <row r="42" spans="1:10">
      <c r="A42" s="217"/>
      <c r="B42" s="218"/>
      <c r="C42" s="218"/>
      <c r="D42" s="218"/>
      <c r="E42" s="218"/>
      <c r="F42" s="218"/>
      <c r="G42" s="115"/>
      <c r="H42" s="115"/>
      <c r="I42" s="115"/>
      <c r="J42" s="116"/>
    </row>
    <row r="43" spans="1:10">
      <c r="A43" s="219"/>
      <c r="B43" s="220"/>
      <c r="C43" s="220"/>
      <c r="D43" s="220"/>
      <c r="E43" s="220"/>
      <c r="F43" s="220"/>
      <c r="G43" s="145"/>
      <c r="H43" s="145"/>
      <c r="I43" s="145"/>
      <c r="J43" s="146"/>
    </row>
  </sheetData>
  <sheetProtection selectLockedCells="1"/>
  <mergeCells count="43">
    <mergeCell ref="A2:J2"/>
    <mergeCell ref="A3:J3"/>
    <mergeCell ref="A4:C4"/>
    <mergeCell ref="A5:C5"/>
    <mergeCell ref="A6:C6"/>
    <mergeCell ref="G6:G9"/>
    <mergeCell ref="A7:C7"/>
    <mergeCell ref="A8:C8"/>
    <mergeCell ref="A9:C9"/>
    <mergeCell ref="I9:J9"/>
    <mergeCell ref="A10:C10"/>
    <mergeCell ref="I10:J10"/>
    <mergeCell ref="A11:C11"/>
    <mergeCell ref="A12:J12"/>
    <mergeCell ref="A13:C13"/>
    <mergeCell ref="G13:H15"/>
    <mergeCell ref="A14:C14"/>
    <mergeCell ref="A15:C15"/>
    <mergeCell ref="A27:B27"/>
    <mergeCell ref="G27:J27"/>
    <mergeCell ref="A30:B30"/>
    <mergeCell ref="A18:J18"/>
    <mergeCell ref="A19:C19"/>
    <mergeCell ref="A20:C20"/>
    <mergeCell ref="A21:C21"/>
    <mergeCell ref="A22:J22"/>
    <mergeCell ref="A23:J23"/>
    <mergeCell ref="A16:C16"/>
    <mergeCell ref="A17:C17"/>
    <mergeCell ref="E37:F37"/>
    <mergeCell ref="A28:B28"/>
    <mergeCell ref="A29:B29"/>
    <mergeCell ref="A32:B32"/>
    <mergeCell ref="A33:B33"/>
    <mergeCell ref="A31:B31"/>
    <mergeCell ref="A34:B34"/>
    <mergeCell ref="A35:B35"/>
    <mergeCell ref="A36:B36"/>
    <mergeCell ref="A37:B37"/>
    <mergeCell ref="C37:D37"/>
    <mergeCell ref="A24:B24"/>
    <mergeCell ref="A25:B25"/>
    <mergeCell ref="A26:B26"/>
  </mergeCells>
  <dataValidations count="1">
    <dataValidation type="decimal" operator="greaterThan" allowBlank="1" showInputMessage="1" showErrorMessage="1" sqref="E6 E13" xr:uid="{8E242992-B950-4CB1-9FCD-C3D02F49A2CE}">
      <formula1>0</formula1>
    </dataValidation>
  </dataValidations>
  <printOptions horizontalCentered="1"/>
  <pageMargins left="0.25" right="0.25" top="1" bottom="0.75" header="0.25" footer="0.3"/>
  <pageSetup scale="88" orientation="portrait" r:id="rId1"/>
  <headerFooter alignWithMargins="0">
    <oddHeader xml:space="preserve">&amp;L&amp;G&amp;R&amp;"-,Bold"&amp;12OmegaWrap®
&amp;"-,Regular"&amp;10 (832) 947-4488
www.omegawrap.com </oddHeader>
    <oddFooter>&amp;L&amp;9Calculator Version &amp;F&amp;R&amp;9Page &amp;P of &amp;N</oddFooter>
  </headerFooter>
  <drawing r:id="rId2"/>
  <legacyDrawing r:id="rId3"/>
  <legacyDrawingHF r:id="rId4"/>
  <controls>
    <mc:AlternateContent xmlns:mc="http://schemas.openxmlformats.org/markup-compatibility/2006">
      <mc:Choice Requires="x14">
        <control shapeId="361473" r:id="rId5" name="ExportSingle">
          <controlPr defaultSize="0" print="0" autoLine="0" r:id="rId6">
            <anchor moveWithCells="1">
              <from>
                <xdr:col>6</xdr:col>
                <xdr:colOff>466725</xdr:colOff>
                <xdr:row>24</xdr:row>
                <xdr:rowOff>57150</xdr:rowOff>
              </from>
              <to>
                <xdr:col>9</xdr:col>
                <xdr:colOff>28575</xdr:colOff>
                <xdr:row>25</xdr:row>
                <xdr:rowOff>180975</xdr:rowOff>
              </to>
            </anchor>
          </controlPr>
        </control>
      </mc:Choice>
      <mc:Fallback>
        <control shapeId="361473" r:id="rId5" name="ExportSingl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F5B92-1810-40CC-B422-62711E65364E}">
  <sheetPr codeName="Sheet09">
    <tabColor theme="7" tint="-0.499984740745262"/>
  </sheetPr>
  <dimension ref="B1:Q86"/>
  <sheetViews>
    <sheetView showGridLines="0" topLeftCell="A67" zoomScale="85" zoomScaleNormal="85" workbookViewId="0">
      <selection activeCell="J88" sqref="J88"/>
    </sheetView>
  </sheetViews>
  <sheetFormatPr defaultRowHeight="15"/>
  <cols>
    <col min="3" max="3" width="12" bestFit="1" customWidth="1"/>
    <col min="4" max="4" width="9.28515625" bestFit="1" customWidth="1"/>
    <col min="8" max="8" width="11.42578125" bestFit="1" customWidth="1"/>
    <col min="10" max="10" width="10.5703125" bestFit="1" customWidth="1"/>
    <col min="13" max="13" width="11.28515625" customWidth="1"/>
  </cols>
  <sheetData>
    <row r="1" spans="2:17" ht="15.75" thickBot="1"/>
    <row r="2" spans="2:17" ht="36">
      <c r="B2" s="1351" t="s">
        <v>695</v>
      </c>
      <c r="C2" s="1352"/>
      <c r="D2" s="1352"/>
      <c r="E2" s="1352"/>
      <c r="F2" s="1352"/>
      <c r="G2" s="1352"/>
      <c r="H2" s="1352"/>
      <c r="I2" s="1352"/>
      <c r="J2" s="1352"/>
      <c r="K2" s="1353"/>
    </row>
    <row r="3" spans="2:17">
      <c r="B3" s="1158" t="s">
        <v>93</v>
      </c>
      <c r="C3" s="1159"/>
      <c r="D3" s="1159"/>
      <c r="E3" s="1159"/>
      <c r="F3" s="1159"/>
      <c r="G3" s="1159"/>
      <c r="H3" s="1159"/>
      <c r="I3" s="1159"/>
      <c r="J3" s="1159"/>
      <c r="K3" s="1160"/>
    </row>
    <row r="4" spans="2:17" ht="15" customHeight="1">
      <c r="B4" s="1161" t="s">
        <v>696</v>
      </c>
      <c r="C4" s="1162"/>
      <c r="D4" s="1162"/>
      <c r="E4" s="1162"/>
      <c r="F4" s="1162"/>
      <c r="G4" s="1162"/>
      <c r="H4" s="1162"/>
      <c r="I4" s="1162"/>
      <c r="J4" s="1162"/>
      <c r="K4" s="1163"/>
    </row>
    <row r="5" spans="2:17">
      <c r="B5" s="1161"/>
      <c r="C5" s="1162"/>
      <c r="D5" s="1162"/>
      <c r="E5" s="1162"/>
      <c r="F5" s="1162"/>
      <c r="G5" s="1162"/>
      <c r="H5" s="1162"/>
      <c r="I5" s="1162"/>
      <c r="J5" s="1162"/>
      <c r="K5" s="1163"/>
    </row>
    <row r="6" spans="2:17" ht="15.75" customHeight="1">
      <c r="B6" s="1167" t="s">
        <v>95</v>
      </c>
      <c r="C6" s="1168"/>
      <c r="D6" s="1168"/>
      <c r="E6" s="1168"/>
      <c r="F6" s="1168"/>
      <c r="G6" s="1168"/>
      <c r="H6" s="1168"/>
      <c r="I6" s="1168"/>
      <c r="J6" s="1168"/>
      <c r="K6" s="1169"/>
    </row>
    <row r="7" spans="2:17" ht="15.75" thickBot="1">
      <c r="B7" s="1170"/>
      <c r="C7" s="1171"/>
      <c r="D7" s="1171"/>
      <c r="E7" s="1171"/>
      <c r="F7" s="1171"/>
      <c r="G7" s="1171"/>
      <c r="H7" s="1171"/>
      <c r="I7" s="1171"/>
      <c r="J7" s="1171"/>
      <c r="K7" s="1172"/>
    </row>
    <row r="8" spans="2:17" ht="15.75">
      <c r="B8" s="1126" t="s">
        <v>96</v>
      </c>
      <c r="C8" s="1127"/>
      <c r="D8" s="1127"/>
      <c r="E8" s="1127"/>
      <c r="F8" s="1127"/>
      <c r="G8" s="1127"/>
      <c r="H8" s="1127"/>
      <c r="I8" s="1127"/>
      <c r="J8" s="1127"/>
      <c r="K8" s="1128"/>
      <c r="M8" s="1126" t="s">
        <v>97</v>
      </c>
      <c r="N8" s="1127"/>
      <c r="O8" s="1127"/>
      <c r="P8" s="1127"/>
      <c r="Q8" s="1128"/>
    </row>
    <row r="9" spans="2:17" ht="15.75" thickBot="1">
      <c r="B9" s="1166" t="s">
        <v>98</v>
      </c>
      <c r="C9" s="1141"/>
      <c r="D9" s="45"/>
      <c r="E9" s="27" t="s">
        <v>99</v>
      </c>
      <c r="F9" s="45"/>
      <c r="G9" s="45"/>
      <c r="H9" s="45"/>
      <c r="I9" s="27" t="s">
        <v>100</v>
      </c>
      <c r="J9" s="27" t="s">
        <v>101</v>
      </c>
      <c r="K9" s="28" t="s">
        <v>102</v>
      </c>
      <c r="M9" s="91" t="s">
        <v>3</v>
      </c>
      <c r="N9" s="1145" t="s">
        <v>676</v>
      </c>
      <c r="O9" s="1145"/>
      <c r="P9" s="1145"/>
      <c r="Q9" s="1146"/>
    </row>
    <row r="10" spans="2:17" ht="27" customHeight="1">
      <c r="B10" s="1164" t="s">
        <v>30</v>
      </c>
      <c r="C10" s="1165"/>
      <c r="D10" s="41"/>
      <c r="E10" s="42"/>
      <c r="F10" s="41"/>
      <c r="G10" s="70">
        <f>J10*'OW Variables'!$S$5</f>
        <v>914.4</v>
      </c>
      <c r="H10" s="69" t="s">
        <v>73</v>
      </c>
      <c r="I10" s="41"/>
      <c r="J10" s="43">
        <f>Wrinkle!E4</f>
        <v>36</v>
      </c>
      <c r="K10" s="44" t="s">
        <v>32</v>
      </c>
      <c r="M10" s="92" t="s">
        <v>11</v>
      </c>
      <c r="N10" s="1145" t="s">
        <v>676</v>
      </c>
      <c r="O10" s="1145"/>
      <c r="P10" s="1145"/>
      <c r="Q10" s="1146"/>
    </row>
    <row r="11" spans="2:17" ht="27" customHeight="1">
      <c r="B11" s="1110" t="s">
        <v>33</v>
      </c>
      <c r="C11" s="1111"/>
      <c r="D11" s="25"/>
      <c r="E11" s="1"/>
      <c r="F11" s="25"/>
      <c r="G11" s="71">
        <f>J11*'OW Variables'!$S$5</f>
        <v>9.5249999999999986</v>
      </c>
      <c r="H11" s="26" t="s">
        <v>73</v>
      </c>
      <c r="I11" s="25"/>
      <c r="J11" s="37">
        <f>Wrinkle!E5</f>
        <v>0.375</v>
      </c>
      <c r="K11" s="12" t="s">
        <v>32</v>
      </c>
      <c r="M11" s="92" t="s">
        <v>2</v>
      </c>
      <c r="N11" s="1147" t="s">
        <v>676</v>
      </c>
      <c r="O11" s="1148"/>
      <c r="P11" s="1148"/>
      <c r="Q11" s="1149"/>
    </row>
    <row r="12" spans="2:17" ht="27" customHeight="1">
      <c r="B12" s="1110" t="s">
        <v>41</v>
      </c>
      <c r="C12" s="1111"/>
      <c r="D12" s="25"/>
      <c r="E12" s="1"/>
      <c r="F12" s="25"/>
      <c r="G12" s="25"/>
      <c r="H12" s="25"/>
      <c r="I12" s="25"/>
      <c r="J12" s="37" t="str">
        <f>Wrinkle!E7</f>
        <v>X42</v>
      </c>
      <c r="K12" s="12"/>
      <c r="M12" s="92" t="s">
        <v>12</v>
      </c>
      <c r="N12" s="1145" t="s">
        <v>676</v>
      </c>
      <c r="O12" s="1145"/>
      <c r="P12" s="1145"/>
      <c r="Q12" s="1146"/>
    </row>
    <row r="13" spans="2:17" ht="27" customHeight="1">
      <c r="B13" s="1110" t="s">
        <v>44</v>
      </c>
      <c r="C13" s="1111"/>
      <c r="D13" s="25"/>
      <c r="E13" s="1"/>
      <c r="F13" s="25"/>
      <c r="G13" s="25"/>
      <c r="H13" s="25"/>
      <c r="I13" s="25"/>
      <c r="J13" s="1">
        <f>VLOOKUP($J$12,'OW Variables'!$B$4:$D$15,2,FALSE)</f>
        <v>42100</v>
      </c>
      <c r="K13" s="12" t="s">
        <v>45</v>
      </c>
      <c r="M13" s="92" t="s">
        <v>13</v>
      </c>
      <c r="N13" s="1145" t="s">
        <v>676</v>
      </c>
      <c r="O13" s="1145"/>
      <c r="P13" s="1145"/>
      <c r="Q13" s="1146"/>
    </row>
    <row r="14" spans="2:17" ht="27" customHeight="1">
      <c r="B14" s="1110" t="s">
        <v>47</v>
      </c>
      <c r="C14" s="1111"/>
      <c r="D14" s="25"/>
      <c r="E14" s="1"/>
      <c r="F14" s="25"/>
      <c r="G14" s="25"/>
      <c r="H14" s="25"/>
      <c r="I14" s="25"/>
      <c r="J14" s="1">
        <f>VLOOKUP($J$12,'OW Variables'!$B$4:$D$15,3,FALSE)</f>
        <v>60200</v>
      </c>
      <c r="K14" s="12" t="s">
        <v>45</v>
      </c>
      <c r="M14" s="92" t="s">
        <v>5</v>
      </c>
      <c r="N14" s="1145" t="s">
        <v>676</v>
      </c>
      <c r="O14" s="1145"/>
      <c r="P14" s="1145"/>
      <c r="Q14" s="1146"/>
    </row>
    <row r="15" spans="2:17" ht="27" customHeight="1">
      <c r="B15" s="1110" t="s">
        <v>103</v>
      </c>
      <c r="C15" s="1111"/>
      <c r="D15" s="25"/>
      <c r="E15" s="1"/>
      <c r="F15" s="25"/>
      <c r="G15" s="25"/>
      <c r="H15" s="25"/>
      <c r="I15" s="25"/>
      <c r="J15" s="178">
        <f>IF(Wrinkle!E10&gt;1,Wrinkle!E10/100,Wrinkle!E10)</f>
        <v>0.72</v>
      </c>
      <c r="K15" s="12" t="s">
        <v>697</v>
      </c>
      <c r="M15" s="92" t="s">
        <v>104</v>
      </c>
      <c r="N15" s="1153" t="s">
        <v>676</v>
      </c>
      <c r="O15" s="1153"/>
      <c r="P15" s="1153"/>
      <c r="Q15" s="1154"/>
    </row>
    <row r="16" spans="2:17" ht="27" customHeight="1">
      <c r="B16" s="1110" t="s">
        <v>50</v>
      </c>
      <c r="C16" s="1111"/>
      <c r="D16" s="25"/>
      <c r="E16" s="1"/>
      <c r="F16" s="25"/>
      <c r="G16" s="25"/>
      <c r="H16" s="25"/>
      <c r="I16" s="25"/>
      <c r="J16" s="1">
        <f>ROUND(J15*J13*2*J11/J10,0)</f>
        <v>632</v>
      </c>
      <c r="K16" s="12" t="s">
        <v>105</v>
      </c>
      <c r="M16" s="92" t="s">
        <v>14</v>
      </c>
      <c r="N16" s="1145" t="s">
        <v>676</v>
      </c>
      <c r="O16" s="1145"/>
      <c r="P16" s="1145"/>
      <c r="Q16" s="1146"/>
    </row>
    <row r="17" spans="2:17" ht="27" customHeight="1">
      <c r="B17" s="1110" t="s">
        <v>106</v>
      </c>
      <c r="C17" s="1111"/>
      <c r="D17" s="25"/>
      <c r="E17" s="1"/>
      <c r="F17" s="25"/>
      <c r="G17" s="25"/>
      <c r="H17" s="25"/>
      <c r="I17" s="25"/>
      <c r="J17" s="1">
        <f>ROUND(0.8*J16,0)</f>
        <v>506</v>
      </c>
      <c r="K17" s="12" t="s">
        <v>105</v>
      </c>
      <c r="M17" s="92" t="s">
        <v>107</v>
      </c>
      <c r="N17" s="1145" t="s">
        <v>676</v>
      </c>
      <c r="O17" s="1145"/>
      <c r="P17" s="1145"/>
      <c r="Q17" s="1146"/>
    </row>
    <row r="18" spans="2:17" ht="27" customHeight="1">
      <c r="B18" s="1110" t="s">
        <v>108</v>
      </c>
      <c r="C18" s="1111"/>
      <c r="D18" s="25"/>
      <c r="E18" s="25"/>
      <c r="F18" s="25"/>
      <c r="G18" s="25"/>
      <c r="H18" s="25"/>
      <c r="I18" s="25"/>
      <c r="J18" s="1">
        <f>'OW Variables'!AC$4</f>
        <v>30000000</v>
      </c>
      <c r="K18" s="12" t="s">
        <v>45</v>
      </c>
      <c r="M18" s="92" t="s">
        <v>109</v>
      </c>
      <c r="N18" s="1145" t="s">
        <v>676</v>
      </c>
      <c r="O18" s="1145"/>
      <c r="P18" s="1145"/>
      <c r="Q18" s="1146"/>
    </row>
    <row r="19" spans="2:17" ht="27" customHeight="1">
      <c r="B19" s="1123" t="s">
        <v>110</v>
      </c>
      <c r="C19" s="1124"/>
      <c r="D19" s="33"/>
      <c r="E19" s="34"/>
      <c r="F19" s="33"/>
      <c r="G19" s="68">
        <f>(J19-32)*5/9</f>
        <v>22.222222222222221</v>
      </c>
      <c r="H19" s="35" t="s">
        <v>111</v>
      </c>
      <c r="I19" s="82" t="e" cm="1">
        <f t="array" ref="I19">_xlfn.IFS(J26='OW Variables'!E5,_xlfn.IFS(J19&lt;'OW Variables'!G5,'OW Variables'!H5,AND(J19&gt;='OW Variables'!F6,J19&lt;='OW Variables'!G6),'OW Variables'!H6,AND(J19&gt;'OW Variables'!F7,J19&lt;='OW Variables'!G7),'OW Variables'!H7,AND(J19&gt;'OW Variables'!F8,J19&lt;='OW Variables'!G8),'OW Variables'!H8,J19&gt;'OW Variables'!F9,'OW Variables'!H9),J26='OW Variables'!E10,_xlfn.IFS(J19&lt;'OW Variables'!G10,'OW Variables'!H10,AND(J19&gt;='OW Variables'!F11,J19&lt;='OW Variables'!G11),'OW Variables'!H11,AND(J19&gt;'OW Variables'!F12,J19&lt;='OW Variables'!G12),'OW Variables'!H12,AND(J19&gt;'OW Variables'!F13,J19&lt;='OW Variables'!G13),'OW Variables'!H13,J19&gt;'OW Variables'!F14,'OW Variables'!H14))</f>
        <v>#N/A</v>
      </c>
      <c r="J19" s="68">
        <f>Wrinkle!E6</f>
        <v>72</v>
      </c>
      <c r="K19" s="36" t="s">
        <v>39</v>
      </c>
      <c r="M19" s="92" t="s">
        <v>15</v>
      </c>
      <c r="N19" s="1147" t="s">
        <v>676</v>
      </c>
      <c r="O19" s="1148"/>
      <c r="P19" s="1148"/>
      <c r="Q19" s="1149"/>
    </row>
    <row r="20" spans="2:17" ht="27" customHeight="1">
      <c r="B20" s="1110" t="s">
        <v>679</v>
      </c>
      <c r="C20" s="1111"/>
      <c r="D20" s="25"/>
      <c r="E20" s="1"/>
      <c r="F20" s="25"/>
      <c r="G20" s="71">
        <f>J20*'OW Variables'!$S$5</f>
        <v>12.7</v>
      </c>
      <c r="H20" s="26" t="s">
        <v>73</v>
      </c>
      <c r="I20" s="61"/>
      <c r="J20" s="60">
        <f>Wrinkle!E13</f>
        <v>0.5</v>
      </c>
      <c r="K20" s="12" t="s">
        <v>32</v>
      </c>
      <c r="M20" s="92" t="s">
        <v>16</v>
      </c>
      <c r="N20" s="1145" t="s">
        <v>676</v>
      </c>
      <c r="O20" s="1145"/>
      <c r="P20" s="1145"/>
      <c r="Q20" s="1146"/>
    </row>
    <row r="21" spans="2:17" ht="27" customHeight="1">
      <c r="B21" s="1110" t="s">
        <v>680</v>
      </c>
      <c r="C21" s="1111"/>
      <c r="D21" s="25"/>
      <c r="E21" s="1"/>
      <c r="F21" s="25"/>
      <c r="G21" s="71">
        <f>J21*'OW Variables'!$S$5</f>
        <v>127</v>
      </c>
      <c r="H21" s="26" t="s">
        <v>73</v>
      </c>
      <c r="J21" s="71">
        <f>Wrinkle!E14</f>
        <v>5</v>
      </c>
      <c r="K21" s="12" t="s">
        <v>32</v>
      </c>
      <c r="M21" s="1152" t="s">
        <v>114</v>
      </c>
      <c r="N21" s="1150" t="s">
        <v>676</v>
      </c>
      <c r="O21" s="1150"/>
      <c r="P21" s="1150"/>
      <c r="Q21" s="1151"/>
    </row>
    <row r="22" spans="2:17" ht="27" customHeight="1">
      <c r="B22" s="1110" t="s">
        <v>681</v>
      </c>
      <c r="C22" s="1111"/>
      <c r="D22" s="25"/>
      <c r="E22" s="1"/>
      <c r="F22" s="25"/>
      <c r="G22" s="71">
        <f>J22*PI()/180</f>
        <v>2.0943951023931953</v>
      </c>
      <c r="H22" s="26" t="s">
        <v>698</v>
      </c>
      <c r="J22" s="241">
        <f>Wrinkle!$E$15</f>
        <v>120</v>
      </c>
      <c r="K22" s="12" t="s">
        <v>682</v>
      </c>
      <c r="M22" s="1152"/>
      <c r="N22" s="1150"/>
      <c r="O22" s="1150"/>
      <c r="P22" s="1150"/>
      <c r="Q22" s="1151"/>
    </row>
    <row r="23" spans="2:17" ht="27" customHeight="1">
      <c r="B23" s="1110" t="s">
        <v>699</v>
      </c>
      <c r="C23" s="1111"/>
      <c r="D23" s="25"/>
      <c r="E23" s="1"/>
      <c r="F23" s="25"/>
      <c r="G23" s="74"/>
      <c r="H23" s="26"/>
      <c r="J23" s="242">
        <f>J21/J20</f>
        <v>10</v>
      </c>
      <c r="K23" s="12"/>
      <c r="M23" s="1152"/>
      <c r="N23" s="1150"/>
      <c r="O23" s="1150"/>
      <c r="P23" s="1150"/>
      <c r="Q23" s="1151"/>
    </row>
    <row r="24" spans="2:17" ht="27" customHeight="1" thickBot="1">
      <c r="B24" s="1110" t="s">
        <v>700</v>
      </c>
      <c r="C24" s="1111"/>
      <c r="D24" s="25"/>
      <c r="E24" s="1"/>
      <c r="F24" s="25"/>
      <c r="G24" s="74"/>
      <c r="H24" s="26"/>
      <c r="I24" s="127" t="s">
        <v>676</v>
      </c>
      <c r="J24" s="242">
        <v>20</v>
      </c>
      <c r="K24" s="12"/>
      <c r="M24" s="112" t="s">
        <v>117</v>
      </c>
      <c r="N24" s="1117" t="s">
        <v>675</v>
      </c>
      <c r="O24" s="1117"/>
      <c r="P24" s="1117"/>
      <c r="Q24" s="1118"/>
    </row>
    <row r="25" spans="2:17" ht="27" customHeight="1" thickBot="1">
      <c r="B25" s="1110" t="s">
        <v>701</v>
      </c>
      <c r="C25" s="1111"/>
      <c r="D25" s="25"/>
      <c r="E25" s="1"/>
      <c r="F25" s="25"/>
      <c r="G25" s="74"/>
      <c r="H25" s="26"/>
      <c r="J25" s="243">
        <f>J24*J20</f>
        <v>10</v>
      </c>
      <c r="K25" s="12" t="s">
        <v>32</v>
      </c>
    </row>
    <row r="26" spans="2:17" ht="27" customHeight="1">
      <c r="B26" s="1119" t="s">
        <v>63</v>
      </c>
      <c r="C26" s="1120"/>
      <c r="D26" s="32"/>
      <c r="E26" s="79"/>
      <c r="F26" s="32"/>
      <c r="G26" s="32"/>
      <c r="H26" s="32"/>
      <c r="I26" s="32"/>
      <c r="J26" s="259">
        <f>Wrinkle!E17</f>
        <v>0</v>
      </c>
      <c r="K26" s="107"/>
      <c r="M26" s="1136" t="s">
        <v>118</v>
      </c>
      <c r="N26" s="1137"/>
      <c r="O26" s="1137"/>
      <c r="P26" s="1137"/>
      <c r="Q26" s="1138"/>
    </row>
    <row r="27" spans="2:17" ht="27" customHeight="1">
      <c r="B27" s="1110" t="s">
        <v>119</v>
      </c>
      <c r="C27" s="1111"/>
      <c r="D27" s="25"/>
      <c r="E27" s="1"/>
      <c r="F27" s="25"/>
      <c r="G27" s="25"/>
      <c r="H27" s="25"/>
      <c r="I27" s="25"/>
      <c r="J27" s="1" t="e">
        <f>VLOOKUP($J$26,'OW Variables'!$T$4:$AB$5,2,FALSE)</f>
        <v>#N/A</v>
      </c>
      <c r="K27" s="12" t="s">
        <v>45</v>
      </c>
      <c r="M27" s="155" t="s">
        <v>120</v>
      </c>
      <c r="N27" s="1141" t="s">
        <v>121</v>
      </c>
      <c r="O27" s="1141"/>
      <c r="P27" s="1141"/>
      <c r="Q27" s="1142"/>
    </row>
    <row r="28" spans="2:17" ht="27" customHeight="1">
      <c r="B28" s="1110" t="s">
        <v>702</v>
      </c>
      <c r="C28" s="1111"/>
      <c r="D28" s="25"/>
      <c r="E28" s="1"/>
      <c r="F28" s="25"/>
      <c r="G28" s="25"/>
      <c r="H28" s="25"/>
      <c r="I28" s="25"/>
      <c r="J28" s="1" t="e">
        <f>VLOOKUP($J$26,'OW Variables'!$T$4:$AB$5,3,FALSE)</f>
        <v>#N/A</v>
      </c>
      <c r="K28" s="12" t="s">
        <v>45</v>
      </c>
      <c r="M28" s="152" t="s">
        <v>123</v>
      </c>
      <c r="N28" s="1143" t="s">
        <v>676</v>
      </c>
      <c r="O28" s="1143"/>
      <c r="P28" s="1143"/>
      <c r="Q28" s="1144"/>
    </row>
    <row r="29" spans="2:17" ht="27" customHeight="1">
      <c r="B29" s="1110" t="s">
        <v>122</v>
      </c>
      <c r="C29" s="1111"/>
      <c r="D29" s="25"/>
      <c r="E29" s="1"/>
      <c r="F29" s="25"/>
      <c r="G29" s="25"/>
      <c r="H29" s="25"/>
      <c r="I29" s="25"/>
      <c r="J29" s="1" t="e">
        <f>VLOOKUP($J$26,'OW Variables'!$T$4:$AB$5,4,FALSE)</f>
        <v>#N/A</v>
      </c>
      <c r="K29" s="12" t="s">
        <v>49</v>
      </c>
      <c r="M29" s="64" t="s">
        <v>51</v>
      </c>
      <c r="N29" s="1139" t="s">
        <v>676</v>
      </c>
      <c r="O29" s="1139"/>
      <c r="P29" s="1139"/>
      <c r="Q29" s="1140"/>
    </row>
    <row r="30" spans="2:17" ht="27" customHeight="1">
      <c r="B30" s="1110" t="s">
        <v>65</v>
      </c>
      <c r="C30" s="1111"/>
      <c r="D30" s="25"/>
      <c r="E30" s="1"/>
      <c r="F30" s="25"/>
      <c r="G30" s="25"/>
      <c r="H30" s="25"/>
      <c r="I30" s="25"/>
      <c r="J30" s="1" t="e">
        <f>VLOOKUP($J$26,'OW Variables'!$T$4:$AB$5,5,FALSE)</f>
        <v>#N/A</v>
      </c>
      <c r="K30" s="12" t="s">
        <v>45</v>
      </c>
      <c r="M30" s="153" t="s">
        <v>70</v>
      </c>
      <c r="N30" s="1132" t="s">
        <v>676</v>
      </c>
      <c r="O30" s="1132"/>
      <c r="P30" s="1132"/>
      <c r="Q30" s="1133"/>
    </row>
    <row r="31" spans="2:17" ht="27" customHeight="1">
      <c r="B31" s="1110" t="s">
        <v>124</v>
      </c>
      <c r="C31" s="1111"/>
      <c r="D31" s="25"/>
      <c r="E31" s="1"/>
      <c r="F31" s="25"/>
      <c r="G31" s="25"/>
      <c r="H31" s="25"/>
      <c r="I31" s="25"/>
      <c r="J31" s="1" t="e">
        <f>VLOOKUP($J$26,'OW Variables'!$T$4:$AB$5,6,FALSE)</f>
        <v>#N/A</v>
      </c>
      <c r="K31" s="12" t="s">
        <v>32</v>
      </c>
      <c r="M31" s="65"/>
      <c r="N31" s="1134" t="s">
        <v>126</v>
      </c>
      <c r="O31" s="1134"/>
      <c r="P31" s="1134"/>
      <c r="Q31" s="1135"/>
    </row>
    <row r="32" spans="2:17" ht="27" customHeight="1">
      <c r="B32" s="1110" t="s">
        <v>125</v>
      </c>
      <c r="C32" s="1111"/>
      <c r="D32" s="25"/>
      <c r="E32" s="1"/>
      <c r="F32" s="25"/>
      <c r="G32" s="25"/>
      <c r="H32" s="25"/>
      <c r="I32" s="25"/>
      <c r="J32" s="1" t="e">
        <f>VLOOKUP($J$26,'OW Variables'!$T$4:$AB$5,9,FALSE)</f>
        <v>#N/A</v>
      </c>
      <c r="K32" s="12" t="s">
        <v>32</v>
      </c>
      <c r="M32" s="152" t="s">
        <v>129</v>
      </c>
      <c r="N32" s="166" t="e">
        <f>_xlfn.TEXTJOIN(";",TRUE,I10:I38,I55:I86)</f>
        <v>#N/A</v>
      </c>
      <c r="O32" s="164"/>
      <c r="P32" s="164"/>
      <c r="Q32" s="165"/>
    </row>
    <row r="33" spans="2:17" ht="27" customHeight="1">
      <c r="B33" s="1110" t="s">
        <v>127</v>
      </c>
      <c r="C33" s="1111"/>
      <c r="D33" s="25"/>
      <c r="E33" s="1"/>
      <c r="F33" s="25"/>
      <c r="G33" s="25"/>
      <c r="H33" s="25"/>
      <c r="I33" s="25"/>
      <c r="J33" s="1" t="e">
        <f>VLOOKUP($J$26,'OW Variables'!$T$4:$AB$5,7,FALSE)/2</f>
        <v>#N/A</v>
      </c>
      <c r="K33" s="12" t="s">
        <v>703</v>
      </c>
      <c r="M33" s="168" t="s">
        <v>131</v>
      </c>
      <c r="N33" s="167" t="s">
        <v>120</v>
      </c>
      <c r="O33" s="157"/>
      <c r="P33" s="157" t="s">
        <v>132</v>
      </c>
      <c r="Q33" s="158" t="s">
        <v>133</v>
      </c>
    </row>
    <row r="34" spans="2:17" ht="27" customHeight="1">
      <c r="B34" s="1110" t="s">
        <v>130</v>
      </c>
      <c r="C34" s="1111"/>
      <c r="D34" s="25"/>
      <c r="E34" s="1"/>
      <c r="F34" s="25"/>
      <c r="G34" s="25"/>
      <c r="H34" s="25"/>
      <c r="I34" s="25"/>
      <c r="J34" s="1" t="e">
        <f>VLOOKUP($J$65,'OW Variables'!$M$4:$N$6,2,FALSE)</f>
        <v>#N/A</v>
      </c>
      <c r="K34" s="12" t="s">
        <v>49</v>
      </c>
      <c r="M34" s="169" t="str">
        <f t="shared" ref="M34:M41" si="0">IF(ISNUMBER(SEARCH($P34,$N$32)),"Y","")</f>
        <v/>
      </c>
      <c r="N34" s="73" t="s">
        <v>123</v>
      </c>
      <c r="O34" s="170"/>
      <c r="P34" s="110">
        <v>1</v>
      </c>
      <c r="Q34" s="171">
        <v>1</v>
      </c>
    </row>
    <row r="35" spans="2:17" ht="27" customHeight="1">
      <c r="B35" s="1110" t="s">
        <v>67</v>
      </c>
      <c r="C35" s="1111"/>
      <c r="D35" s="25"/>
      <c r="E35" s="1"/>
      <c r="G35" s="25"/>
      <c r="H35" s="25"/>
      <c r="I35" s="25"/>
      <c r="J35" s="37" t="str">
        <f>Wrinkle!E19</f>
        <v>E-Glass</v>
      </c>
      <c r="K35" s="12"/>
      <c r="M35" s="169" t="str">
        <f t="shared" si="0"/>
        <v/>
      </c>
      <c r="N35" s="73" t="s">
        <v>70</v>
      </c>
      <c r="O35" s="170"/>
      <c r="P35" s="110">
        <v>2</v>
      </c>
      <c r="Q35" s="171">
        <v>2</v>
      </c>
    </row>
    <row r="36" spans="2:17" ht="27" customHeight="1">
      <c r="B36" s="1110" t="s">
        <v>134</v>
      </c>
      <c r="C36" s="1111"/>
      <c r="D36" s="25"/>
      <c r="E36" s="1"/>
      <c r="F36" s="25"/>
      <c r="G36" s="25"/>
      <c r="H36" s="25"/>
      <c r="I36" s="25"/>
      <c r="J36" s="108" t="e">
        <f>"Factor applicable if using "&amp;VLOOKUP(J35,'OW Variables'!O3:P5,2)</f>
        <v>#N/A</v>
      </c>
      <c r="K36" s="12"/>
      <c r="M36" s="169" t="str">
        <f t="shared" si="0"/>
        <v/>
      </c>
      <c r="N36" s="73" t="s">
        <v>51</v>
      </c>
      <c r="O36" s="170"/>
      <c r="P36" s="110">
        <v>3</v>
      </c>
      <c r="Q36" s="171">
        <v>5</v>
      </c>
    </row>
    <row r="37" spans="2:17" ht="27" customHeight="1">
      <c r="B37" s="1110" t="s">
        <v>685</v>
      </c>
      <c r="C37" s="1111"/>
      <c r="D37" s="25"/>
      <c r="E37" s="1"/>
      <c r="F37" s="25"/>
      <c r="G37" s="25"/>
      <c r="H37" s="25"/>
      <c r="I37" s="25"/>
      <c r="J37" s="37">
        <f>Wrinkle!H17</f>
        <v>0</v>
      </c>
      <c r="K37" s="12"/>
      <c r="M37" s="169" t="str">
        <f t="shared" si="0"/>
        <v/>
      </c>
      <c r="N37" s="73" t="s">
        <v>123</v>
      </c>
      <c r="O37" s="170"/>
      <c r="P37" s="110">
        <v>4</v>
      </c>
      <c r="Q37" s="171">
        <v>6</v>
      </c>
    </row>
    <row r="38" spans="2:17" ht="27" customHeight="1" thickBot="1">
      <c r="B38" s="1108" t="s">
        <v>135</v>
      </c>
      <c r="C38" s="1109"/>
      <c r="D38" s="29"/>
      <c r="E38" s="63"/>
      <c r="F38" s="29"/>
      <c r="G38" s="29"/>
      <c r="H38" s="46"/>
      <c r="I38" s="244" t="s">
        <v>676</v>
      </c>
      <c r="J38" s="159">
        <f>Wrinkle!E31</f>
        <v>23.225750000000001</v>
      </c>
      <c r="K38" s="161"/>
      <c r="M38" s="169" t="str">
        <f t="shared" si="0"/>
        <v/>
      </c>
      <c r="N38" s="73" t="s">
        <v>123</v>
      </c>
      <c r="O38" s="170"/>
      <c r="P38" s="110">
        <v>5</v>
      </c>
      <c r="Q38" s="171">
        <v>3</v>
      </c>
    </row>
    <row r="39" spans="2:17" ht="16.5" customHeight="1" thickBot="1">
      <c r="B39" s="1129" t="s">
        <v>704</v>
      </c>
      <c r="C39" s="1130"/>
      <c r="D39" s="1130"/>
      <c r="E39" s="1130"/>
      <c r="F39" s="1130"/>
      <c r="G39" s="1130"/>
      <c r="H39" s="1130"/>
      <c r="I39" s="1130"/>
      <c r="J39" s="1130"/>
      <c r="K39" s="1131"/>
      <c r="M39" s="169" t="str">
        <f t="shared" si="0"/>
        <v/>
      </c>
      <c r="N39" s="73" t="s">
        <v>123</v>
      </c>
      <c r="O39" s="170"/>
      <c r="P39" s="110">
        <v>6</v>
      </c>
      <c r="Q39" s="171">
        <v>7</v>
      </c>
    </row>
    <row r="40" spans="2:17" ht="27" customHeight="1">
      <c r="B40" s="1164" t="s">
        <v>687</v>
      </c>
      <c r="C40" s="1165"/>
      <c r="D40" s="41"/>
      <c r="E40" s="42"/>
      <c r="F40" s="1173" t="s">
        <v>137</v>
      </c>
      <c r="G40" s="1173"/>
      <c r="H40" s="1173"/>
      <c r="I40" s="1173"/>
      <c r="J40" s="90" t="e">
        <f ca="1">IF(ISNUMBER(I20),"-",J67)</f>
        <v>#NAME?</v>
      </c>
      <c r="K40" s="44"/>
      <c r="M40" s="169" t="str">
        <f t="shared" si="0"/>
        <v/>
      </c>
      <c r="N40" s="73" t="s">
        <v>70</v>
      </c>
      <c r="O40" s="170"/>
      <c r="P40" s="110">
        <v>7</v>
      </c>
      <c r="Q40" s="171">
        <v>4</v>
      </c>
    </row>
    <row r="41" spans="2:17" ht="27" customHeight="1" thickBot="1">
      <c r="B41" s="1110"/>
      <c r="C41" s="1111"/>
      <c r="D41" s="25"/>
      <c r="E41" s="1111" t="s">
        <v>688</v>
      </c>
      <c r="F41" s="1111"/>
      <c r="G41" s="52" t="e">
        <f ca="1">J61</f>
        <v>#NAME?</v>
      </c>
      <c r="H41" s="1350" t="s">
        <v>689</v>
      </c>
      <c r="I41" s="1350"/>
      <c r="J41" s="52">
        <f>J62</f>
        <v>0</v>
      </c>
      <c r="K41" s="12"/>
      <c r="M41" s="172" t="str">
        <f t="shared" si="0"/>
        <v/>
      </c>
      <c r="N41" s="173" t="s">
        <v>51</v>
      </c>
      <c r="O41" s="46"/>
      <c r="P41" s="156">
        <v>8</v>
      </c>
      <c r="Q41" s="175">
        <v>8</v>
      </c>
    </row>
    <row r="42" spans="2:17" ht="27" customHeight="1">
      <c r="B42" s="1110" t="s">
        <v>72</v>
      </c>
      <c r="C42" s="1111"/>
      <c r="D42" s="25"/>
      <c r="E42" s="1"/>
      <c r="G42" s="25"/>
      <c r="H42" s="51" t="str">
        <f ca="1">IFERROR(J42*VLOOKUP(I42,'OW Variables'!$R$4:$S$13,2,FALSE),"-")</f>
        <v>-</v>
      </c>
      <c r="I42" s="1" t="s">
        <v>73</v>
      </c>
      <c r="J42" s="233" t="e">
        <f ca="1">IF(ISNUMBER(I20),"-",J69)</f>
        <v>#NAME?</v>
      </c>
      <c r="K42" s="12" t="s">
        <v>32</v>
      </c>
    </row>
    <row r="43" spans="2:17" ht="27" customHeight="1">
      <c r="B43" s="1110" t="s">
        <v>74</v>
      </c>
      <c r="C43" s="1111"/>
      <c r="D43" s="25"/>
      <c r="E43" s="1"/>
      <c r="F43" s="25"/>
      <c r="G43" s="25"/>
      <c r="H43" s="51" t="str">
        <f>IFERROR(J43*VLOOKUP(I43,'OW Variables'!$R$4:$S$13,2,FALSE),"-")</f>
        <v>-</v>
      </c>
      <c r="I43" s="1" t="s">
        <v>76</v>
      </c>
      <c r="J43" s="52" t="e">
        <f>IF(ISNUMBER(I20),"-",J79)</f>
        <v>#N/A</v>
      </c>
      <c r="K43" s="12" t="s">
        <v>75</v>
      </c>
    </row>
    <row r="44" spans="2:17" ht="27" customHeight="1">
      <c r="B44" s="1110" t="s">
        <v>77</v>
      </c>
      <c r="C44" s="1111"/>
      <c r="D44" s="25"/>
      <c r="E44" s="1"/>
      <c r="F44" s="25"/>
      <c r="G44" s="25"/>
      <c r="H44" s="51">
        <f>IFERROR(J44*VLOOKUP(I44,'OW Variables'!$R$4:$S$13,2,FALSE),"-")</f>
        <v>609.59999999999991</v>
      </c>
      <c r="I44" s="1" t="s">
        <v>73</v>
      </c>
      <c r="J44" s="52">
        <f>IF(ISNUMBER(I20),"-",J64)</f>
        <v>24</v>
      </c>
      <c r="K44" s="12" t="s">
        <v>32</v>
      </c>
    </row>
    <row r="45" spans="2:17" ht="27" customHeight="1">
      <c r="B45" s="1110" t="s">
        <v>78</v>
      </c>
      <c r="C45" s="1111"/>
      <c r="D45" s="25"/>
      <c r="E45" s="1"/>
      <c r="F45" s="25"/>
      <c r="G45" s="25"/>
      <c r="H45" s="51" t="str">
        <f>IFERROR(J45*VLOOKUP(I45,'OW Variables'!$R$4:$S$13,2,FALSE),"-")</f>
        <v>-</v>
      </c>
      <c r="I45" s="1" t="s">
        <v>139</v>
      </c>
      <c r="J45" s="233" t="e">
        <f>IF(ISNUMBER(I20),"-",J80)</f>
        <v>#N/A</v>
      </c>
      <c r="K45" s="12" t="s">
        <v>140</v>
      </c>
    </row>
    <row r="46" spans="2:17" ht="27" customHeight="1">
      <c r="B46" s="1110" t="s">
        <v>81</v>
      </c>
      <c r="C46" s="1111"/>
      <c r="D46" s="25"/>
      <c r="E46" s="1"/>
      <c r="F46" s="25"/>
      <c r="G46" s="25"/>
      <c r="H46" s="51" t="str">
        <f>IFERROR(J84*VLOOKUP(I46,'OW Variables'!$R$4:$S$13,2,FALSE),"-")</f>
        <v>-</v>
      </c>
      <c r="I46" s="1" t="s">
        <v>84</v>
      </c>
      <c r="J46" s="245" t="e">
        <f>IF(ISNUMBER(I20),"-",ROUNDUP(J85,1))</f>
        <v>#N/A</v>
      </c>
      <c r="K46" s="12" t="str">
        <f>IFERROR(K85,"-")</f>
        <v>-</v>
      </c>
    </row>
    <row r="47" spans="2:17" ht="27" customHeight="1">
      <c r="B47" s="1110" t="s">
        <v>83</v>
      </c>
      <c r="C47" s="1111"/>
      <c r="D47" s="25"/>
      <c r="E47" s="1"/>
      <c r="F47" s="25"/>
      <c r="G47" s="25"/>
      <c r="H47" s="51" t="str">
        <f>IFERROR(J82*VLOOKUP(I47,'OW Variables'!$R$4:$S$13,2,FALSE),"-")</f>
        <v>-</v>
      </c>
      <c r="I47" s="1" t="s">
        <v>84</v>
      </c>
      <c r="J47" s="245" t="e">
        <f>IF(ISNUMBER(I20),"-",ROUNDUP(J83,1))</f>
        <v>#N/A</v>
      </c>
      <c r="K47" s="12" t="str">
        <f>IFERROR(K83,"-")</f>
        <v>-</v>
      </c>
    </row>
    <row r="48" spans="2:17" ht="27" customHeight="1">
      <c r="B48" s="1110" t="s">
        <v>85</v>
      </c>
      <c r="C48" s="1111"/>
      <c r="D48" s="25"/>
      <c r="E48" s="1"/>
      <c r="F48" s="25"/>
      <c r="G48" s="25"/>
      <c r="H48" s="51">
        <f>IFERROR(J48*VLOOKUP(I48,'OW Variables'!$R$4:$S$13,2,FALSE),"-")</f>
        <v>16.371889599999999</v>
      </c>
      <c r="I48" s="1" t="s">
        <v>84</v>
      </c>
      <c r="J48" s="245">
        <f>IF(ISNUMBER(I20),"-",ROUNDUP(J86,1))</f>
        <v>34.6</v>
      </c>
      <c r="K48" s="12" t="s">
        <v>86</v>
      </c>
    </row>
    <row r="49" spans="2:17" ht="27" customHeight="1" thickBot="1">
      <c r="B49" s="1108" t="s">
        <v>88</v>
      </c>
      <c r="C49" s="1109"/>
      <c r="D49" s="29"/>
      <c r="E49" s="63"/>
      <c r="F49" s="29"/>
      <c r="G49" s="29"/>
      <c r="H49" s="46"/>
      <c r="I49" s="160"/>
      <c r="J49" s="154">
        <f>IF(ISNUMBER(I20),"-",J65)</f>
        <v>23.225750000000001</v>
      </c>
      <c r="K49" s="161"/>
    </row>
    <row r="50" spans="2:17" ht="16.5" thickBot="1">
      <c r="B50" s="1345" t="s">
        <v>143</v>
      </c>
      <c r="C50" s="1346"/>
      <c r="D50" s="1346"/>
      <c r="E50" s="1346"/>
      <c r="F50" s="1346"/>
      <c r="G50" s="1346"/>
      <c r="H50" s="1346"/>
      <c r="I50" s="1346"/>
      <c r="J50" s="1346"/>
      <c r="K50" s="1347"/>
    </row>
    <row r="51" spans="2:17" ht="26.25" thickBot="1">
      <c r="B51" s="53"/>
      <c r="C51" s="54"/>
      <c r="D51" s="55" t="s">
        <v>144</v>
      </c>
      <c r="E51" s="1125" t="s">
        <v>145</v>
      </c>
      <c r="F51" s="1125"/>
      <c r="G51" s="1125"/>
      <c r="H51" s="1125"/>
      <c r="I51" s="56" t="s">
        <v>100</v>
      </c>
      <c r="J51" s="56" t="s">
        <v>101</v>
      </c>
      <c r="K51" s="57" t="s">
        <v>102</v>
      </c>
      <c r="M51" s="214" t="s">
        <v>117</v>
      </c>
      <c r="N51" s="1121" t="str">
        <f>N24</f>
        <v>--</v>
      </c>
      <c r="O51" s="1121"/>
      <c r="P51" s="1121"/>
      <c r="Q51" s="1122"/>
    </row>
    <row r="52" spans="2:17" ht="60" customHeight="1">
      <c r="B52" s="1348" t="s">
        <v>705</v>
      </c>
      <c r="C52" s="1349"/>
      <c r="D52" s="246"/>
      <c r="E52" s="247"/>
      <c r="F52" s="247"/>
      <c r="G52" s="247"/>
      <c r="H52" s="247"/>
      <c r="I52" s="247"/>
      <c r="J52" s="248">
        <f>'OW Variables'!AH4</f>
        <v>15</v>
      </c>
      <c r="K52" s="249" t="s">
        <v>697</v>
      </c>
    </row>
    <row r="53" spans="2:17" ht="60" customHeight="1">
      <c r="B53" s="1110" t="s">
        <v>706</v>
      </c>
      <c r="C53" s="1111"/>
      <c r="D53" s="250"/>
      <c r="E53" s="27"/>
      <c r="F53" s="251" t="s">
        <v>707</v>
      </c>
      <c r="G53" s="27"/>
      <c r="H53" s="27"/>
      <c r="I53" s="27"/>
      <c r="J53" s="62">
        <v>2</v>
      </c>
      <c r="K53" s="252" t="s">
        <v>444</v>
      </c>
    </row>
    <row r="54" spans="2:17" ht="60" customHeight="1">
      <c r="B54" s="1110" t="s">
        <v>708</v>
      </c>
      <c r="C54" s="1111"/>
      <c r="D54" s="250"/>
      <c r="E54" s="27"/>
      <c r="F54" s="251" t="s">
        <v>709</v>
      </c>
      <c r="G54" s="27"/>
      <c r="H54" s="27"/>
      <c r="I54" s="27"/>
      <c r="J54" s="62">
        <v>1</v>
      </c>
      <c r="K54" s="252" t="s">
        <v>444</v>
      </c>
    </row>
    <row r="55" spans="2:17" ht="60" customHeight="1">
      <c r="B55" s="1110" t="s">
        <v>710</v>
      </c>
      <c r="C55" s="1111"/>
      <c r="D55" s="250"/>
      <c r="E55" s="27"/>
      <c r="F55" s="27"/>
      <c r="G55" s="27"/>
      <c r="H55" s="27"/>
      <c r="I55" s="27"/>
      <c r="J55" s="253">
        <f>J18*J11</f>
        <v>11250000</v>
      </c>
      <c r="K55" s="12" t="s">
        <v>711</v>
      </c>
    </row>
    <row r="56" spans="2:17" ht="60" customHeight="1">
      <c r="B56" s="1110" t="s">
        <v>712</v>
      </c>
      <c r="C56" s="1111"/>
      <c r="D56" s="250"/>
      <c r="E56" s="27"/>
      <c r="F56" s="27"/>
      <c r="G56" s="27"/>
      <c r="H56" s="27"/>
      <c r="I56" s="27"/>
      <c r="J56" s="253" t="e">
        <f>(J53*J28*J31)+(J54*J27*J31)</f>
        <v>#N/A</v>
      </c>
      <c r="K56" s="12" t="s">
        <v>711</v>
      </c>
    </row>
    <row r="57" spans="2:17" ht="60" customHeight="1">
      <c r="B57" s="1110" t="s">
        <v>713</v>
      </c>
      <c r="C57" s="1111"/>
      <c r="D57" s="250"/>
      <c r="E57" s="27"/>
      <c r="F57" s="27"/>
      <c r="G57" s="27"/>
      <c r="H57" s="27"/>
      <c r="I57" s="27"/>
      <c r="J57" s="253">
        <f>1/(PI()*(J10/2)^2*J11)</f>
        <v>2.6198344541875774E-3</v>
      </c>
      <c r="K57" s="12" t="s">
        <v>714</v>
      </c>
    </row>
    <row r="58" spans="2:17" ht="60" customHeight="1">
      <c r="B58" s="1110" t="s">
        <v>715</v>
      </c>
      <c r="C58" s="1111"/>
      <c r="D58" s="250"/>
      <c r="E58" s="27"/>
      <c r="F58" s="27"/>
      <c r="G58" s="27"/>
      <c r="H58" s="27"/>
      <c r="I58" s="27"/>
      <c r="J58" s="253" t="e">
        <f>(1/(PI()*(J10/2)^2))*(J18/(J55+J56))</f>
        <v>#N/A</v>
      </c>
      <c r="K58" s="12" t="s">
        <v>714</v>
      </c>
    </row>
    <row r="59" spans="2:17" ht="60" customHeight="1">
      <c r="B59" s="1110" t="s">
        <v>716</v>
      </c>
      <c r="C59" s="1111"/>
      <c r="D59" s="250"/>
      <c r="E59" s="27"/>
      <c r="F59" s="27"/>
      <c r="G59" s="27"/>
      <c r="H59" s="27"/>
      <c r="I59" s="27"/>
      <c r="J59" s="254" t="e">
        <f>1-J58/J57</f>
        <v>#N/A</v>
      </c>
      <c r="K59" s="12"/>
    </row>
    <row r="60" spans="2:17" ht="60" customHeight="1">
      <c r="B60" s="1110"/>
      <c r="C60" s="1111"/>
      <c r="D60" s="250"/>
      <c r="E60" s="27"/>
      <c r="F60" s="27"/>
      <c r="G60" s="27"/>
      <c r="H60" s="27"/>
      <c r="I60" s="27"/>
      <c r="J60" s="254"/>
      <c r="K60" s="12"/>
    </row>
    <row r="61" spans="2:17" ht="60" customHeight="1">
      <c r="B61" s="1110" t="s">
        <v>717</v>
      </c>
      <c r="C61" s="1111"/>
      <c r="D61" s="250"/>
      <c r="E61" s="27"/>
      <c r="F61" s="27"/>
      <c r="G61" s="27"/>
      <c r="H61" s="27"/>
      <c r="I61" s="27"/>
      <c r="J61" s="255" t="e" cm="1">
        <f t="array" aca="1" ref="J61" ca="1">TRANSPOSE(WrinkleLayerCount(J10,J11,J18,J28,J27,J31,J52))</f>
        <v>#NAME?</v>
      </c>
      <c r="K61" s="12" t="s">
        <v>444</v>
      </c>
    </row>
    <row r="62" spans="2:17" ht="60" customHeight="1">
      <c r="B62" s="1110" t="s">
        <v>718</v>
      </c>
      <c r="C62" s="1111"/>
      <c r="D62" s="250"/>
      <c r="E62" s="27"/>
      <c r="F62" s="27"/>
      <c r="G62" s="27"/>
      <c r="H62" s="27"/>
      <c r="I62" s="62"/>
      <c r="J62" s="181"/>
      <c r="K62" s="12" t="s">
        <v>444</v>
      </c>
    </row>
    <row r="63" spans="2:17" ht="60" customHeight="1">
      <c r="B63" s="1110" t="s">
        <v>147</v>
      </c>
      <c r="C63" s="1111"/>
      <c r="D63" s="26">
        <v>17</v>
      </c>
      <c r="E63" s="25"/>
      <c r="F63" s="25"/>
      <c r="G63" s="25"/>
      <c r="H63" s="25"/>
      <c r="I63" s="25"/>
      <c r="J63" s="48">
        <f>2.5*SQRT(J10*J11/2)</f>
        <v>6.49519052838329</v>
      </c>
      <c r="K63" s="12" t="s">
        <v>32</v>
      </c>
    </row>
    <row r="64" spans="2:17" ht="60" customHeight="1">
      <c r="B64" s="1110" t="s">
        <v>148</v>
      </c>
      <c r="C64" s="1111"/>
      <c r="D64" s="26">
        <v>19</v>
      </c>
      <c r="E64" s="25"/>
      <c r="F64" s="25"/>
      <c r="G64" s="25"/>
      <c r="H64" s="25"/>
      <c r="I64" s="25"/>
      <c r="J64" s="62">
        <f>CEILING(2*J63+J21,12)</f>
        <v>24</v>
      </c>
      <c r="K64" s="12" t="s">
        <v>32</v>
      </c>
    </row>
    <row r="65" spans="2:17" ht="60" customHeight="1" thickBot="1">
      <c r="B65" s="1108" t="s">
        <v>88</v>
      </c>
      <c r="C65" s="1109"/>
      <c r="D65" s="31"/>
      <c r="E65" s="29"/>
      <c r="F65" s="29"/>
      <c r="G65" s="29"/>
      <c r="H65" s="29"/>
      <c r="I65" s="29"/>
      <c r="J65" s="256">
        <f>IF((J64/12)='OW Variables'!$L$4,'OW Variables'!$M$4,J38)</f>
        <v>23.225750000000001</v>
      </c>
      <c r="K65" s="13"/>
    </row>
    <row r="66" spans="2:17" ht="16.5" thickBot="1">
      <c r="B66" s="1129" t="s">
        <v>719</v>
      </c>
      <c r="C66" s="1130"/>
      <c r="D66" s="1130"/>
      <c r="E66" s="1130"/>
      <c r="F66" s="1130"/>
      <c r="G66" s="1130"/>
      <c r="H66" s="1130"/>
      <c r="I66" s="1130"/>
      <c r="J66" s="1130"/>
      <c r="K66" s="1131"/>
    </row>
    <row r="67" spans="2:17" ht="60" customHeight="1" thickBot="1">
      <c r="B67" s="1164" t="s">
        <v>177</v>
      </c>
      <c r="C67" s="1165"/>
      <c r="D67" s="69"/>
      <c r="E67" s="41"/>
      <c r="F67" s="41"/>
      <c r="G67" s="41"/>
      <c r="H67" s="41"/>
      <c r="I67" s="257"/>
      <c r="J67" s="114" t="e">
        <f ca="1">J61+J62</f>
        <v>#NAME?</v>
      </c>
      <c r="K67" s="105" t="s">
        <v>151</v>
      </c>
      <c r="M67" s="214" t="s">
        <v>117</v>
      </c>
      <c r="N67" s="1121" t="str">
        <f>N24</f>
        <v>--</v>
      </c>
      <c r="O67" s="1121"/>
      <c r="P67" s="1121"/>
      <c r="Q67" s="1122"/>
    </row>
    <row r="68" spans="2:17" ht="60" customHeight="1">
      <c r="B68" s="1110" t="s">
        <v>152</v>
      </c>
      <c r="C68" s="1111"/>
      <c r="D68" s="26"/>
      <c r="E68" s="25"/>
      <c r="F68" s="25"/>
      <c r="G68" s="25"/>
      <c r="H68" s="25"/>
      <c r="I68" s="127"/>
      <c r="J68" s="62" t="e">
        <f>(1/(1-J34/100))*(J64/J32-1)+1</f>
        <v>#N/A</v>
      </c>
      <c r="K68" s="30" t="s">
        <v>153</v>
      </c>
    </row>
    <row r="69" spans="2:17" ht="60" customHeight="1">
      <c r="B69" s="1110" t="s">
        <v>154</v>
      </c>
      <c r="C69" s="1111"/>
      <c r="D69" s="26"/>
      <c r="E69" s="25"/>
      <c r="F69" s="25"/>
      <c r="G69" s="25"/>
      <c r="H69" s="25"/>
      <c r="I69" s="127"/>
      <c r="J69" s="48" t="e">
        <f ca="1">_xlfn.CEILING.MATH(J67*J31,J31)</f>
        <v>#NAME?</v>
      </c>
      <c r="K69" s="30" t="s">
        <v>32</v>
      </c>
    </row>
    <row r="70" spans="2:17" ht="16.5" customHeight="1">
      <c r="B70" s="1114" t="s">
        <v>155</v>
      </c>
      <c r="C70" s="1115"/>
      <c r="D70" s="1115"/>
      <c r="E70" s="1115"/>
      <c r="F70" s="1115"/>
      <c r="G70" s="1115"/>
      <c r="H70" s="1115"/>
      <c r="I70" s="1115"/>
      <c r="J70" s="1115"/>
      <c r="K70" s="1116"/>
    </row>
    <row r="71" spans="2:17" ht="60" customHeight="1">
      <c r="B71" s="1110" t="s">
        <v>156</v>
      </c>
      <c r="C71" s="1111"/>
      <c r="D71" s="26"/>
      <c r="E71" s="25"/>
      <c r="F71" s="25"/>
      <c r="G71" s="25"/>
      <c r="H71" s="226"/>
      <c r="I71" s="25"/>
      <c r="J71" s="48" t="e" cm="1">
        <f t="array" aca="1" ref="J71" ca="1">RepairWrapLength(J10,J31,J67)</f>
        <v>#NAME?</v>
      </c>
      <c r="K71" s="12" t="s">
        <v>75</v>
      </c>
    </row>
    <row r="72" spans="2:17" ht="60" customHeight="1">
      <c r="B72" s="1123" t="s">
        <v>157</v>
      </c>
      <c r="C72" s="1124"/>
      <c r="D72" s="35"/>
      <c r="E72" s="33"/>
      <c r="F72" s="33"/>
      <c r="G72" s="33"/>
      <c r="H72" s="33"/>
      <c r="I72" s="33"/>
      <c r="J72" s="49" t="e">
        <f ca="1">J71*J68</f>
        <v>#NAME?</v>
      </c>
      <c r="K72" s="36" t="s">
        <v>75</v>
      </c>
    </row>
    <row r="73" spans="2:17" ht="16.5" customHeight="1">
      <c r="B73" s="1114" t="s">
        <v>158</v>
      </c>
      <c r="C73" s="1115"/>
      <c r="D73" s="1115"/>
      <c r="E73" s="1115"/>
      <c r="F73" s="1115"/>
      <c r="G73" s="1115"/>
      <c r="H73" s="1115"/>
      <c r="I73" s="1115"/>
      <c r="J73" s="1115"/>
      <c r="K73" s="1116"/>
    </row>
    <row r="74" spans="2:17" ht="60" customHeight="1">
      <c r="B74" s="1110" t="s">
        <v>159</v>
      </c>
      <c r="C74" s="1111"/>
      <c r="D74" s="26"/>
      <c r="E74" s="25"/>
      <c r="F74" s="25"/>
      <c r="G74" s="25"/>
      <c r="H74" s="25"/>
      <c r="I74" s="25"/>
      <c r="J74" s="48" t="str" cm="1">
        <f t="array" aca="1" ref="J74" ca="1">IFERROR(RepairWrapLengthSpiral(J10,J31,J67,J21,J32,J34,1),"-")</f>
        <v>-</v>
      </c>
      <c r="K74" s="12" t="s">
        <v>75</v>
      </c>
    </row>
    <row r="75" spans="2:17" ht="60" customHeight="1">
      <c r="B75" s="64"/>
      <c r="C75" s="110"/>
      <c r="D75" s="26"/>
      <c r="E75" s="25"/>
      <c r="F75" s="25"/>
      <c r="G75" s="25"/>
      <c r="H75" s="25"/>
      <c r="I75" s="25"/>
      <c r="K75" s="12"/>
    </row>
    <row r="76" spans="2:17" ht="16.5" customHeight="1">
      <c r="B76" s="1114" t="s">
        <v>160</v>
      </c>
      <c r="C76" s="1115"/>
      <c r="D76" s="1115"/>
      <c r="E76" s="1115"/>
      <c r="F76" s="1115"/>
      <c r="G76" s="1115"/>
      <c r="H76" s="1115"/>
      <c r="I76" s="1115"/>
      <c r="J76" s="1115"/>
      <c r="K76" s="1116"/>
    </row>
    <row r="77" spans="2:17" ht="60" customHeight="1">
      <c r="B77" s="1110" t="s">
        <v>161</v>
      </c>
      <c r="C77" s="1111"/>
      <c r="D77" s="26"/>
      <c r="E77" s="25"/>
      <c r="F77" s="25"/>
      <c r="G77" s="25"/>
      <c r="H77" s="25"/>
      <c r="I77" s="25"/>
      <c r="J77" s="48" t="e" cm="1">
        <f t="array" ref="J77">_xlfn.IFS(J65='OW Variables'!M4,J72,J65='OW Variables'!M5,J72,J65='OW Variables'!M6,J74)</f>
        <v>#N/A</v>
      </c>
      <c r="K77" s="12" t="s">
        <v>75</v>
      </c>
    </row>
    <row r="78" spans="2:17" ht="60" customHeight="1">
      <c r="B78" s="1110" t="s">
        <v>720</v>
      </c>
      <c r="C78" s="1111"/>
      <c r="D78" s="26"/>
      <c r="E78" s="25"/>
      <c r="F78" s="25"/>
      <c r="G78" s="25"/>
      <c r="H78" s="25"/>
      <c r="I78" s="25"/>
      <c r="J78" s="48" t="e">
        <f>_xlfn.CEILING.MATH(J77,VLOOKUP($J$26,'OW Variables'!$T$4:$AA$5,8,FALSE))</f>
        <v>#N/A</v>
      </c>
      <c r="K78" s="12" t="s">
        <v>75</v>
      </c>
    </row>
    <row r="79" spans="2:17" ht="60" customHeight="1">
      <c r="B79" s="1110" t="s">
        <v>162</v>
      </c>
      <c r="C79" s="1111"/>
      <c r="D79" s="26"/>
      <c r="E79" s="25"/>
      <c r="F79" s="25"/>
      <c r="G79" s="25"/>
      <c r="H79" s="25"/>
      <c r="I79" s="25"/>
      <c r="J79" s="48" t="e">
        <f>J78/J68</f>
        <v>#N/A</v>
      </c>
      <c r="K79" s="12" t="s">
        <v>75</v>
      </c>
    </row>
    <row r="80" spans="2:17" ht="60" customHeight="1">
      <c r="B80" s="1110" t="s">
        <v>163</v>
      </c>
      <c r="C80" s="1111"/>
      <c r="D80" s="26"/>
      <c r="E80" s="25"/>
      <c r="F80" s="25"/>
      <c r="G80" s="25"/>
      <c r="H80" s="25"/>
      <c r="I80" s="25"/>
      <c r="J80" s="48" t="e">
        <f>J78</f>
        <v>#N/A</v>
      </c>
      <c r="K80" s="12" t="s">
        <v>140</v>
      </c>
    </row>
    <row r="81" spans="2:11" ht="60" customHeight="1">
      <c r="B81" s="1110" t="s">
        <v>165</v>
      </c>
      <c r="C81" s="1111"/>
      <c r="D81" s="26"/>
      <c r="E81" s="25"/>
      <c r="F81" s="25"/>
      <c r="G81" s="25"/>
      <c r="H81" s="25"/>
      <c r="I81" s="25"/>
      <c r="J81" s="48" t="e">
        <f>J80/J33</f>
        <v>#N/A</v>
      </c>
      <c r="K81" s="12" t="s">
        <v>86</v>
      </c>
    </row>
    <row r="82" spans="2:11" ht="60" customHeight="1">
      <c r="B82" s="1110" t="s">
        <v>721</v>
      </c>
      <c r="C82" s="1111"/>
      <c r="D82" s="26"/>
      <c r="E82" s="25"/>
      <c r="F82" s="25"/>
      <c r="G82" s="25"/>
      <c r="H82" s="25"/>
      <c r="I82" s="25"/>
      <c r="J82" s="48" t="e">
        <f>(J80/J33)*1.1</f>
        <v>#N/A</v>
      </c>
      <c r="K82" s="12" t="s">
        <v>86</v>
      </c>
    </row>
    <row r="83" spans="2:11" ht="60" customHeight="1">
      <c r="B83" s="1110" t="s">
        <v>722</v>
      </c>
      <c r="C83" s="1111"/>
      <c r="D83" s="26"/>
      <c r="E83" s="25"/>
      <c r="F83" s="25"/>
      <c r="G83" s="25"/>
      <c r="H83" s="25"/>
      <c r="I83" s="25"/>
      <c r="J83" s="48" t="e" cm="1">
        <f t="array" ref="J83">_xlfn.IFS($J$26='OW Variables'!$T$4,J82/2,$J$26='OW Variables'!$T$5,J82)</f>
        <v>#N/A</v>
      </c>
      <c r="K83" s="12" t="e">
        <v>#N/A</v>
      </c>
    </row>
    <row r="84" spans="2:11" ht="60" customHeight="1">
      <c r="B84" s="1110" t="s">
        <v>164</v>
      </c>
      <c r="C84" s="1111"/>
      <c r="D84" s="26"/>
      <c r="E84" s="25"/>
      <c r="F84" s="25"/>
      <c r="G84" s="25"/>
      <c r="H84" s="25"/>
      <c r="I84" s="25"/>
      <c r="J84" s="48" t="e">
        <f>J82/J68</f>
        <v>#N/A</v>
      </c>
      <c r="K84" s="12" t="s">
        <v>723</v>
      </c>
    </row>
    <row r="85" spans="2:11" ht="60" customHeight="1">
      <c r="B85" s="1110" t="s">
        <v>724</v>
      </c>
      <c r="C85" s="1111"/>
      <c r="D85" s="26"/>
      <c r="E85" s="25"/>
      <c r="F85" s="25"/>
      <c r="G85" s="25"/>
      <c r="H85" s="25"/>
      <c r="I85" s="25"/>
      <c r="J85" s="48" t="e" cm="1">
        <f t="array" ref="J85">_xlfn.IFS($J$26='OW Variables'!$T$4,J84/2,$J$26='OW Variables'!$T$5,J84)</f>
        <v>#N/A</v>
      </c>
      <c r="K85" s="12" t="e">
        <v>#N/A</v>
      </c>
    </row>
    <row r="86" spans="2:11" ht="60" customHeight="1" thickBot="1">
      <c r="B86" s="1108" t="s">
        <v>170</v>
      </c>
      <c r="C86" s="1109"/>
      <c r="D86" s="31"/>
      <c r="E86" s="29"/>
      <c r="F86" s="29"/>
      <c r="G86" s="29"/>
      <c r="H86" s="29"/>
      <c r="I86" s="29"/>
      <c r="J86" s="50">
        <f>(1/6)*J20*(J25-J21)*J10*G22*1.1</f>
        <v>34.557519189487721</v>
      </c>
      <c r="K86" s="13" t="s">
        <v>86</v>
      </c>
    </row>
  </sheetData>
  <sheetProtection selectLockedCells="1" selectUnlockedCells="1"/>
  <mergeCells count="109">
    <mergeCell ref="B2:K2"/>
    <mergeCell ref="B3:K3"/>
    <mergeCell ref="B4:K5"/>
    <mergeCell ref="B6:K7"/>
    <mergeCell ref="B8:K8"/>
    <mergeCell ref="M8:Q8"/>
    <mergeCell ref="B12:C12"/>
    <mergeCell ref="N12:Q12"/>
    <mergeCell ref="B13:C13"/>
    <mergeCell ref="N13:Q13"/>
    <mergeCell ref="B14:C14"/>
    <mergeCell ref="N14:Q14"/>
    <mergeCell ref="B9:C9"/>
    <mergeCell ref="N9:Q9"/>
    <mergeCell ref="B10:C10"/>
    <mergeCell ref="N10:Q10"/>
    <mergeCell ref="B11:C11"/>
    <mergeCell ref="N11:Q11"/>
    <mergeCell ref="B18:C18"/>
    <mergeCell ref="N18:Q18"/>
    <mergeCell ref="B19:C19"/>
    <mergeCell ref="N19:Q19"/>
    <mergeCell ref="B20:C20"/>
    <mergeCell ref="N20:Q20"/>
    <mergeCell ref="B15:C15"/>
    <mergeCell ref="N15:Q15"/>
    <mergeCell ref="B16:C16"/>
    <mergeCell ref="N16:Q16"/>
    <mergeCell ref="B17:C17"/>
    <mergeCell ref="N17:Q17"/>
    <mergeCell ref="B25:C25"/>
    <mergeCell ref="B26:C26"/>
    <mergeCell ref="M26:Q26"/>
    <mergeCell ref="B27:C27"/>
    <mergeCell ref="N27:Q27"/>
    <mergeCell ref="B28:C28"/>
    <mergeCell ref="N28:Q28"/>
    <mergeCell ref="B21:C21"/>
    <mergeCell ref="M21:M23"/>
    <mergeCell ref="N21:Q23"/>
    <mergeCell ref="B22:C22"/>
    <mergeCell ref="B23:C23"/>
    <mergeCell ref="B24:C24"/>
    <mergeCell ref="N24:Q24"/>
    <mergeCell ref="B32:C32"/>
    <mergeCell ref="B33:C33"/>
    <mergeCell ref="B34:C34"/>
    <mergeCell ref="B35:C35"/>
    <mergeCell ref="B36:C36"/>
    <mergeCell ref="B37:C37"/>
    <mergeCell ref="B29:C29"/>
    <mergeCell ref="N29:Q29"/>
    <mergeCell ref="B30:C30"/>
    <mergeCell ref="N30:Q30"/>
    <mergeCell ref="B31:C31"/>
    <mergeCell ref="N31:Q31"/>
    <mergeCell ref="N51:Q51"/>
    <mergeCell ref="B52:C52"/>
    <mergeCell ref="B42:C42"/>
    <mergeCell ref="B43:C43"/>
    <mergeCell ref="B44:C44"/>
    <mergeCell ref="B45:C45"/>
    <mergeCell ref="B46:C46"/>
    <mergeCell ref="B47:C47"/>
    <mergeCell ref="B38:C38"/>
    <mergeCell ref="B39:K39"/>
    <mergeCell ref="B40:C40"/>
    <mergeCell ref="F40:I40"/>
    <mergeCell ref="B41:C41"/>
    <mergeCell ref="E41:F41"/>
    <mergeCell ref="H41:I41"/>
    <mergeCell ref="B53:C53"/>
    <mergeCell ref="B54:C54"/>
    <mergeCell ref="B55:C55"/>
    <mergeCell ref="B56:C56"/>
    <mergeCell ref="B57:C57"/>
    <mergeCell ref="B58:C58"/>
    <mergeCell ref="B48:C48"/>
    <mergeCell ref="B49:C49"/>
    <mergeCell ref="B50:K50"/>
    <mergeCell ref="E51:H51"/>
    <mergeCell ref="N67:Q67"/>
    <mergeCell ref="B68:C68"/>
    <mergeCell ref="B69:C69"/>
    <mergeCell ref="B59:C59"/>
    <mergeCell ref="B60:C60"/>
    <mergeCell ref="B61:C61"/>
    <mergeCell ref="B62:C62"/>
    <mergeCell ref="B63:C63"/>
    <mergeCell ref="B64:C64"/>
    <mergeCell ref="B70:K70"/>
    <mergeCell ref="B71:C71"/>
    <mergeCell ref="B72:C72"/>
    <mergeCell ref="B73:K73"/>
    <mergeCell ref="B74:C74"/>
    <mergeCell ref="B76:K76"/>
    <mergeCell ref="B65:C65"/>
    <mergeCell ref="B66:K66"/>
    <mergeCell ref="B67:C67"/>
    <mergeCell ref="B83:C83"/>
    <mergeCell ref="B84:C84"/>
    <mergeCell ref="B85:C85"/>
    <mergeCell ref="B86:C86"/>
    <mergeCell ref="B77:C77"/>
    <mergeCell ref="B78:C78"/>
    <mergeCell ref="B79:C79"/>
    <mergeCell ref="B80:C80"/>
    <mergeCell ref="B81:C81"/>
    <mergeCell ref="B82:C82"/>
  </mergeCells>
  <pageMargins left="0.25" right="0.25" top="1" bottom="0.75" header="0.25" footer="0.3"/>
  <pageSetup scale="51" fitToWidth="0" fitToHeight="0" orientation="portrait" r:id="rId1"/>
  <headerFooter alignWithMargins="0">
    <oddHeader xml:space="preserve">&amp;L&amp;G&amp;R&amp;"-,Bold"&amp;16OmegaWrap®&amp;14
&amp;"-,Regular" (832) 947-4488
www.omegawrap.com </oddHeader>
    <oddFooter>&amp;L&amp;16Calculator Version &amp;F&amp;R&amp;16Page &amp;P of &amp;N</oddFooter>
  </headerFooter>
  <rowBreaks count="2" manualBreakCount="2">
    <brk id="49" max="17" man="1"/>
    <brk id="65" max="17" man="1"/>
  </rowBreaks>
  <drawing r:id="rId2"/>
  <legacyDrawing r:id="rId3"/>
  <legacyDrawingHF r:id="rId4"/>
  <controls>
    <mc:AlternateContent xmlns:mc="http://schemas.openxmlformats.org/markup-compatibility/2006">
      <mc:Choice Requires="x14">
        <control shapeId="363521" r:id="rId5" name="ExportSingle">
          <controlPr defaultSize="0" print="0" autoLine="0" r:id="rId6">
            <anchor moveWithCells="1">
              <from>
                <xdr:col>11</xdr:col>
                <xdr:colOff>600075</xdr:colOff>
                <xdr:row>1</xdr:row>
                <xdr:rowOff>409575</xdr:rowOff>
              </from>
              <to>
                <xdr:col>17</xdr:col>
                <xdr:colOff>0</xdr:colOff>
                <xdr:row>5</xdr:row>
                <xdr:rowOff>57150</xdr:rowOff>
              </to>
            </anchor>
          </controlPr>
        </control>
      </mc:Choice>
      <mc:Fallback>
        <control shapeId="363521" r:id="rId5" name="ExportSingle"/>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70AC9-D572-443A-9C07-A9DAC6CC3829}">
  <sheetPr codeName="Sheet13"/>
  <dimension ref="B1:AH71"/>
  <sheetViews>
    <sheetView showGridLines="0" topLeftCell="L2" zoomScale="85" zoomScaleNormal="85" workbookViewId="0">
      <selection activeCell="M8" sqref="M8"/>
    </sheetView>
  </sheetViews>
  <sheetFormatPr defaultRowHeight="15"/>
  <cols>
    <col min="1" max="1" width="1.7109375" customWidth="1"/>
    <col min="2" max="2" width="11" bestFit="1" customWidth="1"/>
    <col min="3" max="3" width="28.28515625" bestFit="1" customWidth="1"/>
    <col min="4" max="4" width="15.7109375" customWidth="1"/>
    <col min="5" max="5" width="13.7109375" bestFit="1" customWidth="1"/>
    <col min="6" max="6" width="6.140625" bestFit="1" customWidth="1"/>
    <col min="7" max="7" width="6.140625" customWidth="1"/>
    <col min="8" max="8" width="9.42578125" bestFit="1" customWidth="1"/>
    <col min="9" max="9" width="6.140625" bestFit="1" customWidth="1"/>
    <col min="10" max="10" width="5.140625" bestFit="1" customWidth="1"/>
    <col min="11" max="11" width="9.42578125" customWidth="1"/>
    <col min="12" max="12" width="11.42578125" bestFit="1" customWidth="1"/>
    <col min="13" max="13" width="14.28515625" bestFit="1" customWidth="1"/>
    <col min="14" max="14" width="10.140625" bestFit="1" customWidth="1"/>
    <col min="15" max="15" width="13.5703125" bestFit="1" customWidth="1"/>
    <col min="16" max="16" width="15.7109375" customWidth="1"/>
    <col min="17" max="17" width="7.140625" bestFit="1" customWidth="1"/>
    <col min="18" max="18" width="4.5703125" style="1" bestFit="1" customWidth="1"/>
    <col min="19" max="19" width="10.42578125" style="1" customWidth="1"/>
    <col min="20" max="24" width="13.28515625" customWidth="1"/>
    <col min="25" max="28" width="12.5703125" customWidth="1"/>
    <col min="29" max="29" width="20.42578125" bestFit="1" customWidth="1"/>
    <col min="31" max="31" width="16.5703125" bestFit="1" customWidth="1"/>
    <col min="32" max="32" width="21.42578125" bestFit="1" customWidth="1"/>
    <col min="34" max="34" width="15.85546875" customWidth="1"/>
  </cols>
  <sheetData>
    <row r="1" spans="2:34" ht="6.75" customHeight="1"/>
    <row r="2" spans="2:34" ht="23.25">
      <c r="B2" s="1354" t="s">
        <v>725</v>
      </c>
      <c r="C2" s="1355"/>
      <c r="D2" s="1355"/>
      <c r="E2" s="1355"/>
      <c r="F2" s="1355"/>
      <c r="G2" s="1355"/>
      <c r="H2" s="1355"/>
      <c r="I2" s="1355"/>
      <c r="J2" s="1355"/>
      <c r="K2" s="1355"/>
      <c r="L2" s="1355"/>
      <c r="M2" s="1355"/>
      <c r="N2" s="1355"/>
      <c r="O2" s="1355"/>
      <c r="P2" s="1355"/>
      <c r="Q2" s="1355"/>
      <c r="R2" s="1355"/>
      <c r="S2" s="1355"/>
      <c r="T2" s="1356"/>
      <c r="U2" s="1356"/>
      <c r="V2" s="1356"/>
      <c r="W2" s="1356"/>
      <c r="X2" s="1356"/>
      <c r="Y2" s="1356"/>
      <c r="Z2" s="1356"/>
      <c r="AA2" s="1356"/>
      <c r="AB2" s="1356"/>
      <c r="AC2" s="1355"/>
      <c r="AD2" s="1355"/>
      <c r="AE2" s="1355"/>
      <c r="AF2" s="1355"/>
      <c r="AG2" s="1355"/>
      <c r="AH2" s="1357"/>
    </row>
    <row r="3" spans="2:34" s="1" customFormat="1" ht="38.25">
      <c r="B3" s="76" t="s">
        <v>726</v>
      </c>
      <c r="C3" s="77" t="s">
        <v>727</v>
      </c>
      <c r="D3" s="78" t="s">
        <v>728</v>
      </c>
      <c r="E3" s="76" t="s">
        <v>63</v>
      </c>
      <c r="F3" s="1362" t="s">
        <v>729</v>
      </c>
      <c r="G3" s="1362"/>
      <c r="H3" s="1362"/>
      <c r="I3" s="1367" t="s">
        <v>730</v>
      </c>
      <c r="J3" s="1362"/>
      <c r="K3" s="1368"/>
      <c r="L3" s="77" t="s">
        <v>731</v>
      </c>
      <c r="M3" s="77" t="s">
        <v>88</v>
      </c>
      <c r="N3" s="78" t="s">
        <v>732</v>
      </c>
      <c r="O3" s="77" t="s">
        <v>733</v>
      </c>
      <c r="P3" s="77" t="s">
        <v>134</v>
      </c>
      <c r="Q3" s="1363" t="s">
        <v>734</v>
      </c>
      <c r="R3" s="1362"/>
      <c r="S3" s="1362"/>
      <c r="T3" s="606" t="s">
        <v>63</v>
      </c>
      <c r="U3" s="607" t="s">
        <v>735</v>
      </c>
      <c r="V3" s="607" t="s">
        <v>736</v>
      </c>
      <c r="W3" s="607" t="s">
        <v>737</v>
      </c>
      <c r="X3" s="607" t="s">
        <v>738</v>
      </c>
      <c r="Y3" s="607" t="s">
        <v>739</v>
      </c>
      <c r="Z3" s="607" t="s">
        <v>740</v>
      </c>
      <c r="AA3" s="607" t="s">
        <v>741</v>
      </c>
      <c r="AB3" s="608" t="s">
        <v>742</v>
      </c>
      <c r="AC3" s="77" t="s">
        <v>743</v>
      </c>
      <c r="AD3" s="196" t="s">
        <v>48</v>
      </c>
      <c r="AE3" s="196" t="s">
        <v>744</v>
      </c>
      <c r="AF3" s="186" t="s">
        <v>745</v>
      </c>
      <c r="AG3" s="187" t="s">
        <v>575</v>
      </c>
      <c r="AH3" s="205" t="s">
        <v>746</v>
      </c>
    </row>
    <row r="4" spans="2:34">
      <c r="B4" s="94">
        <v>24000</v>
      </c>
      <c r="C4" s="9">
        <v>24000</v>
      </c>
      <c r="D4" s="9">
        <v>44000</v>
      </c>
      <c r="E4" s="84"/>
      <c r="F4" s="85" t="s">
        <v>747</v>
      </c>
      <c r="G4" s="85" t="s">
        <v>748</v>
      </c>
      <c r="H4" s="85" t="s">
        <v>749</v>
      </c>
      <c r="I4" s="150" t="s">
        <v>747</v>
      </c>
      <c r="J4" s="85" t="s">
        <v>748</v>
      </c>
      <c r="K4" s="151" t="s">
        <v>749</v>
      </c>
      <c r="L4" s="5">
        <v>1</v>
      </c>
      <c r="M4" s="9" t="s">
        <v>89</v>
      </c>
      <c r="N4" s="3">
        <v>0</v>
      </c>
      <c r="O4" s="111">
        <v>0.5</v>
      </c>
      <c r="P4" s="9" t="s">
        <v>750</v>
      </c>
      <c r="Q4" s="1364" t="s">
        <v>513</v>
      </c>
      <c r="R4" s="180" t="s">
        <v>32</v>
      </c>
      <c r="S4" s="585">
        <v>1</v>
      </c>
      <c r="T4" s="609" t="s">
        <v>230</v>
      </c>
      <c r="U4" s="610">
        <v>5700000</v>
      </c>
      <c r="V4" s="610">
        <v>1700000</v>
      </c>
      <c r="W4" s="611">
        <v>2.5000000000000001E-3</v>
      </c>
      <c r="X4" s="612">
        <v>32550</v>
      </c>
      <c r="Y4" s="613">
        <v>3.5999999999999997E-2</v>
      </c>
      <c r="Z4" s="613">
        <v>15</v>
      </c>
      <c r="AA4" s="613">
        <v>25</v>
      </c>
      <c r="AB4" s="614">
        <v>12</v>
      </c>
      <c r="AC4" s="16">
        <v>30000000</v>
      </c>
      <c r="AD4" s="197">
        <v>40</v>
      </c>
      <c r="AE4" s="222" t="s">
        <v>21</v>
      </c>
      <c r="AF4" s="88" t="s">
        <v>751</v>
      </c>
      <c r="AG4" s="171">
        <v>1</v>
      </c>
      <c r="AH4" s="206">
        <v>15</v>
      </c>
    </row>
    <row r="5" spans="2:34">
      <c r="B5" s="15" t="s">
        <v>752</v>
      </c>
      <c r="C5" s="9">
        <v>25000</v>
      </c>
      <c r="D5" s="9">
        <v>45000</v>
      </c>
      <c r="E5" s="15" t="s">
        <v>230</v>
      </c>
      <c r="F5" s="5" t="s">
        <v>753</v>
      </c>
      <c r="G5" s="5">
        <v>10</v>
      </c>
      <c r="H5" s="5">
        <v>5</v>
      </c>
      <c r="I5" s="200" t="s">
        <v>753</v>
      </c>
      <c r="J5" s="5">
        <v>10</v>
      </c>
      <c r="K5" s="6">
        <v>5</v>
      </c>
      <c r="L5" s="5">
        <v>1</v>
      </c>
      <c r="M5" s="5" t="s">
        <v>754</v>
      </c>
      <c r="N5" s="6">
        <v>50</v>
      </c>
      <c r="O5" s="16">
        <v>0.67</v>
      </c>
      <c r="P5" s="10" t="s">
        <v>755</v>
      </c>
      <c r="Q5" s="1365"/>
      <c r="R5" s="181" t="s">
        <v>73</v>
      </c>
      <c r="S5" s="9">
        <v>25.4</v>
      </c>
      <c r="T5" s="599" t="s">
        <v>64</v>
      </c>
      <c r="U5" s="615">
        <v>10990000</v>
      </c>
      <c r="V5" s="615">
        <v>2030000</v>
      </c>
      <c r="W5" s="616">
        <v>2.5000000000000001E-3</v>
      </c>
      <c r="X5" s="5">
        <v>56483</v>
      </c>
      <c r="Y5" s="1">
        <v>2.1999999999999999E-2</v>
      </c>
      <c r="Z5" s="1">
        <v>30</v>
      </c>
      <c r="AA5" s="1">
        <v>15</v>
      </c>
      <c r="AB5" s="456">
        <v>12</v>
      </c>
      <c r="AD5" s="197">
        <v>50</v>
      </c>
      <c r="AE5" s="258" t="s">
        <v>756</v>
      </c>
      <c r="AF5" s="88" t="s">
        <v>757</v>
      </c>
      <c r="AG5" s="171">
        <v>2</v>
      </c>
    </row>
    <row r="6" spans="2:34">
      <c r="B6" s="15" t="s">
        <v>195</v>
      </c>
      <c r="C6" s="9">
        <v>30500</v>
      </c>
      <c r="D6" s="5">
        <v>48600</v>
      </c>
      <c r="E6" s="15" t="s">
        <v>758</v>
      </c>
      <c r="F6" s="5">
        <f>G5</f>
        <v>10</v>
      </c>
      <c r="G6" s="5">
        <v>50</v>
      </c>
      <c r="H6" s="5">
        <v>4</v>
      </c>
      <c r="I6" s="200">
        <f>J5</f>
        <v>10</v>
      </c>
      <c r="J6" s="5">
        <v>50</v>
      </c>
      <c r="K6" s="6">
        <v>4</v>
      </c>
      <c r="L6" s="10">
        <v>10</v>
      </c>
      <c r="M6" s="10" t="s">
        <v>759</v>
      </c>
      <c r="N6" s="7">
        <v>50</v>
      </c>
      <c r="O6" s="9"/>
      <c r="P6" s="9"/>
      <c r="Q6" s="1365"/>
      <c r="R6" s="181" t="s">
        <v>75</v>
      </c>
      <c r="S6" s="181">
        <v>1</v>
      </c>
      <c r="T6" s="600" t="s">
        <v>760</v>
      </c>
      <c r="U6" s="601">
        <v>7570000</v>
      </c>
      <c r="V6" s="601">
        <v>458297</v>
      </c>
      <c r="W6" s="602">
        <v>2.5000000000000001E-3</v>
      </c>
      <c r="X6" s="755">
        <v>61215.625</v>
      </c>
      <c r="Y6" s="603">
        <v>0.02</v>
      </c>
      <c r="Z6" s="604">
        <v>15</v>
      </c>
      <c r="AA6" s="604">
        <v>15</v>
      </c>
      <c r="AB6" s="605">
        <v>12</v>
      </c>
      <c r="AD6" s="197">
        <v>60</v>
      </c>
      <c r="AE6" s="177" t="s">
        <v>761</v>
      </c>
      <c r="AF6" s="89" t="s">
        <v>762</v>
      </c>
      <c r="AG6" s="175">
        <v>3</v>
      </c>
    </row>
    <row r="7" spans="2:34">
      <c r="B7" s="15" t="s">
        <v>763</v>
      </c>
      <c r="C7" s="9">
        <v>35500</v>
      </c>
      <c r="D7" s="5">
        <v>60200</v>
      </c>
      <c r="E7" s="15" t="s">
        <v>764</v>
      </c>
      <c r="F7" s="5">
        <f>G6</f>
        <v>50</v>
      </c>
      <c r="G7" s="5">
        <v>116</v>
      </c>
      <c r="H7" s="5" t="s">
        <v>624</v>
      </c>
      <c r="I7" s="200">
        <f>J6</f>
        <v>50</v>
      </c>
      <c r="J7" s="5">
        <v>116</v>
      </c>
      <c r="K7" s="6" t="s">
        <v>624</v>
      </c>
      <c r="L7" s="5"/>
      <c r="M7" s="5"/>
      <c r="N7" s="5"/>
      <c r="O7" s="9"/>
      <c r="P7" s="9"/>
      <c r="Q7" s="1366"/>
      <c r="R7" s="182" t="s">
        <v>76</v>
      </c>
      <c r="S7" s="183">
        <v>0.30480000000000002</v>
      </c>
      <c r="T7" s="756"/>
      <c r="U7" s="757"/>
      <c r="V7" s="757"/>
      <c r="W7" s="758"/>
      <c r="X7" s="759"/>
      <c r="Y7" s="760"/>
      <c r="Z7" s="760"/>
      <c r="AA7" s="760"/>
      <c r="AB7" s="760"/>
      <c r="AD7" s="197">
        <v>72</v>
      </c>
    </row>
    <row r="8" spans="2:34">
      <c r="B8" s="15" t="s">
        <v>678</v>
      </c>
      <c r="C8" s="9">
        <v>42100</v>
      </c>
      <c r="D8" s="5">
        <v>60200</v>
      </c>
      <c r="E8" s="15" t="s">
        <v>764</v>
      </c>
      <c r="F8" s="5">
        <f>G7</f>
        <v>116</v>
      </c>
      <c r="G8" s="5">
        <v>150</v>
      </c>
      <c r="H8" s="5">
        <v>6</v>
      </c>
      <c r="I8" s="200">
        <f>J7</f>
        <v>116</v>
      </c>
      <c r="J8" s="5">
        <v>150</v>
      </c>
      <c r="K8" s="6">
        <v>6</v>
      </c>
      <c r="L8" s="5"/>
      <c r="M8" s="5"/>
      <c r="N8" s="5"/>
      <c r="O8" s="9"/>
      <c r="P8" s="9"/>
      <c r="Q8" s="1358" t="s">
        <v>765</v>
      </c>
      <c r="R8" s="180" t="s">
        <v>140</v>
      </c>
      <c r="S8" s="75">
        <v>1</v>
      </c>
      <c r="T8" s="760"/>
      <c r="U8" s="757"/>
      <c r="V8" s="757"/>
      <c r="W8" s="758"/>
      <c r="X8" s="759"/>
      <c r="Y8" s="760"/>
      <c r="Z8" s="760"/>
      <c r="AA8" s="760"/>
      <c r="AB8" s="760"/>
      <c r="AD8" s="198">
        <v>80</v>
      </c>
    </row>
    <row r="9" spans="2:34">
      <c r="B9" s="15" t="s">
        <v>766</v>
      </c>
      <c r="C9" s="9">
        <v>46400</v>
      </c>
      <c r="D9" s="5">
        <v>63100</v>
      </c>
      <c r="E9" s="147" t="s">
        <v>767</v>
      </c>
      <c r="F9" s="201">
        <f>G8</f>
        <v>150</v>
      </c>
      <c r="G9" s="201" t="s">
        <v>768</v>
      </c>
      <c r="H9" s="201">
        <v>5</v>
      </c>
      <c r="I9" s="202">
        <f>J8</f>
        <v>150</v>
      </c>
      <c r="J9" s="201" t="s">
        <v>768</v>
      </c>
      <c r="K9" s="148">
        <v>5</v>
      </c>
      <c r="L9" s="5"/>
      <c r="M9" s="5"/>
      <c r="N9" s="5"/>
      <c r="O9" s="9"/>
      <c r="P9" s="9"/>
      <c r="Q9" s="1359"/>
      <c r="R9" s="181" t="s">
        <v>139</v>
      </c>
      <c r="S9" s="3">
        <v>9.2902999999999999E-2</v>
      </c>
      <c r="T9" s="760"/>
      <c r="U9" s="757"/>
      <c r="V9" s="757"/>
      <c r="W9" s="758"/>
      <c r="X9" s="759"/>
      <c r="Y9" s="760"/>
      <c r="Z9" s="760"/>
      <c r="AA9" s="760"/>
      <c r="AB9" s="760"/>
    </row>
    <row r="10" spans="2:34">
      <c r="B10" s="15" t="s">
        <v>172</v>
      </c>
      <c r="C10" s="9">
        <v>52200</v>
      </c>
      <c r="D10" s="5">
        <v>66700</v>
      </c>
      <c r="E10" s="81" t="s">
        <v>64</v>
      </c>
      <c r="F10" s="5" t="s">
        <v>753</v>
      </c>
      <c r="G10" s="5">
        <v>10</v>
      </c>
      <c r="H10" s="5">
        <v>5</v>
      </c>
      <c r="I10" s="200" t="s">
        <v>753</v>
      </c>
      <c r="J10" s="5">
        <v>10</v>
      </c>
      <c r="K10" s="6">
        <v>5</v>
      </c>
      <c r="L10" s="5"/>
      <c r="M10" s="5"/>
      <c r="N10" s="5"/>
      <c r="O10" s="9"/>
      <c r="P10" s="9"/>
      <c r="Q10" s="1359"/>
      <c r="R10" s="181" t="s">
        <v>769</v>
      </c>
      <c r="S10" s="3">
        <v>1</v>
      </c>
      <c r="T10" s="760"/>
      <c r="U10" s="757"/>
      <c r="V10" s="757"/>
      <c r="W10" s="758"/>
      <c r="X10" s="759"/>
      <c r="Y10" s="760"/>
      <c r="Z10" s="760"/>
      <c r="AA10" s="760"/>
      <c r="AB10" s="760"/>
    </row>
    <row r="11" spans="2:34">
      <c r="B11" s="15" t="s">
        <v>770</v>
      </c>
      <c r="C11" s="9">
        <v>56600</v>
      </c>
      <c r="D11" s="5">
        <v>71100</v>
      </c>
      <c r="E11" s="81" t="s">
        <v>758</v>
      </c>
      <c r="F11" s="5">
        <f>G10</f>
        <v>10</v>
      </c>
      <c r="G11" s="5">
        <v>50</v>
      </c>
      <c r="H11" s="5">
        <v>4</v>
      </c>
      <c r="I11" s="200">
        <f>J10</f>
        <v>10</v>
      </c>
      <c r="J11" s="5">
        <v>50</v>
      </c>
      <c r="K11" s="6">
        <v>4</v>
      </c>
      <c r="L11" s="5"/>
      <c r="M11" s="5"/>
      <c r="N11" s="5"/>
      <c r="O11" s="9"/>
      <c r="P11" s="9"/>
      <c r="Q11" s="1360"/>
      <c r="R11" s="182" t="s">
        <v>771</v>
      </c>
      <c r="S11" s="80">
        <v>645.16</v>
      </c>
      <c r="T11" s="760"/>
      <c r="U11" s="760"/>
      <c r="V11" s="760"/>
      <c r="W11" s="760"/>
      <c r="X11" s="760"/>
      <c r="Y11" s="760"/>
      <c r="Z11" s="760"/>
      <c r="AA11" s="760"/>
      <c r="AB11" s="760"/>
    </row>
    <row r="12" spans="2:34">
      <c r="B12" s="15" t="s">
        <v>772</v>
      </c>
      <c r="C12" s="9">
        <v>60200</v>
      </c>
      <c r="D12" s="5">
        <v>75400</v>
      </c>
      <c r="E12" s="81" t="s">
        <v>764</v>
      </c>
      <c r="F12" s="5">
        <f>G11</f>
        <v>50</v>
      </c>
      <c r="G12" s="5">
        <v>146</v>
      </c>
      <c r="H12" s="5" t="s">
        <v>624</v>
      </c>
      <c r="I12" s="200">
        <f>J11</f>
        <v>50</v>
      </c>
      <c r="J12" s="5">
        <v>146</v>
      </c>
      <c r="K12" s="6" t="s">
        <v>624</v>
      </c>
      <c r="L12" s="5"/>
      <c r="M12" s="5"/>
      <c r="N12" s="5"/>
      <c r="O12" s="9"/>
      <c r="P12" s="9"/>
      <c r="Q12" s="1359" t="s">
        <v>773</v>
      </c>
      <c r="R12" s="181" t="s">
        <v>86</v>
      </c>
      <c r="S12" s="171">
        <v>1</v>
      </c>
      <c r="T12" s="760"/>
      <c r="U12" s="760"/>
      <c r="V12" s="760"/>
      <c r="W12" s="760"/>
      <c r="X12" s="760"/>
      <c r="Y12" s="760"/>
      <c r="Z12" s="760"/>
      <c r="AA12" s="760"/>
      <c r="AB12" s="760"/>
    </row>
    <row r="13" spans="2:34">
      <c r="B13" s="15" t="s">
        <v>774</v>
      </c>
      <c r="C13" s="9">
        <v>65300</v>
      </c>
      <c r="D13" s="5">
        <v>77500</v>
      </c>
      <c r="E13" s="81" t="s">
        <v>764</v>
      </c>
      <c r="F13" s="5">
        <f>G12</f>
        <v>146</v>
      </c>
      <c r="G13" s="5">
        <v>160</v>
      </c>
      <c r="H13" s="5">
        <v>6</v>
      </c>
      <c r="I13" s="200">
        <f>J12</f>
        <v>146</v>
      </c>
      <c r="J13" s="5">
        <v>160</v>
      </c>
      <c r="K13" s="6">
        <v>6</v>
      </c>
      <c r="L13" s="5"/>
      <c r="M13" s="5"/>
      <c r="N13" s="5"/>
      <c r="O13" s="9"/>
      <c r="P13" s="9"/>
      <c r="Q13" s="1359"/>
      <c r="R13" s="181" t="s">
        <v>84</v>
      </c>
      <c r="S13" s="106">
        <v>0.47317599999999999</v>
      </c>
      <c r="T13" s="1"/>
      <c r="U13" s="1">
        <f>CONVERT(1,"pt","l")</f>
        <v>0.47317647299999999</v>
      </c>
      <c r="V13" s="1"/>
      <c r="W13" s="1"/>
      <c r="X13" s="1"/>
      <c r="Y13" s="1"/>
      <c r="Z13" s="1"/>
      <c r="AA13" s="1"/>
      <c r="AB13" s="1"/>
    </row>
    <row r="14" spans="2:34">
      <c r="B14" s="15" t="s">
        <v>42</v>
      </c>
      <c r="C14" s="9">
        <v>70300</v>
      </c>
      <c r="D14" s="5">
        <v>82700</v>
      </c>
      <c r="E14" s="14" t="s">
        <v>767</v>
      </c>
      <c r="F14" s="10">
        <f>G13</f>
        <v>160</v>
      </c>
      <c r="G14" s="10" t="s">
        <v>768</v>
      </c>
      <c r="H14" s="10">
        <v>5</v>
      </c>
      <c r="I14" s="203">
        <f>J13</f>
        <v>160</v>
      </c>
      <c r="J14" s="10" t="s">
        <v>768</v>
      </c>
      <c r="K14" s="7">
        <v>5</v>
      </c>
      <c r="L14" s="5"/>
      <c r="M14" s="5"/>
      <c r="N14" s="5"/>
      <c r="O14" s="9"/>
      <c r="P14" s="9"/>
      <c r="Q14" s="1359"/>
      <c r="R14" s="181" t="s">
        <v>775</v>
      </c>
      <c r="S14" s="179">
        <v>28.875</v>
      </c>
      <c r="T14" s="1"/>
      <c r="U14" s="1"/>
      <c r="V14" s="1"/>
      <c r="W14" s="1"/>
      <c r="X14" s="1"/>
      <c r="Y14" s="1"/>
      <c r="Z14" s="1"/>
      <c r="AA14" s="1"/>
      <c r="AB14" s="1"/>
    </row>
    <row r="15" spans="2:34">
      <c r="B15" s="38" t="s">
        <v>776</v>
      </c>
      <c r="C15" s="16">
        <v>80500</v>
      </c>
      <c r="D15" s="7">
        <v>90600</v>
      </c>
      <c r="E15" s="81" t="s">
        <v>777</v>
      </c>
      <c r="F15" s="5" t="s">
        <v>753</v>
      </c>
      <c r="G15" s="5">
        <v>-20</v>
      </c>
      <c r="H15" s="5">
        <v>5</v>
      </c>
      <c r="I15" s="200" t="s">
        <v>753</v>
      </c>
      <c r="J15" s="5">
        <v>-20</v>
      </c>
      <c r="K15" s="6">
        <v>5</v>
      </c>
      <c r="L15" s="9" t="s">
        <v>778</v>
      </c>
      <c r="M15" s="9">
        <v>140</v>
      </c>
      <c r="N15" s="9" t="s">
        <v>779</v>
      </c>
      <c r="O15" s="9"/>
      <c r="P15" s="9"/>
      <c r="Q15" s="1375" t="s">
        <v>780</v>
      </c>
      <c r="R15" s="180" t="s">
        <v>781</v>
      </c>
      <c r="S15" s="184">
        <v>1</v>
      </c>
      <c r="T15" s="1"/>
      <c r="U15" s="1"/>
      <c r="V15" s="1"/>
      <c r="W15" s="1"/>
      <c r="X15" s="1"/>
      <c r="Y15" s="1"/>
      <c r="Z15" s="1"/>
      <c r="AA15" s="1"/>
      <c r="AB15" s="1"/>
    </row>
    <row r="16" spans="2:34" ht="15.75" thickBot="1">
      <c r="B16" s="17"/>
      <c r="C16" s="9"/>
      <c r="D16" s="9"/>
      <c r="E16" s="81" t="s">
        <v>758</v>
      </c>
      <c r="F16" s="5">
        <f>G15</f>
        <v>-20</v>
      </c>
      <c r="G16" s="821">
        <v>285.8</v>
      </c>
      <c r="H16" s="5"/>
      <c r="I16" s="200">
        <f>J15</f>
        <v>-20</v>
      </c>
      <c r="J16" s="821">
        <v>285.8</v>
      </c>
      <c r="K16" s="6"/>
      <c r="L16" s="9"/>
      <c r="M16" s="9"/>
      <c r="N16" s="9"/>
      <c r="O16" s="9"/>
      <c r="P16" s="204"/>
      <c r="Q16" s="1376"/>
      <c r="R16" s="185" t="s">
        <v>782</v>
      </c>
      <c r="S16" s="175">
        <v>1.35582</v>
      </c>
      <c r="T16" s="1"/>
      <c r="U16" s="1"/>
      <c r="V16" s="1"/>
      <c r="W16" s="1"/>
      <c r="X16" s="1"/>
      <c r="Y16" s="1"/>
      <c r="Z16" s="1"/>
      <c r="AA16" s="1"/>
      <c r="AB16" s="1"/>
    </row>
    <row r="17" spans="2:29" ht="15.75" thickBot="1">
      <c r="B17" s="17"/>
      <c r="C17" s="9"/>
      <c r="D17" s="9"/>
      <c r="E17" s="14" t="s">
        <v>767</v>
      </c>
      <c r="F17" s="822">
        <f>G16</f>
        <v>285.8</v>
      </c>
      <c r="G17" s="10" t="s">
        <v>768</v>
      </c>
      <c r="H17" s="10">
        <v>5</v>
      </c>
      <c r="I17" s="823">
        <f>J16</f>
        <v>285.8</v>
      </c>
      <c r="J17" s="10" t="s">
        <v>768</v>
      </c>
      <c r="K17" s="7">
        <v>5</v>
      </c>
      <c r="L17" s="9"/>
      <c r="M17" s="9"/>
      <c r="N17" s="9"/>
      <c r="O17" s="9"/>
      <c r="P17" s="9"/>
      <c r="Q17" s="181"/>
      <c r="R17" s="181"/>
      <c r="S17" s="181"/>
      <c r="T17" s="1"/>
      <c r="U17" s="1"/>
      <c r="V17" s="1"/>
      <c r="W17" s="1"/>
      <c r="X17" s="1"/>
      <c r="Y17" s="1"/>
      <c r="Z17" s="1"/>
      <c r="AA17" s="1"/>
      <c r="AB17" s="1"/>
    </row>
    <row r="18" spans="2:29">
      <c r="B18" s="17"/>
      <c r="C18" s="9"/>
      <c r="D18" s="9"/>
      <c r="E18" s="9"/>
      <c r="F18" s="9"/>
      <c r="G18" s="9"/>
      <c r="H18" s="9"/>
      <c r="I18" s="9"/>
      <c r="J18" s="9"/>
      <c r="K18" s="9"/>
      <c r="L18" s="9"/>
      <c r="M18" s="9"/>
      <c r="N18" s="9"/>
      <c r="O18" s="9"/>
      <c r="P18" s="9"/>
      <c r="Q18" s="181"/>
      <c r="R18" s="181"/>
      <c r="S18" s="181"/>
      <c r="T18" s="1"/>
      <c r="U18" s="1"/>
      <c r="V18" s="1"/>
      <c r="W18" s="1"/>
      <c r="X18" s="1"/>
      <c r="Y18" s="1"/>
      <c r="Z18" s="1"/>
      <c r="AA18" s="1"/>
      <c r="AB18" s="1"/>
    </row>
    <row r="19" spans="2:29" ht="23.25">
      <c r="B19" s="1354"/>
      <c r="C19" s="1355"/>
      <c r="D19" s="1355"/>
      <c r="E19" s="1357"/>
      <c r="F19" s="9"/>
      <c r="G19" s="162" t="s">
        <v>783</v>
      </c>
      <c r="H19" s="1355" t="s">
        <v>784</v>
      </c>
      <c r="I19" s="1355"/>
      <c r="J19" s="1355"/>
      <c r="K19" s="1355"/>
      <c r="L19" s="1355"/>
      <c r="M19" s="1355"/>
      <c r="N19" s="1357"/>
      <c r="P19" s="1377" t="s">
        <v>785</v>
      </c>
      <c r="Q19" s="1377"/>
      <c r="R19" s="1377"/>
      <c r="S19" s="1377"/>
      <c r="T19" s="1377"/>
      <c r="U19" s="1377"/>
      <c r="V19" s="1377"/>
      <c r="W19" s="1377"/>
      <c r="X19" s="1377"/>
      <c r="Y19" s="1377"/>
      <c r="Z19" s="1"/>
      <c r="AA19" s="1"/>
      <c r="AB19" s="1"/>
    </row>
    <row r="20" spans="2:29" ht="15" customHeight="1">
      <c r="B20" s="136"/>
      <c r="C20" s="144"/>
      <c r="D20" s="1373"/>
      <c r="E20" s="1374"/>
      <c r="F20" s="9"/>
      <c r="G20" s="208">
        <v>1</v>
      </c>
      <c r="H20" s="209" t="s">
        <v>786</v>
      </c>
      <c r="I20" s="210"/>
      <c r="J20" s="209"/>
      <c r="K20" s="209"/>
      <c r="L20" s="210"/>
      <c r="M20" s="210"/>
      <c r="N20" s="211"/>
      <c r="P20" s="1377"/>
      <c r="Q20" s="1377"/>
      <c r="R20" s="1377"/>
      <c r="S20" s="1377"/>
      <c r="T20" s="1377"/>
      <c r="U20" s="1377"/>
      <c r="V20" s="1377"/>
      <c r="W20" s="1377"/>
      <c r="X20" s="1377"/>
      <c r="Y20" s="1377"/>
      <c r="Z20" s="1"/>
      <c r="AA20" s="1"/>
      <c r="AB20" s="1"/>
    </row>
    <row r="21" spans="2:29">
      <c r="B21" s="1369"/>
      <c r="C21" s="129"/>
      <c r="D21" s="129"/>
      <c r="E21" s="75"/>
      <c r="F21" s="9"/>
      <c r="G21" s="88">
        <v>2</v>
      </c>
      <c r="H21" s="207" t="s">
        <v>787</v>
      </c>
      <c r="J21" s="207"/>
      <c r="K21" s="207"/>
      <c r="N21" s="47"/>
      <c r="P21" s="1377"/>
      <c r="Q21" s="1377"/>
      <c r="R21" s="1377"/>
      <c r="S21" s="1377"/>
      <c r="T21" s="1377"/>
      <c r="U21" s="1377"/>
      <c r="V21" s="1377"/>
      <c r="W21" s="1377"/>
      <c r="X21" s="1377"/>
      <c r="Y21" s="1377"/>
      <c r="Z21" s="1"/>
      <c r="AA21" s="1"/>
      <c r="AB21" s="1"/>
    </row>
    <row r="22" spans="2:29">
      <c r="B22" s="1370"/>
      <c r="C22" s="130"/>
      <c r="D22" s="130"/>
      <c r="E22" s="3"/>
      <c r="F22" s="9"/>
      <c r="G22" s="88">
        <v>3</v>
      </c>
      <c r="H22" s="207" t="s">
        <v>788</v>
      </c>
      <c r="J22" s="207"/>
      <c r="K22" s="207"/>
      <c r="N22" s="47"/>
      <c r="P22" s="1377"/>
      <c r="Q22" s="1377"/>
      <c r="R22" s="1377"/>
      <c r="S22" s="1377"/>
      <c r="T22" s="1377"/>
      <c r="U22" s="1377"/>
      <c r="V22" s="1377"/>
      <c r="W22" s="1377"/>
      <c r="X22" s="1377"/>
      <c r="Y22" s="1377"/>
      <c r="Z22" s="1"/>
      <c r="AA22" s="1"/>
      <c r="AB22" s="1"/>
      <c r="AC22" s="1" t="s">
        <v>789</v>
      </c>
    </row>
    <row r="23" spans="2:29">
      <c r="B23" s="1370"/>
      <c r="C23" s="130"/>
      <c r="D23" s="130"/>
      <c r="E23" s="137"/>
      <c r="F23" s="8"/>
      <c r="G23" s="88">
        <v>4</v>
      </c>
      <c r="H23" s="207" t="s">
        <v>790</v>
      </c>
      <c r="J23" s="207"/>
      <c r="K23" s="207"/>
      <c r="N23" s="47"/>
      <c r="P23" s="1377"/>
      <c r="Q23" s="1377"/>
      <c r="R23" s="1377"/>
      <c r="S23" s="1377"/>
      <c r="T23" s="1377"/>
      <c r="U23" s="1377"/>
      <c r="V23" s="1377"/>
      <c r="W23" s="1377"/>
      <c r="X23" s="1377"/>
      <c r="Y23" s="1377"/>
      <c r="Z23" s="1"/>
      <c r="AA23" s="1"/>
      <c r="AB23" s="1"/>
    </row>
    <row r="24" spans="2:29">
      <c r="B24" s="1370"/>
      <c r="C24" s="130"/>
      <c r="D24" s="130"/>
      <c r="E24" s="3"/>
      <c r="F24" s="9"/>
      <c r="G24" s="88">
        <v>5</v>
      </c>
      <c r="H24" s="207" t="s">
        <v>791</v>
      </c>
      <c r="J24" s="207"/>
      <c r="K24" s="207"/>
      <c r="N24" s="47"/>
      <c r="P24" s="1377"/>
      <c r="Q24" s="1377"/>
      <c r="R24" s="1377"/>
      <c r="S24" s="1377"/>
      <c r="T24" s="1377"/>
      <c r="U24" s="1377"/>
      <c r="V24" s="1377"/>
      <c r="W24" s="1377"/>
      <c r="X24" s="1377"/>
      <c r="Y24" s="1377"/>
      <c r="Z24" s="1"/>
      <c r="AA24" s="1"/>
      <c r="AB24" s="1"/>
    </row>
    <row r="25" spans="2:29">
      <c r="B25" s="1370"/>
      <c r="C25" s="130"/>
      <c r="D25" s="130"/>
      <c r="E25" s="3"/>
      <c r="F25" s="9"/>
      <c r="G25" s="88">
        <v>6</v>
      </c>
      <c r="H25" s="207" t="s">
        <v>792</v>
      </c>
      <c r="J25" s="207"/>
      <c r="K25" s="207"/>
      <c r="N25" s="47"/>
      <c r="P25" s="1377"/>
      <c r="Q25" s="1377"/>
      <c r="R25" s="1377"/>
      <c r="S25" s="1377"/>
      <c r="T25" s="1377"/>
      <c r="U25" s="1377"/>
      <c r="V25" s="1377"/>
      <c r="W25" s="1377"/>
      <c r="X25" s="1377"/>
      <c r="Y25" s="1377"/>
      <c r="Z25" s="1"/>
      <c r="AA25" s="1"/>
      <c r="AB25" s="1"/>
    </row>
    <row r="26" spans="2:29">
      <c r="B26" s="1370"/>
      <c r="C26" s="130"/>
      <c r="D26" s="130"/>
      <c r="E26" s="3"/>
      <c r="F26" s="9"/>
      <c r="G26" s="88">
        <v>7</v>
      </c>
      <c r="H26" s="207" t="s">
        <v>793</v>
      </c>
      <c r="J26" s="207"/>
      <c r="K26" s="207"/>
      <c r="N26" s="47"/>
      <c r="P26" s="1377"/>
      <c r="Q26" s="1377"/>
      <c r="R26" s="1377"/>
      <c r="S26" s="1377"/>
      <c r="T26" s="1377"/>
      <c r="U26" s="1377"/>
      <c r="V26" s="1377"/>
      <c r="W26" s="1377"/>
      <c r="X26" s="1377"/>
      <c r="Y26" s="1377"/>
      <c r="Z26" s="1"/>
      <c r="AA26" s="1"/>
      <c r="AB26" s="1"/>
    </row>
    <row r="27" spans="2:29" ht="15.75" thickBot="1">
      <c r="B27" s="1369"/>
      <c r="C27" s="131"/>
      <c r="D27" s="131"/>
      <c r="E27" s="138"/>
      <c r="F27" s="4"/>
      <c r="G27" s="89">
        <v>8</v>
      </c>
      <c r="H27" s="163" t="s">
        <v>794</v>
      </c>
      <c r="I27" s="212"/>
      <c r="J27" s="212"/>
      <c r="K27" s="212"/>
      <c r="L27" s="212"/>
      <c r="M27" s="212"/>
      <c r="N27" s="213"/>
      <c r="O27" s="9"/>
      <c r="P27" s="1377"/>
      <c r="Q27" s="1377"/>
      <c r="R27" s="1377"/>
      <c r="S27" s="1377"/>
      <c r="T27" s="1377"/>
      <c r="U27" s="1377"/>
      <c r="V27" s="1377"/>
      <c r="W27" s="1377"/>
      <c r="X27" s="1377"/>
      <c r="Y27" s="1377"/>
      <c r="Z27" s="1"/>
      <c r="AA27" s="1"/>
      <c r="AB27" s="1"/>
    </row>
    <row r="28" spans="2:29">
      <c r="B28" s="1370"/>
      <c r="C28" s="132"/>
      <c r="D28" s="132"/>
      <c r="E28" s="3"/>
      <c r="F28" s="9"/>
      <c r="G28" s="9"/>
      <c r="H28" s="9"/>
      <c r="I28" s="9"/>
      <c r="J28" s="9"/>
      <c r="L28" s="9"/>
      <c r="M28" s="9"/>
      <c r="N28" s="9"/>
      <c r="O28" s="9"/>
      <c r="P28" s="1377"/>
      <c r="Q28" s="1377"/>
      <c r="R28" s="1377"/>
      <c r="S28" s="1377"/>
      <c r="T28" s="1377"/>
      <c r="U28" s="1377"/>
      <c r="V28" s="1377"/>
      <c r="W28" s="1377"/>
      <c r="X28" s="1377"/>
      <c r="Y28" s="1377"/>
      <c r="Z28" s="1"/>
      <c r="AA28" s="1"/>
      <c r="AB28" s="1"/>
    </row>
    <row r="29" spans="2:29">
      <c r="B29" s="1370"/>
      <c r="C29" s="132"/>
      <c r="D29" s="132"/>
      <c r="E29" s="139"/>
      <c r="F29" s="4"/>
      <c r="G29" s="4"/>
      <c r="H29" s="4"/>
      <c r="I29" s="4"/>
      <c r="J29" s="4"/>
      <c r="K29" s="4"/>
      <c r="L29" s="4"/>
      <c r="M29" s="4"/>
      <c r="N29" s="4"/>
      <c r="O29" s="9"/>
      <c r="P29" s="1377"/>
      <c r="Q29" s="1377"/>
      <c r="R29" s="1377"/>
      <c r="S29" s="1377"/>
      <c r="T29" s="1377"/>
      <c r="U29" s="1377"/>
      <c r="V29" s="1377"/>
      <c r="W29" s="1377"/>
      <c r="X29" s="1377"/>
      <c r="Y29" s="1377"/>
      <c r="Z29" s="1"/>
      <c r="AA29" s="1"/>
      <c r="AB29" s="1"/>
    </row>
    <row r="30" spans="2:29">
      <c r="B30" s="1370"/>
      <c r="C30" s="132"/>
      <c r="D30" s="132"/>
      <c r="E30" s="139"/>
      <c r="F30" s="4"/>
      <c r="G30" s="4"/>
      <c r="H30" s="4"/>
      <c r="I30" s="4"/>
      <c r="J30" s="4"/>
      <c r="K30" s="4"/>
      <c r="L30" s="4"/>
      <c r="M30" s="4"/>
      <c r="N30" s="4"/>
      <c r="O30" s="9"/>
      <c r="P30" s="1377"/>
      <c r="Q30" s="1377"/>
      <c r="R30" s="1377"/>
      <c r="S30" s="1377"/>
      <c r="T30" s="1377"/>
      <c r="U30" s="1377"/>
      <c r="V30" s="1377"/>
      <c r="W30" s="1377"/>
      <c r="X30" s="1377"/>
      <c r="Y30" s="1377"/>
      <c r="Z30" s="1"/>
      <c r="AA30" s="1"/>
      <c r="AB30" s="1"/>
    </row>
    <row r="31" spans="2:29">
      <c r="B31" s="1370"/>
      <c r="C31" s="130"/>
      <c r="D31" s="133"/>
      <c r="E31" s="139"/>
      <c r="F31" s="4"/>
      <c r="G31" s="4"/>
      <c r="H31" s="4"/>
      <c r="I31" s="4"/>
      <c r="J31" s="4"/>
      <c r="K31" s="4"/>
      <c r="L31" s="4"/>
      <c r="M31" s="4"/>
      <c r="N31" s="4"/>
      <c r="O31" s="9"/>
      <c r="P31" s="1377"/>
      <c r="Q31" s="1377"/>
      <c r="R31" s="1377"/>
      <c r="S31" s="1377"/>
      <c r="T31" s="1377"/>
      <c r="U31" s="1377"/>
      <c r="V31" s="1377"/>
      <c r="W31" s="1377"/>
      <c r="X31" s="1377"/>
      <c r="Y31" s="1377"/>
      <c r="Z31" s="1"/>
      <c r="AA31" s="1"/>
      <c r="AB31" s="1"/>
    </row>
    <row r="32" spans="2:29">
      <c r="B32" s="1370"/>
      <c r="C32" s="130"/>
      <c r="D32" s="133"/>
      <c r="E32" s="139"/>
      <c r="F32" s="4"/>
      <c r="G32" s="4"/>
      <c r="H32" s="4"/>
      <c r="I32" s="4"/>
      <c r="J32" s="4"/>
      <c r="K32" s="4"/>
      <c r="L32" s="4"/>
      <c r="M32" s="4"/>
      <c r="N32" s="4"/>
      <c r="O32" s="5"/>
      <c r="P32" s="1377"/>
      <c r="Q32" s="1377"/>
      <c r="R32" s="1377"/>
      <c r="S32" s="1377"/>
      <c r="T32" s="1377"/>
      <c r="U32" s="1377"/>
      <c r="V32" s="1377"/>
      <c r="W32" s="1377"/>
      <c r="X32" s="1377"/>
      <c r="Y32" s="1377"/>
      <c r="Z32" s="1"/>
      <c r="AA32" s="1"/>
      <c r="AB32" s="1"/>
    </row>
    <row r="33" spans="2:28">
      <c r="B33" s="1370"/>
      <c r="C33" s="130"/>
      <c r="D33" s="133"/>
      <c r="E33" s="139"/>
      <c r="F33" s="4"/>
      <c r="G33" s="4"/>
      <c r="H33" s="4"/>
      <c r="I33" s="4"/>
      <c r="J33" s="4"/>
      <c r="K33" s="4"/>
      <c r="L33" s="4"/>
      <c r="M33" s="4"/>
      <c r="N33" s="4"/>
      <c r="O33" s="5"/>
      <c r="P33" s="1377"/>
      <c r="Q33" s="1377"/>
      <c r="R33" s="1377"/>
      <c r="S33" s="1377"/>
      <c r="T33" s="1377"/>
      <c r="U33" s="1377"/>
      <c r="V33" s="1377"/>
      <c r="W33" s="1377"/>
      <c r="X33" s="1377"/>
      <c r="Y33" s="1377"/>
      <c r="Z33" s="1"/>
      <c r="AA33" s="1"/>
      <c r="AB33" s="1"/>
    </row>
    <row r="34" spans="2:28">
      <c r="B34" s="1370"/>
      <c r="C34" s="132"/>
      <c r="D34" s="132"/>
      <c r="E34" s="139"/>
      <c r="F34" s="4"/>
      <c r="G34" s="4"/>
      <c r="H34" s="4"/>
      <c r="I34" s="4"/>
      <c r="J34" s="4"/>
      <c r="K34" s="4"/>
      <c r="L34" s="4"/>
      <c r="M34" s="4"/>
      <c r="N34" s="4"/>
      <c r="O34" s="5"/>
      <c r="P34" s="1377"/>
      <c r="Q34" s="1377"/>
      <c r="R34" s="1377"/>
      <c r="S34" s="1377"/>
      <c r="T34" s="1377"/>
      <c r="U34" s="1377"/>
      <c r="V34" s="1377"/>
      <c r="W34" s="1377"/>
      <c r="X34" s="1377"/>
      <c r="Y34" s="1377"/>
      <c r="Z34" s="1"/>
      <c r="AA34" s="1"/>
      <c r="AB34" s="1"/>
    </row>
    <row r="35" spans="2:28">
      <c r="B35" s="1371"/>
      <c r="C35" s="134"/>
      <c r="D35" s="134"/>
      <c r="E35" s="140"/>
      <c r="F35" s="11"/>
      <c r="G35" s="11"/>
      <c r="H35" s="11"/>
      <c r="I35" s="11"/>
      <c r="J35" s="11"/>
      <c r="K35" s="11"/>
      <c r="L35" s="11"/>
      <c r="M35" s="11"/>
      <c r="N35" s="11"/>
      <c r="O35" s="1"/>
      <c r="P35" s="1377"/>
      <c r="Q35" s="1377"/>
      <c r="R35" s="1377"/>
      <c r="S35" s="1377"/>
      <c r="T35" s="1377"/>
      <c r="U35" s="1377"/>
      <c r="V35" s="1377"/>
      <c r="W35" s="1377"/>
      <c r="X35" s="1377"/>
      <c r="Y35" s="1377"/>
      <c r="Z35" s="1"/>
      <c r="AA35" s="1"/>
      <c r="AB35" s="1"/>
    </row>
    <row r="36" spans="2:28">
      <c r="B36" s="1369"/>
      <c r="C36" s="129"/>
      <c r="D36" s="129"/>
      <c r="E36" s="141"/>
      <c r="F36" s="5"/>
      <c r="G36" s="5"/>
      <c r="H36" s="5"/>
      <c r="I36" s="5"/>
      <c r="J36" s="5"/>
      <c r="K36" s="5"/>
      <c r="L36" s="5"/>
      <c r="M36" s="5"/>
      <c r="N36" s="5"/>
      <c r="O36" s="1"/>
      <c r="P36" s="1377"/>
      <c r="Q36" s="1377"/>
      <c r="R36" s="1377"/>
      <c r="S36" s="1377"/>
      <c r="T36" s="1377"/>
      <c r="U36" s="1377"/>
      <c r="V36" s="1377"/>
      <c r="W36" s="1377"/>
      <c r="X36" s="1377"/>
      <c r="Y36" s="1377"/>
      <c r="Z36" s="1"/>
      <c r="AA36" s="1"/>
      <c r="AB36" s="1"/>
    </row>
    <row r="37" spans="2:28">
      <c r="B37" s="1370"/>
      <c r="C37" s="130"/>
      <c r="D37" s="135"/>
      <c r="E37" s="6"/>
      <c r="F37" s="5"/>
      <c r="G37" s="5"/>
      <c r="H37" s="5"/>
      <c r="I37" s="5"/>
      <c r="J37" s="5"/>
      <c r="K37" s="5"/>
      <c r="L37" s="5"/>
      <c r="M37" s="5"/>
      <c r="N37" s="5"/>
      <c r="O37" s="1"/>
      <c r="P37" s="1377"/>
      <c r="Q37" s="1377"/>
      <c r="R37" s="1377"/>
      <c r="S37" s="1377"/>
      <c r="T37" s="1377"/>
      <c r="U37" s="1377"/>
      <c r="V37" s="1377"/>
      <c r="W37" s="1377"/>
      <c r="X37" s="1377"/>
      <c r="Y37" s="1377"/>
      <c r="Z37" s="1"/>
      <c r="AA37" s="1"/>
      <c r="AB37" s="1"/>
    </row>
    <row r="38" spans="2:28">
      <c r="B38" s="1370"/>
      <c r="C38" s="130"/>
      <c r="D38" s="130"/>
      <c r="E38" s="6"/>
      <c r="F38" s="5"/>
      <c r="G38" s="5"/>
      <c r="H38" s="5"/>
      <c r="I38" s="5"/>
      <c r="J38" s="5"/>
      <c r="K38" s="5"/>
      <c r="L38" s="5"/>
      <c r="M38" s="5"/>
      <c r="N38" s="5"/>
      <c r="O38" s="5"/>
      <c r="P38" s="1377"/>
      <c r="Q38" s="1377"/>
      <c r="R38" s="1377"/>
      <c r="S38" s="1377"/>
      <c r="T38" s="1377"/>
      <c r="U38" s="1377"/>
      <c r="V38" s="1377"/>
      <c r="W38" s="1377"/>
      <c r="X38" s="1377"/>
      <c r="Y38" s="1377"/>
      <c r="Z38" s="1"/>
      <c r="AA38" s="1"/>
      <c r="AB38" s="1"/>
    </row>
    <row r="39" spans="2:28">
      <c r="B39" s="1370"/>
      <c r="C39" s="130"/>
      <c r="D39" s="135"/>
      <c r="E39" s="6"/>
      <c r="F39" s="5"/>
      <c r="G39" s="5"/>
      <c r="H39" s="5"/>
      <c r="I39" s="5"/>
      <c r="J39" s="5"/>
      <c r="K39" s="5"/>
      <c r="L39" s="5"/>
      <c r="M39" s="5"/>
      <c r="N39" s="5"/>
      <c r="O39" s="5"/>
      <c r="P39" s="1377"/>
      <c r="Q39" s="1377"/>
      <c r="R39" s="1377"/>
      <c r="S39" s="1377"/>
      <c r="T39" s="1377"/>
      <c r="U39" s="1377"/>
      <c r="V39" s="1377"/>
      <c r="W39" s="1377"/>
      <c r="X39" s="1377"/>
      <c r="Y39" s="1377"/>
      <c r="Z39" s="1"/>
      <c r="AA39" s="1"/>
      <c r="AB39" s="1"/>
    </row>
    <row r="40" spans="2:28" ht="15.75" thickBot="1">
      <c r="B40" s="1372"/>
      <c r="C40" s="142"/>
      <c r="D40" s="143"/>
      <c r="E40" s="7"/>
      <c r="F40" s="5"/>
      <c r="G40" s="5"/>
      <c r="H40" s="5"/>
      <c r="I40" s="5"/>
      <c r="J40" s="5"/>
      <c r="K40" s="5"/>
      <c r="L40" s="5"/>
      <c r="M40" s="5"/>
      <c r="N40" s="5"/>
      <c r="O40" s="5"/>
      <c r="P40" s="1377"/>
      <c r="Q40" s="1377"/>
      <c r="R40" s="1377"/>
      <c r="S40" s="1377"/>
      <c r="T40" s="1377"/>
      <c r="U40" s="1377"/>
      <c r="V40" s="1377"/>
      <c r="W40" s="1377"/>
      <c r="X40" s="1377"/>
      <c r="Y40" s="1377"/>
      <c r="Z40" s="1"/>
      <c r="AA40" s="1"/>
      <c r="AB40" s="1"/>
    </row>
    <row r="41" spans="2:28">
      <c r="B41" s="1361"/>
      <c r="C41" s="1361"/>
      <c r="D41" s="1361"/>
      <c r="E41" s="1361"/>
      <c r="F41" s="5"/>
      <c r="G41" s="5"/>
      <c r="H41" s="5"/>
      <c r="I41" s="5"/>
      <c r="J41" s="5"/>
      <c r="K41" s="5"/>
      <c r="L41" s="5"/>
      <c r="M41" s="5"/>
      <c r="N41" s="5"/>
      <c r="O41" s="5"/>
      <c r="P41" s="1377"/>
      <c r="Q41" s="1377"/>
      <c r="R41" s="1377"/>
      <c r="S41" s="1377"/>
      <c r="T41" s="1377"/>
      <c r="U41" s="1377"/>
      <c r="V41" s="1377"/>
      <c r="W41" s="1377"/>
      <c r="X41" s="1377"/>
      <c r="Y41" s="1377"/>
      <c r="Z41" s="1"/>
      <c r="AA41" s="1"/>
      <c r="AB41" s="1"/>
    </row>
    <row r="42" spans="2:28" ht="15" customHeight="1">
      <c r="B42" s="149"/>
      <c r="C42" s="149"/>
      <c r="D42" s="149"/>
      <c r="E42" s="149"/>
      <c r="F42" s="5"/>
      <c r="G42" s="5"/>
      <c r="H42" s="5"/>
      <c r="I42" s="5"/>
      <c r="J42" s="5"/>
      <c r="K42" s="5"/>
      <c r="L42" s="5"/>
      <c r="M42" s="5"/>
      <c r="N42" s="5"/>
      <c r="O42" s="5"/>
      <c r="P42" s="5"/>
      <c r="Q42" s="5"/>
      <c r="R42" s="5"/>
      <c r="S42" s="5"/>
      <c r="T42" s="1"/>
      <c r="U42" s="1"/>
      <c r="V42" s="1"/>
      <c r="W42" s="1"/>
      <c r="X42" s="1"/>
      <c r="Y42" s="1"/>
      <c r="Z42" s="1"/>
      <c r="AA42" s="1"/>
      <c r="AB42" s="1"/>
    </row>
    <row r="43" spans="2:28">
      <c r="B43" s="149"/>
      <c r="C43" s="149"/>
      <c r="D43" s="149"/>
      <c r="E43" s="5"/>
      <c r="F43" s="5"/>
      <c r="G43" s="5"/>
      <c r="H43" s="5"/>
      <c r="I43" s="5"/>
      <c r="J43" s="5"/>
      <c r="K43" s="5"/>
      <c r="L43" s="5"/>
      <c r="M43" s="5"/>
      <c r="N43" s="5"/>
      <c r="O43" s="5"/>
      <c r="P43" s="5"/>
      <c r="Q43" s="5"/>
      <c r="R43" s="5"/>
      <c r="S43" s="5"/>
      <c r="T43" s="1"/>
      <c r="U43" s="1"/>
      <c r="V43" s="1"/>
      <c r="W43" s="1"/>
      <c r="X43" s="1"/>
      <c r="Y43" s="1"/>
      <c r="Z43" s="1"/>
      <c r="AA43" s="1"/>
      <c r="AB43" s="1"/>
    </row>
    <row r="44" spans="2:28">
      <c r="B44" s="17"/>
      <c r="E44" s="5"/>
      <c r="F44" s="5"/>
      <c r="G44" s="5"/>
      <c r="H44" s="5"/>
      <c r="I44" s="5"/>
      <c r="J44" s="5"/>
      <c r="K44" s="5"/>
      <c r="L44" s="5"/>
      <c r="M44" s="5"/>
      <c r="N44" s="5"/>
      <c r="O44" s="5"/>
      <c r="P44" s="5"/>
      <c r="Q44" s="5"/>
      <c r="R44" s="5"/>
      <c r="S44" s="5"/>
      <c r="T44" s="1"/>
      <c r="U44" s="1"/>
      <c r="V44" s="1"/>
      <c r="W44" s="1"/>
      <c r="X44" s="1"/>
      <c r="Y44" s="1"/>
      <c r="Z44" s="1"/>
      <c r="AA44" s="1"/>
      <c r="AB44" s="1"/>
    </row>
    <row r="45" spans="2:28">
      <c r="B45" s="17"/>
      <c r="E45" s="5"/>
      <c r="F45" s="5"/>
      <c r="G45" s="5"/>
      <c r="H45" s="5"/>
      <c r="I45" s="5"/>
      <c r="J45" s="5"/>
      <c r="K45" s="5"/>
      <c r="L45" s="5"/>
      <c r="M45" s="5"/>
      <c r="N45" s="5"/>
      <c r="O45" s="5"/>
      <c r="P45" s="5"/>
      <c r="Q45" s="5"/>
      <c r="R45" s="5"/>
      <c r="S45" s="5"/>
      <c r="T45" s="1"/>
      <c r="U45" s="1"/>
      <c r="V45" s="1"/>
      <c r="W45" s="1"/>
      <c r="X45" s="1"/>
      <c r="Y45" s="1"/>
      <c r="Z45" s="1"/>
      <c r="AA45" s="1"/>
      <c r="AB45" s="1"/>
    </row>
    <row r="46" spans="2:28">
      <c r="B46" s="17"/>
      <c r="C46" s="5"/>
      <c r="D46" s="5"/>
      <c r="E46" s="5"/>
      <c r="F46" s="5"/>
      <c r="G46" s="5"/>
      <c r="H46" s="5"/>
      <c r="I46" s="5"/>
      <c r="J46" s="5"/>
      <c r="K46" s="5"/>
      <c r="L46" s="5"/>
      <c r="M46" s="5"/>
      <c r="N46" s="5"/>
      <c r="O46" s="5"/>
      <c r="P46" s="5"/>
      <c r="Q46" s="5"/>
      <c r="R46" s="5"/>
      <c r="S46" s="5"/>
      <c r="T46" s="1"/>
      <c r="U46" s="1"/>
      <c r="V46" s="1"/>
      <c r="W46" s="1"/>
      <c r="X46" s="1"/>
      <c r="Y46" s="1"/>
      <c r="Z46" s="1"/>
      <c r="AA46" s="1"/>
      <c r="AB46" s="1"/>
    </row>
    <row r="47" spans="2:28">
      <c r="B47" s="17"/>
      <c r="C47" s="5"/>
      <c r="D47" s="5"/>
      <c r="E47" s="5"/>
      <c r="F47" s="5"/>
      <c r="G47" s="5"/>
      <c r="H47" s="5"/>
      <c r="I47" s="5"/>
      <c r="J47" s="5"/>
      <c r="K47" s="5"/>
      <c r="L47" s="5"/>
      <c r="M47" s="5"/>
      <c r="N47" s="5"/>
      <c r="O47" s="5"/>
      <c r="P47" s="5"/>
      <c r="Q47" s="5"/>
      <c r="R47" s="5"/>
      <c r="S47" s="5"/>
      <c r="T47" s="1"/>
      <c r="U47" s="1"/>
      <c r="V47" s="1"/>
      <c r="W47" s="1"/>
      <c r="X47" s="1"/>
      <c r="Y47" s="1"/>
      <c r="Z47" s="1"/>
      <c r="AA47" s="1"/>
      <c r="AB47" s="1"/>
    </row>
    <row r="48" spans="2:28">
      <c r="B48" s="17"/>
      <c r="C48" s="5"/>
      <c r="D48" s="4"/>
      <c r="E48" s="4"/>
      <c r="F48" s="4"/>
      <c r="G48" s="4"/>
      <c r="H48" s="4"/>
      <c r="I48" s="4"/>
      <c r="J48" s="4"/>
      <c r="K48" s="4"/>
      <c r="L48" s="4"/>
      <c r="M48" s="4"/>
      <c r="N48" s="4"/>
      <c r="O48" s="5"/>
      <c r="P48" s="5"/>
      <c r="Q48" s="5"/>
      <c r="R48" s="5"/>
      <c r="S48" s="5"/>
      <c r="T48" s="1"/>
      <c r="U48" s="1"/>
      <c r="V48" s="1"/>
      <c r="W48" s="1"/>
      <c r="X48" s="1"/>
      <c r="Y48" s="1"/>
      <c r="Z48" s="1"/>
      <c r="AA48" s="1"/>
      <c r="AB48" s="1"/>
    </row>
    <row r="49" spans="2:28">
      <c r="B49" s="17"/>
      <c r="C49" s="5"/>
      <c r="D49" s="4"/>
      <c r="E49" s="4"/>
      <c r="F49" s="4"/>
      <c r="G49" s="4"/>
      <c r="H49" s="4"/>
      <c r="I49" s="4"/>
      <c r="J49" s="4"/>
      <c r="K49" s="4"/>
      <c r="L49" s="4"/>
      <c r="M49" s="4"/>
      <c r="N49" s="4"/>
      <c r="O49" s="5"/>
      <c r="P49" s="5"/>
      <c r="Q49" s="5"/>
      <c r="R49" s="5"/>
      <c r="S49" s="5"/>
      <c r="T49" s="1"/>
      <c r="U49" s="1"/>
      <c r="V49" s="1"/>
      <c r="W49" s="1"/>
      <c r="X49" s="1"/>
      <c r="Y49" s="1"/>
      <c r="Z49" s="1"/>
      <c r="AA49" s="1"/>
      <c r="AB49" s="1"/>
    </row>
    <row r="50" spans="2:28">
      <c r="B50" s="17"/>
      <c r="C50" s="5"/>
      <c r="D50" s="4"/>
      <c r="E50" s="4"/>
      <c r="F50" s="4"/>
      <c r="G50" s="4"/>
      <c r="H50" s="4"/>
      <c r="I50" s="4"/>
      <c r="J50" s="4"/>
      <c r="K50" s="4"/>
      <c r="L50" s="4"/>
      <c r="M50" s="4"/>
      <c r="N50" s="4"/>
      <c r="O50" s="5"/>
      <c r="P50" s="5"/>
      <c r="Q50" s="5"/>
      <c r="R50" s="5"/>
      <c r="S50" s="5"/>
      <c r="T50" s="1"/>
      <c r="U50" s="1"/>
      <c r="V50" s="1"/>
      <c r="W50" s="1"/>
      <c r="X50" s="1"/>
      <c r="Y50" s="1"/>
      <c r="Z50" s="1"/>
      <c r="AA50" s="1"/>
      <c r="AB50" s="1"/>
    </row>
    <row r="51" spans="2:28">
      <c r="B51" s="17"/>
      <c r="C51" s="5"/>
      <c r="D51" s="4"/>
      <c r="E51" s="4"/>
      <c r="F51" s="4"/>
      <c r="G51" s="4"/>
      <c r="H51" s="4"/>
      <c r="I51" s="4"/>
      <c r="J51" s="4"/>
      <c r="K51" s="4"/>
      <c r="L51" s="4"/>
      <c r="M51" s="4"/>
      <c r="N51" s="4"/>
      <c r="O51" s="5"/>
      <c r="P51" s="5"/>
      <c r="Q51" s="5"/>
      <c r="R51" s="5"/>
      <c r="S51" s="5"/>
      <c r="T51" s="1"/>
      <c r="U51" s="1"/>
      <c r="V51" s="1"/>
      <c r="W51" s="1"/>
      <c r="X51" s="1"/>
      <c r="Y51" s="1"/>
      <c r="Z51" s="1"/>
      <c r="AA51" s="1"/>
      <c r="AB51" s="1"/>
    </row>
    <row r="52" spans="2:28">
      <c r="B52" s="17"/>
      <c r="C52" s="5"/>
      <c r="D52" s="4"/>
      <c r="E52" s="4"/>
      <c r="F52" s="4"/>
      <c r="G52" s="4"/>
      <c r="H52" s="4"/>
      <c r="I52" s="4"/>
      <c r="J52" s="4"/>
      <c r="K52" s="4"/>
      <c r="L52" s="4"/>
      <c r="M52" s="4"/>
      <c r="N52" s="4"/>
      <c r="O52" s="5"/>
      <c r="P52" s="5"/>
      <c r="Q52" s="5"/>
      <c r="R52" s="5"/>
      <c r="S52" s="5"/>
      <c r="T52" s="1"/>
      <c r="U52" s="1"/>
      <c r="V52" s="1"/>
      <c r="W52" s="1"/>
      <c r="X52" s="1"/>
      <c r="Y52" s="1"/>
      <c r="Z52" s="1"/>
      <c r="AA52" s="1"/>
      <c r="AB52" s="1"/>
    </row>
    <row r="53" spans="2:28">
      <c r="B53" s="17"/>
      <c r="C53" s="5"/>
      <c r="D53" s="4"/>
      <c r="E53" s="4"/>
      <c r="F53" s="4"/>
      <c r="G53" s="4"/>
      <c r="H53" s="4"/>
      <c r="I53" s="4"/>
      <c r="J53" s="4"/>
      <c r="K53" s="4"/>
      <c r="L53" s="4"/>
      <c r="M53" s="4"/>
      <c r="N53" s="4"/>
      <c r="O53" s="5"/>
      <c r="P53" s="5"/>
      <c r="Q53" s="5"/>
      <c r="R53" s="5"/>
      <c r="S53" s="5"/>
      <c r="T53" s="1"/>
      <c r="U53" s="1"/>
      <c r="V53" s="1"/>
      <c r="W53" s="1"/>
      <c r="X53" s="1"/>
      <c r="Y53" s="1"/>
      <c r="Z53" s="1"/>
      <c r="AA53" s="1"/>
      <c r="AB53" s="1"/>
    </row>
    <row r="54" spans="2:28">
      <c r="B54" s="17"/>
      <c r="C54" s="5"/>
      <c r="D54" s="4"/>
      <c r="E54" s="4"/>
      <c r="F54" s="4"/>
      <c r="G54" s="4"/>
      <c r="H54" s="4"/>
      <c r="I54" s="4"/>
      <c r="J54" s="4"/>
      <c r="K54" s="4"/>
      <c r="L54" s="4"/>
      <c r="M54" s="4"/>
      <c r="N54" s="4"/>
      <c r="O54" s="5"/>
      <c r="P54" s="5"/>
      <c r="Q54" s="5"/>
      <c r="R54" s="5"/>
      <c r="S54" s="5"/>
      <c r="T54" s="1"/>
      <c r="U54" s="1"/>
      <c r="V54" s="1"/>
      <c r="W54" s="1"/>
      <c r="X54" s="1"/>
      <c r="Y54" s="1"/>
      <c r="Z54" s="1"/>
      <c r="AA54" s="1"/>
      <c r="AB54" s="1"/>
    </row>
    <row r="55" spans="2:28">
      <c r="B55" s="17"/>
      <c r="C55" s="5"/>
      <c r="D55" s="4"/>
      <c r="E55" s="4"/>
      <c r="F55" s="4"/>
      <c r="G55" s="4"/>
      <c r="H55" s="4"/>
      <c r="I55" s="4"/>
      <c r="J55" s="4"/>
      <c r="K55" s="4"/>
      <c r="L55" s="4"/>
      <c r="M55" s="4"/>
      <c r="N55" s="4"/>
      <c r="O55" s="5"/>
      <c r="P55" s="5"/>
      <c r="Q55" s="5"/>
      <c r="R55" s="5"/>
      <c r="S55" s="5"/>
      <c r="T55" s="1"/>
      <c r="U55" s="1"/>
      <c r="V55" s="1"/>
      <c r="W55" s="1"/>
      <c r="X55" s="1"/>
      <c r="Y55" s="1"/>
      <c r="Z55" s="1"/>
      <c r="AA55" s="1"/>
      <c r="AB55" s="1"/>
    </row>
    <row r="56" spans="2:28">
      <c r="B56" s="17"/>
      <c r="C56" s="5"/>
      <c r="D56" s="4"/>
      <c r="E56" s="4"/>
      <c r="F56" s="4"/>
      <c r="G56" s="4"/>
      <c r="H56" s="4"/>
      <c r="I56" s="4"/>
      <c r="J56" s="4"/>
      <c r="K56" s="4"/>
      <c r="L56" s="4"/>
      <c r="M56" s="4"/>
      <c r="N56" s="4"/>
      <c r="O56" s="5"/>
      <c r="P56" s="5"/>
      <c r="Q56" s="5"/>
      <c r="R56" s="5"/>
      <c r="S56" s="5"/>
      <c r="T56" s="1"/>
      <c r="U56" s="1"/>
      <c r="V56" s="1"/>
      <c r="W56" s="1"/>
      <c r="X56" s="1"/>
      <c r="Y56" s="1"/>
      <c r="Z56" s="1"/>
      <c r="AA56" s="1"/>
      <c r="AB56" s="1"/>
    </row>
    <row r="57" spans="2:28">
      <c r="B57" s="17"/>
      <c r="C57" s="5"/>
      <c r="D57" s="4"/>
      <c r="E57" s="4"/>
      <c r="F57" s="4"/>
      <c r="G57" s="4"/>
      <c r="H57" s="4"/>
      <c r="I57" s="4"/>
      <c r="J57" s="4"/>
      <c r="K57" s="4"/>
      <c r="L57" s="4"/>
      <c r="M57" s="4"/>
      <c r="N57" s="4"/>
      <c r="O57" s="5"/>
      <c r="P57" s="5"/>
      <c r="Q57" s="5"/>
      <c r="R57" s="5"/>
      <c r="S57" s="5"/>
      <c r="T57" s="1"/>
      <c r="U57" s="1"/>
      <c r="V57" s="1"/>
      <c r="W57" s="1"/>
      <c r="X57" s="1"/>
      <c r="Y57" s="1"/>
      <c r="Z57" s="1"/>
      <c r="AA57" s="1"/>
      <c r="AB57" s="1"/>
    </row>
    <row r="58" spans="2:28">
      <c r="B58" s="17"/>
      <c r="C58" s="5"/>
      <c r="D58" s="5"/>
      <c r="E58" s="5"/>
      <c r="F58" s="5"/>
      <c r="G58" s="5"/>
      <c r="H58" s="5"/>
      <c r="I58" s="5"/>
      <c r="J58" s="5"/>
      <c r="K58" s="5"/>
      <c r="L58" s="5"/>
      <c r="M58" s="5"/>
      <c r="N58" s="5"/>
      <c r="O58" s="5"/>
      <c r="P58" s="5"/>
      <c r="Q58" s="5"/>
      <c r="R58" s="11"/>
      <c r="S58" s="11"/>
      <c r="T58" s="1"/>
      <c r="U58" s="1"/>
      <c r="V58" s="1"/>
      <c r="W58" s="1"/>
      <c r="X58" s="1"/>
      <c r="Y58" s="1"/>
      <c r="Z58" s="1"/>
      <c r="AA58" s="1"/>
      <c r="AB58" s="1"/>
    </row>
    <row r="59" spans="2:28">
      <c r="B59" s="17"/>
      <c r="C59" s="5"/>
      <c r="D59" s="5"/>
      <c r="E59" s="5"/>
      <c r="F59" s="5"/>
      <c r="G59" s="5"/>
      <c r="H59" s="5"/>
      <c r="I59" s="5"/>
      <c r="J59" s="5"/>
      <c r="K59" s="5"/>
      <c r="L59" s="5"/>
      <c r="M59" s="5"/>
      <c r="N59" s="5"/>
      <c r="O59" s="5"/>
      <c r="P59" s="5"/>
      <c r="Q59" s="5"/>
      <c r="R59" s="9"/>
      <c r="S59" s="9"/>
      <c r="T59" s="1"/>
      <c r="U59" s="1"/>
      <c r="V59" s="1"/>
      <c r="W59" s="1"/>
      <c r="X59" s="1"/>
      <c r="Y59" s="1"/>
      <c r="Z59" s="1"/>
      <c r="AA59" s="1"/>
      <c r="AB59" s="1"/>
    </row>
    <row r="60" spans="2:28">
      <c r="B60" s="17"/>
      <c r="C60" s="5"/>
      <c r="D60" s="8"/>
      <c r="E60" s="8"/>
      <c r="F60" s="8"/>
      <c r="G60" s="8"/>
      <c r="H60" s="8"/>
      <c r="I60" s="8"/>
      <c r="J60" s="8"/>
      <c r="K60" s="8"/>
      <c r="L60" s="8"/>
      <c r="M60" s="8"/>
      <c r="N60" s="8"/>
      <c r="O60" s="11"/>
      <c r="P60" s="11"/>
      <c r="Q60" s="11"/>
      <c r="R60" s="9"/>
      <c r="S60" s="9"/>
      <c r="T60" s="1"/>
      <c r="U60" s="1"/>
      <c r="V60" s="1"/>
      <c r="W60" s="1"/>
      <c r="X60" s="1"/>
      <c r="Y60" s="1"/>
      <c r="Z60" s="1"/>
      <c r="AA60" s="1"/>
      <c r="AB60" s="1"/>
    </row>
    <row r="61" spans="2:28">
      <c r="B61" s="17"/>
      <c r="C61" s="5"/>
      <c r="D61" s="9"/>
      <c r="E61" s="9"/>
      <c r="F61" s="9"/>
      <c r="G61" s="9"/>
      <c r="H61" s="9"/>
      <c r="I61" s="9"/>
      <c r="J61" s="9"/>
      <c r="K61" s="9"/>
      <c r="L61" s="9"/>
      <c r="M61" s="9"/>
      <c r="N61" s="9"/>
      <c r="O61" s="9"/>
      <c r="P61" s="9"/>
      <c r="Q61" s="9"/>
      <c r="R61" s="9"/>
      <c r="S61" s="9"/>
      <c r="T61" s="1"/>
      <c r="U61" s="1"/>
      <c r="V61" s="1"/>
      <c r="W61" s="1"/>
      <c r="X61" s="1"/>
      <c r="Y61" s="1"/>
      <c r="Z61" s="1"/>
      <c r="AA61" s="1"/>
      <c r="AB61" s="1"/>
    </row>
    <row r="62" spans="2:28">
      <c r="B62" s="17"/>
      <c r="C62" s="5"/>
      <c r="D62" s="9"/>
      <c r="E62" s="9"/>
      <c r="F62" s="9"/>
      <c r="G62" s="9"/>
      <c r="H62" s="9"/>
      <c r="I62" s="9"/>
      <c r="J62" s="9"/>
      <c r="K62" s="9"/>
      <c r="L62" s="9"/>
      <c r="M62" s="9"/>
      <c r="N62" s="9"/>
      <c r="O62" s="9"/>
      <c r="P62" s="9"/>
      <c r="Q62" s="9"/>
      <c r="R62" s="9"/>
      <c r="S62" s="9"/>
      <c r="T62" s="1"/>
      <c r="U62" s="1"/>
      <c r="V62" s="1"/>
      <c r="W62" s="1"/>
      <c r="X62" s="1"/>
      <c r="Y62" s="1"/>
      <c r="Z62" s="1"/>
      <c r="AA62" s="1"/>
      <c r="AB62" s="1"/>
    </row>
    <row r="63" spans="2:28">
      <c r="B63" s="17"/>
      <c r="C63" s="5"/>
      <c r="D63" s="9"/>
      <c r="E63" s="9"/>
      <c r="F63" s="9"/>
      <c r="G63" s="9"/>
      <c r="H63" s="9"/>
      <c r="I63" s="9"/>
      <c r="J63" s="9"/>
      <c r="K63" s="9"/>
      <c r="L63" s="9"/>
      <c r="M63" s="9"/>
      <c r="N63" s="9"/>
      <c r="O63" s="9"/>
      <c r="P63" s="9"/>
      <c r="Q63" s="9"/>
      <c r="R63" s="9"/>
      <c r="S63" s="9"/>
      <c r="T63" s="1"/>
      <c r="U63" s="1"/>
      <c r="V63" s="1"/>
      <c r="W63" s="1"/>
      <c r="X63" s="1"/>
      <c r="Y63" s="1"/>
      <c r="Z63" s="1"/>
      <c r="AA63" s="1"/>
      <c r="AB63" s="1"/>
    </row>
    <row r="64" spans="2:28">
      <c r="B64" s="17"/>
      <c r="C64" s="5"/>
      <c r="D64" s="5"/>
      <c r="E64" s="5"/>
      <c r="F64" s="5"/>
      <c r="G64" s="5"/>
      <c r="H64" s="5"/>
      <c r="I64" s="5"/>
      <c r="J64" s="5"/>
      <c r="K64" s="5"/>
      <c r="L64" s="5"/>
      <c r="M64" s="5"/>
      <c r="N64" s="5"/>
      <c r="O64" s="9"/>
      <c r="P64" s="9"/>
      <c r="Q64" s="9"/>
      <c r="R64" s="9"/>
      <c r="S64" s="9"/>
      <c r="T64" s="1"/>
      <c r="U64" s="1"/>
      <c r="V64" s="1"/>
      <c r="W64" s="1"/>
      <c r="X64" s="1"/>
      <c r="Y64" s="1"/>
      <c r="Z64" s="1"/>
      <c r="AA64" s="1"/>
      <c r="AB64" s="1"/>
    </row>
    <row r="65" spans="2:28">
      <c r="B65" s="17"/>
      <c r="C65" s="5"/>
      <c r="D65" s="4"/>
      <c r="E65" s="4"/>
      <c r="F65" s="4"/>
      <c r="G65" s="4"/>
      <c r="H65" s="4"/>
      <c r="I65" s="4"/>
      <c r="J65" s="4"/>
      <c r="K65" s="4"/>
      <c r="L65" s="4"/>
      <c r="M65" s="4"/>
      <c r="N65" s="4"/>
      <c r="O65" s="9"/>
      <c r="P65" s="9"/>
      <c r="Q65" s="9"/>
      <c r="R65" s="9"/>
      <c r="S65" s="9"/>
      <c r="T65" s="1"/>
      <c r="U65" s="1"/>
      <c r="V65" s="1"/>
      <c r="W65" s="1"/>
      <c r="X65" s="1"/>
      <c r="Y65" s="1"/>
      <c r="Z65" s="1"/>
      <c r="AA65" s="1"/>
      <c r="AB65" s="1"/>
    </row>
    <row r="66" spans="2:28">
      <c r="B66" s="17"/>
      <c r="C66" s="5"/>
      <c r="D66" s="5"/>
      <c r="E66" s="5"/>
      <c r="F66" s="5"/>
      <c r="G66" s="5"/>
      <c r="H66" s="5"/>
      <c r="I66" s="5"/>
      <c r="J66" s="5"/>
      <c r="K66" s="5"/>
      <c r="L66" s="5"/>
      <c r="M66" s="5"/>
      <c r="N66" s="5"/>
      <c r="O66" s="9"/>
      <c r="P66" s="9"/>
      <c r="Q66" s="9"/>
      <c r="R66" s="9"/>
      <c r="S66" s="9"/>
      <c r="T66" s="1"/>
      <c r="U66" s="1"/>
      <c r="V66" s="1"/>
      <c r="W66" s="1"/>
      <c r="X66" s="1"/>
      <c r="Y66" s="1"/>
      <c r="Z66" s="1"/>
      <c r="AA66" s="1"/>
      <c r="AB66" s="1"/>
    </row>
    <row r="67" spans="2:28">
      <c r="B67" s="17"/>
      <c r="C67" s="5"/>
      <c r="D67" s="11"/>
      <c r="E67" s="11"/>
      <c r="F67" s="11"/>
      <c r="G67" s="11"/>
      <c r="H67" s="11"/>
      <c r="I67" s="11"/>
      <c r="J67" s="11"/>
      <c r="K67" s="11"/>
      <c r="L67" s="11"/>
      <c r="M67" s="11"/>
      <c r="N67" s="11"/>
      <c r="O67" s="5"/>
      <c r="P67" s="5"/>
      <c r="Q67" s="5"/>
      <c r="R67" s="9"/>
      <c r="S67" s="9"/>
      <c r="T67" s="1"/>
      <c r="U67" s="1"/>
      <c r="V67" s="1"/>
      <c r="W67" s="1"/>
      <c r="X67" s="1"/>
      <c r="Y67" s="1"/>
      <c r="Z67" s="1"/>
      <c r="AA67" s="1"/>
      <c r="AB67" s="1"/>
    </row>
    <row r="68" spans="2:28">
      <c r="B68" s="17"/>
      <c r="C68" s="5"/>
      <c r="D68" s="9"/>
      <c r="E68" s="9"/>
      <c r="F68" s="9"/>
      <c r="G68" s="9"/>
      <c r="H68" s="9"/>
      <c r="I68" s="9"/>
      <c r="J68" s="9"/>
      <c r="K68" s="9"/>
      <c r="L68" s="9"/>
      <c r="M68" s="9"/>
      <c r="N68" s="9"/>
      <c r="O68" s="5"/>
      <c r="P68" s="5"/>
      <c r="Q68" s="5"/>
      <c r="R68" s="9"/>
      <c r="S68" s="9"/>
      <c r="T68" s="1"/>
      <c r="U68" s="1"/>
      <c r="V68" s="1"/>
      <c r="W68" s="1"/>
      <c r="X68" s="1"/>
      <c r="Y68" s="1"/>
      <c r="Z68" s="1"/>
      <c r="AA68" s="1"/>
      <c r="AB68" s="1"/>
    </row>
    <row r="69" spans="2:28">
      <c r="B69" s="17"/>
      <c r="C69" s="5"/>
      <c r="D69" s="5"/>
      <c r="E69" s="5"/>
      <c r="F69" s="5"/>
      <c r="G69" s="5"/>
      <c r="H69" s="5"/>
      <c r="I69" s="5"/>
      <c r="J69" s="5"/>
      <c r="K69" s="5"/>
      <c r="L69" s="5"/>
      <c r="M69" s="5"/>
      <c r="N69" s="5"/>
      <c r="O69" s="9"/>
      <c r="P69" s="9"/>
      <c r="Q69" s="9"/>
      <c r="R69" s="9"/>
      <c r="S69" s="9"/>
      <c r="T69" s="1"/>
      <c r="U69" s="1"/>
      <c r="V69" s="1"/>
      <c r="W69" s="1"/>
      <c r="X69" s="1"/>
      <c r="Y69" s="1"/>
      <c r="Z69" s="1"/>
      <c r="AA69" s="1"/>
      <c r="AB69" s="1"/>
    </row>
    <row r="70" spans="2:28">
      <c r="B70" s="17"/>
      <c r="C70" s="5"/>
      <c r="D70" s="5"/>
      <c r="E70" s="5"/>
      <c r="F70" s="5"/>
      <c r="G70" s="5"/>
      <c r="H70" s="5"/>
      <c r="I70" s="5"/>
      <c r="J70" s="5"/>
      <c r="K70" s="5"/>
      <c r="L70" s="5"/>
      <c r="M70" s="5"/>
      <c r="N70" s="5"/>
      <c r="O70" s="5"/>
      <c r="P70" s="5"/>
      <c r="Q70" s="5"/>
      <c r="R70" s="5"/>
      <c r="S70" s="5"/>
      <c r="T70" s="1"/>
      <c r="U70" s="1"/>
      <c r="V70" s="1"/>
      <c r="W70" s="1"/>
      <c r="X70" s="1"/>
      <c r="Y70" s="1"/>
      <c r="Z70" s="1"/>
      <c r="AA70" s="1"/>
      <c r="AB70" s="1"/>
    </row>
    <row r="71" spans="2:28">
      <c r="B71" s="2"/>
      <c r="C71" s="2"/>
      <c r="D71" s="2"/>
      <c r="E71" s="2"/>
      <c r="F71" s="2"/>
      <c r="G71" s="2"/>
      <c r="H71" s="2"/>
      <c r="I71" s="2"/>
      <c r="J71" s="2"/>
      <c r="K71" s="2"/>
      <c r="L71" s="2"/>
      <c r="M71" s="2"/>
      <c r="N71" s="2"/>
      <c r="O71" s="2"/>
      <c r="P71" s="2"/>
      <c r="Q71" s="2"/>
      <c r="R71" s="4"/>
      <c r="S71" s="4"/>
    </row>
  </sheetData>
  <sheetProtection selectLockedCells="1" selectUnlockedCells="1"/>
  <mergeCells count="16">
    <mergeCell ref="B2:AH2"/>
    <mergeCell ref="Q8:Q11"/>
    <mergeCell ref="B41:E41"/>
    <mergeCell ref="Q12:Q14"/>
    <mergeCell ref="F3:H3"/>
    <mergeCell ref="Q3:S3"/>
    <mergeCell ref="Q4:Q7"/>
    <mergeCell ref="I3:K3"/>
    <mergeCell ref="B19:E19"/>
    <mergeCell ref="B21:B26"/>
    <mergeCell ref="B27:B35"/>
    <mergeCell ref="B36:B40"/>
    <mergeCell ref="D20:E20"/>
    <mergeCell ref="Q15:Q16"/>
    <mergeCell ref="H19:N19"/>
    <mergeCell ref="P19:Y41"/>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231AE-8FAE-4960-A202-93A0244D52CC}">
  <sheetPr>
    <tabColor theme="9" tint="-0.249977111117893"/>
  </sheetPr>
  <dimension ref="A1:BO646"/>
  <sheetViews>
    <sheetView topLeftCell="G1" zoomScale="130" zoomScaleNormal="130" workbookViewId="0">
      <selection activeCell="G9" sqref="G9"/>
    </sheetView>
  </sheetViews>
  <sheetFormatPr defaultRowHeight="15"/>
  <cols>
    <col min="1" max="1" width="16.28515625" bestFit="1" customWidth="1"/>
    <col min="5" max="5" width="36" bestFit="1" customWidth="1"/>
    <col min="6" max="6" width="13.7109375" bestFit="1" customWidth="1"/>
    <col min="7" max="7" width="20" bestFit="1" customWidth="1"/>
    <col min="8" max="8" width="80.5703125" bestFit="1" customWidth="1"/>
    <col min="9" max="9" width="27.85546875" bestFit="1" customWidth="1"/>
    <col min="10" max="10" width="53" bestFit="1" customWidth="1"/>
    <col min="11" max="11" width="15.140625" bestFit="1" customWidth="1"/>
    <col min="12" max="12" width="25.85546875" bestFit="1" customWidth="1"/>
    <col min="13" max="13" width="31.28515625" bestFit="1" customWidth="1"/>
    <col min="14" max="14" width="21.28515625" bestFit="1" customWidth="1"/>
    <col min="15" max="15" width="21.28515625" customWidth="1"/>
    <col min="16" max="16" width="29.85546875" bestFit="1" customWidth="1"/>
    <col min="17" max="22" width="21.28515625" customWidth="1"/>
    <col min="23" max="23" width="25.28515625" bestFit="1" customWidth="1"/>
    <col min="24" max="24" width="27.85546875" bestFit="1" customWidth="1"/>
    <col min="25" max="25" width="14.85546875" bestFit="1" customWidth="1"/>
    <col min="26" max="26" width="26.85546875" bestFit="1" customWidth="1"/>
    <col min="27" max="27" width="13.85546875" bestFit="1" customWidth="1"/>
    <col min="28" max="28" width="20" bestFit="1" customWidth="1"/>
    <col min="29" max="29" width="12.85546875" bestFit="1" customWidth="1"/>
    <col min="30" max="30" width="11.28515625" customWidth="1"/>
    <col min="31" max="31" width="28.85546875" bestFit="1" customWidth="1"/>
    <col min="32" max="32" width="16.42578125" bestFit="1" customWidth="1"/>
    <col min="33" max="33" width="15.28515625" bestFit="1" customWidth="1"/>
    <col min="34" max="34" width="39.140625" bestFit="1" customWidth="1"/>
    <col min="35" max="35" width="15.28515625" bestFit="1" customWidth="1"/>
    <col min="36" max="36" width="6.7109375" bestFit="1" customWidth="1"/>
    <col min="37" max="37" width="16.42578125" bestFit="1" customWidth="1"/>
    <col min="38" max="38" width="5.140625" bestFit="1" customWidth="1"/>
    <col min="39" max="39" width="5.140625" customWidth="1"/>
    <col min="40" max="40" width="16.42578125" bestFit="1" customWidth="1"/>
    <col min="41" max="41" width="10.85546875" bestFit="1" customWidth="1"/>
    <col min="42" max="42" width="31" bestFit="1" customWidth="1"/>
    <col min="43" max="43" width="12.5703125" bestFit="1" customWidth="1"/>
    <col min="44" max="44" width="6.140625" customWidth="1"/>
    <col min="45" max="45" width="16.42578125" bestFit="1" customWidth="1"/>
    <col min="46" max="46" width="16.42578125" customWidth="1"/>
    <col min="47" max="47" width="29.85546875" bestFit="1" customWidth="1"/>
    <col min="48" max="49" width="5.140625" style="268" customWidth="1"/>
    <col min="50" max="50" width="12" bestFit="1" customWidth="1"/>
    <col min="51" max="51" width="25.28515625" bestFit="1" customWidth="1"/>
    <col min="52" max="52" width="30" bestFit="1" customWidth="1"/>
    <col min="53" max="53" width="13.7109375" bestFit="1" customWidth="1"/>
    <col min="54" max="54" width="13.7109375" customWidth="1"/>
    <col min="55" max="55" width="10.7109375" bestFit="1" customWidth="1"/>
    <col min="57" max="57" width="12.5703125" bestFit="1" customWidth="1"/>
    <col min="58" max="58" width="11.7109375" bestFit="1" customWidth="1"/>
    <col min="59" max="59" width="29.85546875" bestFit="1" customWidth="1"/>
    <col min="64" max="64" width="11.7109375" bestFit="1" customWidth="1"/>
    <col min="67" max="67" width="11.7109375" bestFit="1" customWidth="1"/>
  </cols>
  <sheetData>
    <row r="1" spans="2:67">
      <c r="F1">
        <v>0.36</v>
      </c>
      <c r="H1" s="304" t="s">
        <v>795</v>
      </c>
      <c r="AA1" s="1230" t="s">
        <v>796</v>
      </c>
      <c r="AB1" s="1231"/>
      <c r="AC1" s="1232"/>
      <c r="AE1" s="995" t="s">
        <v>797</v>
      </c>
      <c r="AF1" s="995"/>
      <c r="AG1" s="995"/>
    </row>
    <row r="2" spans="2:67">
      <c r="E2" t="s">
        <v>798</v>
      </c>
      <c r="F2">
        <f>F1*((2*(C9*C7))/C6)</f>
        <v>759.52941176470597</v>
      </c>
      <c r="K2" s="268" t="s">
        <v>799</v>
      </c>
      <c r="L2" s="268" t="s">
        <v>189</v>
      </c>
      <c r="M2" s="268" t="s">
        <v>800</v>
      </c>
      <c r="X2" s="268" t="s">
        <v>195</v>
      </c>
      <c r="Y2" s="268" t="s">
        <v>763</v>
      </c>
      <c r="AF2" s="995" t="s">
        <v>801</v>
      </c>
      <c r="AG2" s="995"/>
      <c r="AH2" s="995" t="s">
        <v>802</v>
      </c>
      <c r="AI2" s="995"/>
      <c r="BK2" s="1221" t="s">
        <v>760</v>
      </c>
      <c r="BL2" s="1221"/>
      <c r="BN2" s="1221" t="s">
        <v>803</v>
      </c>
      <c r="BO2" s="1221"/>
    </row>
    <row r="3" spans="2:67">
      <c r="E3" t="s">
        <v>804</v>
      </c>
      <c r="H3" s="263" t="s">
        <v>805</v>
      </c>
      <c r="I3" s="263" t="s">
        <v>806</v>
      </c>
      <c r="J3" s="263"/>
      <c r="K3" s="263">
        <v>12.75</v>
      </c>
      <c r="L3" s="263">
        <v>12.75</v>
      </c>
      <c r="M3" s="263">
        <v>12.75</v>
      </c>
      <c r="W3" t="s">
        <v>807</v>
      </c>
      <c r="X3" s="268">
        <f ca="1">K27</f>
        <v>11</v>
      </c>
      <c r="Y3" s="268">
        <f>L27</f>
        <v>11</v>
      </c>
      <c r="AE3" t="s">
        <v>808</v>
      </c>
      <c r="AF3" s="868">
        <f ca="1">AZ12</f>
        <v>4.0433041611624837E-3</v>
      </c>
      <c r="AG3" s="868">
        <f>BA12</f>
        <v>2.5697452229299367E-3</v>
      </c>
      <c r="AY3" s="1283" t="s">
        <v>809</v>
      </c>
      <c r="AZ3" s="1381"/>
      <c r="BA3" s="1284"/>
      <c r="BB3" s="268"/>
      <c r="BK3" s="264" t="s">
        <v>810</v>
      </c>
      <c r="BL3" s="264" t="s">
        <v>811</v>
      </c>
      <c r="BN3" s="264" t="s">
        <v>810</v>
      </c>
      <c r="BO3" s="264" t="s">
        <v>811</v>
      </c>
    </row>
    <row r="4" spans="2:67">
      <c r="H4" s="825" t="s">
        <v>812</v>
      </c>
      <c r="I4" s="825" t="s">
        <v>813</v>
      </c>
      <c r="J4" s="825"/>
      <c r="K4" s="887">
        <f ca="1">F25</f>
        <v>0</v>
      </c>
      <c r="L4" s="825">
        <v>0.25</v>
      </c>
      <c r="M4" s="825">
        <v>0.375</v>
      </c>
      <c r="W4" t="s">
        <v>809</v>
      </c>
      <c r="X4" s="268">
        <f ca="1">K126</f>
        <v>33</v>
      </c>
      <c r="Y4" s="268">
        <f>L126</f>
        <v>26</v>
      </c>
      <c r="AA4" s="1221" t="s">
        <v>814</v>
      </c>
      <c r="AB4" s="1221"/>
      <c r="AC4" s="1221"/>
      <c r="AE4" t="s">
        <v>808</v>
      </c>
      <c r="AF4" s="883">
        <f ca="1">AZ21</f>
        <v>1.278506857705995E-3</v>
      </c>
      <c r="AG4" s="883">
        <f>BA21</f>
        <v>1.0243209208991456E-3</v>
      </c>
      <c r="AH4" s="884">
        <f ca="1">AB6</f>
        <v>1.2785068577059952E-3</v>
      </c>
      <c r="AI4" s="884">
        <f>AC6</f>
        <v>1.0243209208991456E-3</v>
      </c>
      <c r="AZ4" s="268" t="s">
        <v>799</v>
      </c>
      <c r="BA4" s="268" t="s">
        <v>189</v>
      </c>
      <c r="BB4" s="268"/>
      <c r="BE4" t="s">
        <v>800</v>
      </c>
      <c r="BK4" s="264">
        <f ca="1">X3</f>
        <v>11</v>
      </c>
      <c r="BL4" s="878">
        <f ca="1">AF3</f>
        <v>4.0433041611624837E-3</v>
      </c>
      <c r="BN4" s="264">
        <f>Y3</f>
        <v>11</v>
      </c>
      <c r="BO4" s="878">
        <f>AG3</f>
        <v>2.5697452229299367E-3</v>
      </c>
    </row>
    <row r="5" spans="2:67">
      <c r="E5" t="s">
        <v>815</v>
      </c>
      <c r="F5">
        <v>0.72</v>
      </c>
      <c r="H5" s="325" t="s">
        <v>816</v>
      </c>
      <c r="I5" s="325"/>
      <c r="J5" s="325"/>
      <c r="K5" s="827">
        <v>75</v>
      </c>
      <c r="L5" s="827">
        <v>75</v>
      </c>
      <c r="M5" s="827">
        <v>75</v>
      </c>
      <c r="N5" t="s">
        <v>49</v>
      </c>
      <c r="W5" t="s">
        <v>817</v>
      </c>
      <c r="X5" s="404">
        <f ca="1">K267</f>
        <v>11</v>
      </c>
      <c r="Y5" s="404">
        <f>L267</f>
        <v>11</v>
      </c>
      <c r="AA5" s="263"/>
      <c r="AB5" s="264" t="s">
        <v>195</v>
      </c>
      <c r="AC5" s="264" t="s">
        <v>763</v>
      </c>
      <c r="AE5" t="s">
        <v>808</v>
      </c>
      <c r="AF5" s="882">
        <f ca="1">AZ31</f>
        <v>2.5043081580882059E-3</v>
      </c>
      <c r="AG5" s="882">
        <f>BA31</f>
        <v>1.4837371890819209E-3</v>
      </c>
      <c r="AH5" s="884">
        <f ca="1">AB7</f>
        <v>1.7469625370920637E-3</v>
      </c>
      <c r="AI5" s="884">
        <f>AC7</f>
        <v>1.0608663475836428E-3</v>
      </c>
      <c r="AY5" s="325" t="s">
        <v>807</v>
      </c>
      <c r="AZ5" s="325">
        <f ca="1">X3</f>
        <v>11</v>
      </c>
      <c r="BA5" s="325">
        <f>Y3</f>
        <v>11</v>
      </c>
      <c r="BB5" s="325">
        <f>Z2</f>
        <v>0</v>
      </c>
      <c r="BC5" t="s">
        <v>810</v>
      </c>
      <c r="BE5">
        <v>18</v>
      </c>
      <c r="BF5" t="s">
        <v>810</v>
      </c>
      <c r="BK5" s="264">
        <f ca="1">X4</f>
        <v>33</v>
      </c>
      <c r="BL5" s="878">
        <f ca="1">AF4</f>
        <v>1.278506857705995E-3</v>
      </c>
      <c r="BN5" s="264">
        <f>Y4</f>
        <v>26</v>
      </c>
      <c r="BO5" s="878">
        <f>AG4</f>
        <v>1.0243209208991456E-3</v>
      </c>
    </row>
    <row r="6" spans="2:67">
      <c r="B6" t="s">
        <v>806</v>
      </c>
      <c r="C6">
        <v>12.75</v>
      </c>
      <c r="E6" t="s">
        <v>818</v>
      </c>
      <c r="F6">
        <f>F5*((2*(C9*C7))/C6)</f>
        <v>1519.0588235294119</v>
      </c>
      <c r="K6" s="657">
        <f>K5/100</f>
        <v>0.75</v>
      </c>
      <c r="L6" s="657">
        <f>L5/100</f>
        <v>0.75</v>
      </c>
      <c r="M6" s="657">
        <f>M5/100</f>
        <v>0.75</v>
      </c>
      <c r="AA6" s="263" t="s">
        <v>819</v>
      </c>
      <c r="AB6" s="264">
        <f ca="1">K111</f>
        <v>1.2785068577059952E-3</v>
      </c>
      <c r="AC6" s="264">
        <f>L111</f>
        <v>1.0243209208991456E-3</v>
      </c>
      <c r="AY6" t="s">
        <v>820</v>
      </c>
      <c r="AZ6" s="873">
        <f ca="1">K20</f>
        <v>6321.5000000000018</v>
      </c>
      <c r="BA6" s="873">
        <f>L20</f>
        <v>6321.5000000000018</v>
      </c>
      <c r="BB6" s="873">
        <f>M20</f>
        <v>9713.8424999999988</v>
      </c>
      <c r="BE6" s="873">
        <f>BA6</f>
        <v>6321.5000000000018</v>
      </c>
      <c r="BK6" s="264">
        <f ca="1">X5</f>
        <v>11</v>
      </c>
      <c r="BL6" s="878">
        <f ca="1">AF5</f>
        <v>2.5043081580882059E-3</v>
      </c>
      <c r="BN6" s="710">
        <f>Y5</f>
        <v>11</v>
      </c>
      <c r="BO6" s="878">
        <f>AG5</f>
        <v>1.4837371890819209E-3</v>
      </c>
    </row>
    <row r="7" spans="2:67">
      <c r="B7" t="s">
        <v>813</v>
      </c>
      <c r="C7">
        <v>0.25</v>
      </c>
      <c r="AA7" s="263" t="s">
        <v>821</v>
      </c>
      <c r="AB7" s="264">
        <f ca="1">K235</f>
        <v>1.7469625370920637E-3</v>
      </c>
      <c r="AC7" s="264">
        <f>L235</f>
        <v>1.0608663475836428E-3</v>
      </c>
      <c r="AF7" s="885">
        <v>1000000</v>
      </c>
    </row>
    <row r="8" spans="2:67">
      <c r="B8" t="s">
        <v>84</v>
      </c>
      <c r="C8">
        <v>6</v>
      </c>
      <c r="E8" t="s">
        <v>822</v>
      </c>
      <c r="F8">
        <f>C7*2</f>
        <v>0.5</v>
      </c>
      <c r="H8" s="325" t="s">
        <v>823</v>
      </c>
      <c r="I8" s="325" t="s">
        <v>824</v>
      </c>
      <c r="J8" s="325"/>
      <c r="K8" s="325">
        <v>53800</v>
      </c>
      <c r="L8" s="325">
        <v>53800</v>
      </c>
      <c r="M8" s="325">
        <v>55114</v>
      </c>
      <c r="AE8" t="s">
        <v>825</v>
      </c>
      <c r="AF8" s="868">
        <f ca="1">AF3*$AF$7</f>
        <v>4043.3041611624835</v>
      </c>
      <c r="AG8" s="868">
        <f>AG3*$AF$7</f>
        <v>2569.7452229299365</v>
      </c>
      <c r="AH8" s="868"/>
      <c r="AI8" s="868"/>
      <c r="AY8" t="s">
        <v>826</v>
      </c>
      <c r="AZ8" s="876">
        <f>1/K13</f>
        <v>1.3210039630118891E-7</v>
      </c>
      <c r="BA8" s="876">
        <f>1/L13</f>
        <v>9.0991810737033673E-8</v>
      </c>
      <c r="BB8" s="876">
        <f>1/M13</f>
        <v>9.0991810737033673E-8</v>
      </c>
      <c r="BE8" s="876">
        <f>1/L13</f>
        <v>9.0991810737033673E-8</v>
      </c>
    </row>
    <row r="9" spans="2:67" ht="30">
      <c r="B9" t="s">
        <v>44</v>
      </c>
      <c r="C9">
        <v>53800</v>
      </c>
      <c r="H9" s="317" t="s">
        <v>827</v>
      </c>
      <c r="I9" s="317" t="s">
        <v>828</v>
      </c>
      <c r="J9" s="826" t="s">
        <v>829</v>
      </c>
      <c r="K9" s="850">
        <v>61215.625</v>
      </c>
      <c r="L9" s="850">
        <v>56483</v>
      </c>
      <c r="M9" s="850">
        <v>56483</v>
      </c>
      <c r="AA9" s="1221" t="s">
        <v>810</v>
      </c>
      <c r="AB9" s="1221"/>
      <c r="AC9" s="1221"/>
      <c r="AE9" t="s">
        <v>825</v>
      </c>
      <c r="AF9" s="868">
        <f t="shared" ref="AF9:AG9" ca="1" si="0">AF4*$AF$7</f>
        <v>1278.5068577059949</v>
      </c>
      <c r="AG9" s="868">
        <f t="shared" si="0"/>
        <v>1024.3209208991457</v>
      </c>
      <c r="AH9" s="868">
        <f t="shared" ref="AH9:AI9" ca="1" si="1">AH4*$AF$7</f>
        <v>1278.5068577059951</v>
      </c>
      <c r="AI9" s="868">
        <f t="shared" si="1"/>
        <v>1024.3209208991457</v>
      </c>
      <c r="BD9" t="s">
        <v>830</v>
      </c>
      <c r="BE9">
        <f>BE5*L12</f>
        <v>0.39599999999999996</v>
      </c>
      <c r="BF9">
        <f>(BE5-0.9999999)*L12</f>
        <v>0.37400000220000001</v>
      </c>
      <c r="BK9" s="1221" t="s">
        <v>760</v>
      </c>
      <c r="BL9" s="1221"/>
      <c r="BN9" s="1221" t="s">
        <v>803</v>
      </c>
      <c r="BO9" s="1221"/>
    </row>
    <row r="10" spans="2:67">
      <c r="B10" t="s">
        <v>195</v>
      </c>
      <c r="C10">
        <f>0.85*C6*C8</f>
        <v>65.025000000000006</v>
      </c>
      <c r="E10" t="s">
        <v>831</v>
      </c>
      <c r="F10">
        <f>F6*C6</f>
        <v>19368.000000000004</v>
      </c>
      <c r="H10" s="263" t="s">
        <v>832</v>
      </c>
      <c r="I10" s="263" t="s">
        <v>833</v>
      </c>
      <c r="J10" s="263" t="s">
        <v>834</v>
      </c>
      <c r="K10" s="263">
        <v>0.5</v>
      </c>
      <c r="L10" s="263">
        <v>0.5</v>
      </c>
      <c r="M10" s="263">
        <v>0.5</v>
      </c>
      <c r="AA10" s="263"/>
      <c r="AB10" s="264" t="s">
        <v>195</v>
      </c>
      <c r="AC10" s="264" t="s">
        <v>763</v>
      </c>
      <c r="AE10" t="s">
        <v>825</v>
      </c>
      <c r="AF10" s="868">
        <f t="shared" ref="AF10:AG10" ca="1" si="2">AF5*$AF$7</f>
        <v>2504.3081580882058</v>
      </c>
      <c r="AG10" s="868">
        <f t="shared" si="2"/>
        <v>1483.7371890819209</v>
      </c>
      <c r="AH10" s="868">
        <f t="shared" ref="AH10:AI10" ca="1" si="3">AH5*$AF$7</f>
        <v>1746.9625370920637</v>
      </c>
      <c r="AI10" s="868">
        <f t="shared" si="3"/>
        <v>1060.8663475836429</v>
      </c>
      <c r="AY10" t="s">
        <v>835</v>
      </c>
      <c r="AZ10" s="873">
        <f ca="1">1/K23</f>
        <v>4.8418591315352355</v>
      </c>
      <c r="BA10" s="873">
        <f>1/L23</f>
        <v>4.4675314403227073</v>
      </c>
      <c r="BB10" s="873">
        <f>1/M23</f>
        <v>2.907345882950028</v>
      </c>
      <c r="BE10" s="873">
        <f>1/BE9</f>
        <v>2.5252525252525255</v>
      </c>
      <c r="BF10" s="873">
        <f>1/BF9</f>
        <v>2.6737967757156338</v>
      </c>
      <c r="BK10" s="264" t="s">
        <v>810</v>
      </c>
      <c r="BL10" s="264" t="s">
        <v>811</v>
      </c>
      <c r="BN10" s="264" t="s">
        <v>810</v>
      </c>
      <c r="BO10" s="264" t="s">
        <v>811</v>
      </c>
    </row>
    <row r="11" spans="2:67">
      <c r="B11" t="s">
        <v>836</v>
      </c>
      <c r="C11">
        <f>C8*C7</f>
        <v>1.5</v>
      </c>
      <c r="H11" s="263" t="s">
        <v>103</v>
      </c>
      <c r="I11" s="263"/>
      <c r="J11" s="263"/>
      <c r="K11" s="263">
        <v>0.72</v>
      </c>
      <c r="L11" s="263">
        <v>0.72</v>
      </c>
      <c r="M11" s="263">
        <v>0.72</v>
      </c>
      <c r="AA11" s="263" t="s">
        <v>819</v>
      </c>
      <c r="AB11" s="264">
        <f ca="1">K126</f>
        <v>33</v>
      </c>
      <c r="AC11" s="264">
        <f>L126</f>
        <v>26</v>
      </c>
      <c r="BK11" s="264">
        <f ca="1">BK6</f>
        <v>11</v>
      </c>
      <c r="BL11" s="878">
        <f ca="1">BL6</f>
        <v>2.5043081580882059E-3</v>
      </c>
      <c r="BN11" s="264">
        <f>BN4</f>
        <v>11</v>
      </c>
      <c r="BO11" s="878">
        <f>BO4</f>
        <v>2.5697452229299367E-3</v>
      </c>
    </row>
    <row r="12" spans="2:67">
      <c r="B12" t="s">
        <v>837</v>
      </c>
      <c r="C12">
        <f>0.75*C7</f>
        <v>0.1875</v>
      </c>
      <c r="E12" t="s">
        <v>838</v>
      </c>
      <c r="F12">
        <f>F10/F8</f>
        <v>38736.000000000007</v>
      </c>
      <c r="H12" s="827" t="s">
        <v>839</v>
      </c>
      <c r="I12" s="827"/>
      <c r="J12" s="827"/>
      <c r="K12" s="860">
        <v>0.02</v>
      </c>
      <c r="L12" s="860">
        <v>2.1999999999999999E-2</v>
      </c>
      <c r="M12" s="860">
        <v>2.1999999999999999E-2</v>
      </c>
      <c r="AA12" s="263" t="s">
        <v>840</v>
      </c>
      <c r="AB12" s="710">
        <f ca="1">K267</f>
        <v>11</v>
      </c>
      <c r="AC12" s="710">
        <f>L267</f>
        <v>11</v>
      </c>
      <c r="AY12" t="s">
        <v>811</v>
      </c>
      <c r="AZ12" s="872">
        <f ca="1">AZ8*AZ10*AZ6</f>
        <v>4.0433041611624837E-3</v>
      </c>
      <c r="BA12" s="872">
        <f>BA8*BA10*BA6</f>
        <v>2.5697452229299367E-3</v>
      </c>
      <c r="BB12" s="872">
        <f>BB8*BB10*BB6</f>
        <v>2.5697452229299371E-3</v>
      </c>
      <c r="BC12" s="886">
        <f>BB12*1000000</f>
        <v>2569.745222929937</v>
      </c>
      <c r="BE12" s="872">
        <f>BE8*BE10*BE6</f>
        <v>1.4525372009448448E-3</v>
      </c>
      <c r="BF12" s="872">
        <f>BE8*BF10*BE6</f>
        <v>1.5379805566593616E-3</v>
      </c>
      <c r="BK12" s="264">
        <f ca="1">BK4</f>
        <v>11</v>
      </c>
      <c r="BL12" s="878">
        <f ca="1">BL4</f>
        <v>4.0433041611624837E-3</v>
      </c>
      <c r="BN12" s="264">
        <f>BE5</f>
        <v>18</v>
      </c>
      <c r="BO12" s="878">
        <f>BE12</f>
        <v>1.4525372009448448E-3</v>
      </c>
    </row>
    <row r="13" spans="2:67">
      <c r="B13" t="s">
        <v>841</v>
      </c>
      <c r="C13">
        <f>POWER(C8,2)</f>
        <v>36</v>
      </c>
      <c r="H13" s="325" t="s">
        <v>119</v>
      </c>
      <c r="I13" s="325" t="s">
        <v>842</v>
      </c>
      <c r="J13" s="325"/>
      <c r="K13" s="861">
        <v>7570000</v>
      </c>
      <c r="L13" s="861">
        <v>10990000</v>
      </c>
      <c r="M13" s="861">
        <v>10990000</v>
      </c>
      <c r="AZ13" s="268" t="s">
        <v>799</v>
      </c>
      <c r="BA13" s="268" t="s">
        <v>189</v>
      </c>
      <c r="BB13" s="268" t="s">
        <v>189</v>
      </c>
      <c r="BK13" s="264">
        <f ca="1">BK5</f>
        <v>33</v>
      </c>
      <c r="BL13" s="878">
        <f ca="1">BL5</f>
        <v>1.278506857705995E-3</v>
      </c>
      <c r="BN13" s="710">
        <f>BE5</f>
        <v>18</v>
      </c>
      <c r="BO13" s="878">
        <f>BF12</f>
        <v>1.5379805566593616E-3</v>
      </c>
    </row>
    <row r="14" spans="2:67">
      <c r="E14" t="s">
        <v>804</v>
      </c>
      <c r="F14" s="451">
        <f ca="1">C40</f>
        <v>27874.830782737641</v>
      </c>
      <c r="AB14">
        <f ca="1">AB6*AF7</f>
        <v>1278.5068577059951</v>
      </c>
      <c r="AY14" s="325" t="s">
        <v>809</v>
      </c>
      <c r="AZ14" s="325">
        <f ca="1">X4</f>
        <v>33</v>
      </c>
      <c r="BA14" s="325">
        <f>Y4</f>
        <v>26</v>
      </c>
      <c r="BB14" s="325">
        <f>Z4</f>
        <v>0</v>
      </c>
      <c r="BC14" t="s">
        <v>810</v>
      </c>
      <c r="BN14" s="710">
        <f>BN6</f>
        <v>11</v>
      </c>
      <c r="BO14" s="878">
        <f>BO6</f>
        <v>1.4837371890819209E-3</v>
      </c>
    </row>
    <row r="15" spans="2:67">
      <c r="B15" t="s">
        <v>843</v>
      </c>
      <c r="C15">
        <f ca="1">C13/(K3*K4)</f>
        <v>11.294117647058824</v>
      </c>
      <c r="H15" s="1283" t="s">
        <v>844</v>
      </c>
      <c r="I15" s="1381"/>
      <c r="J15" s="1381"/>
      <c r="K15" s="1381"/>
      <c r="L15" s="1381"/>
      <c r="M15" s="1381"/>
      <c r="N15" s="1381"/>
      <c r="O15" s="1381"/>
      <c r="P15" s="1381"/>
      <c r="Q15" s="1381"/>
      <c r="R15" s="1381"/>
      <c r="S15" s="1381"/>
      <c r="T15" s="1381"/>
      <c r="U15" s="1381"/>
      <c r="V15" s="1381"/>
      <c r="W15" s="1381"/>
      <c r="X15" s="1381"/>
      <c r="Y15" s="1381"/>
      <c r="Z15" s="1284"/>
      <c r="AB15">
        <f ca="1">AB7*AF7</f>
        <v>1746.9625370920637</v>
      </c>
      <c r="AY15" t="s">
        <v>820</v>
      </c>
      <c r="AZ15" s="873">
        <f ca="1">K116</f>
        <v>6321.5000000000018</v>
      </c>
      <c r="BA15" s="873">
        <f>L116</f>
        <v>6321.5000000000018</v>
      </c>
      <c r="BB15" s="873">
        <f>M116</f>
        <v>9713.8424999999988</v>
      </c>
      <c r="BN15" s="264">
        <f>BN5</f>
        <v>26</v>
      </c>
      <c r="BO15" s="878">
        <f>BO5</f>
        <v>1.0243209208991456E-3</v>
      </c>
    </row>
    <row r="16" spans="2:67">
      <c r="E16" t="s">
        <v>845</v>
      </c>
      <c r="F16">
        <f ca="1">C40*F12</f>
        <v>1079759445.2001255</v>
      </c>
      <c r="H16" s="845" t="s">
        <v>846</v>
      </c>
      <c r="I16" s="317" t="s">
        <v>847</v>
      </c>
      <c r="J16" s="317"/>
      <c r="K16" s="846">
        <f ca="1">K4-(K4*K6)</f>
        <v>6.25E-2</v>
      </c>
      <c r="L16" s="846">
        <f>L4-(L4*L6)</f>
        <v>6.25E-2</v>
      </c>
      <c r="M16" s="846">
        <f>M4-(M4*M6)</f>
        <v>9.375E-2</v>
      </c>
      <c r="Z16" s="497"/>
    </row>
    <row r="17" spans="2:55">
      <c r="B17" t="s">
        <v>848</v>
      </c>
      <c r="C17">
        <f>1.1*C9</f>
        <v>59180.000000000007</v>
      </c>
      <c r="H17" s="836" t="s">
        <v>849</v>
      </c>
      <c r="I17" s="263" t="s">
        <v>850</v>
      </c>
      <c r="J17" s="263"/>
      <c r="K17" s="837">
        <f ca="1">K11*((2*(K8*K4))/K3)</f>
        <v>1519.0588235294119</v>
      </c>
      <c r="L17" s="837">
        <f>L11*((2*(L8*L4))/L3)</f>
        <v>1519.0588235294119</v>
      </c>
      <c r="M17" s="837">
        <f>M11*((2*(M8*M4))/M3)</f>
        <v>2334.2399999999998</v>
      </c>
      <c r="Z17" s="497"/>
      <c r="AY17" t="s">
        <v>826</v>
      </c>
      <c r="AZ17" s="877">
        <f>1/K13</f>
        <v>1.3210039630118891E-7</v>
      </c>
      <c r="BA17" s="877">
        <f>1/L13</f>
        <v>9.0991810737033673E-8</v>
      </c>
      <c r="BB17" s="877">
        <f>1/M13</f>
        <v>9.0991810737033673E-8</v>
      </c>
    </row>
    <row r="18" spans="2:55">
      <c r="E18" t="s">
        <v>851</v>
      </c>
      <c r="F18">
        <f ca="1">F14*F6</f>
        <v>42343507.654906876</v>
      </c>
      <c r="H18" s="836" t="s">
        <v>852</v>
      </c>
      <c r="I18" s="263"/>
      <c r="J18" s="263"/>
      <c r="K18" s="837">
        <f ca="1">(K17*K3)/2</f>
        <v>9684.0000000000018</v>
      </c>
      <c r="L18" s="837">
        <f>(L17*L3)/2</f>
        <v>9684.0000000000018</v>
      </c>
      <c r="M18" s="837">
        <f>(M17*M3)/2</f>
        <v>14880.779999999999</v>
      </c>
      <c r="Z18" s="497"/>
    </row>
    <row r="19" spans="2:55">
      <c r="B19" t="s">
        <v>853</v>
      </c>
      <c r="C19">
        <f ca="1">POWER(C15,2)</f>
        <v>127.55709342560556</v>
      </c>
      <c r="H19" s="838" t="s">
        <v>854</v>
      </c>
      <c r="I19" s="825"/>
      <c r="J19" s="825"/>
      <c r="K19" s="839">
        <f ca="1">K16*K8</f>
        <v>3362.5</v>
      </c>
      <c r="L19" s="839">
        <f>L16*L8</f>
        <v>3362.5</v>
      </c>
      <c r="M19" s="839">
        <f>M16*M8</f>
        <v>5166.9375</v>
      </c>
      <c r="Z19" s="497"/>
      <c r="AY19" t="s">
        <v>835</v>
      </c>
      <c r="AZ19" s="873">
        <f ca="1">1/K122</f>
        <v>1.5310127205306303</v>
      </c>
      <c r="BA19" s="873">
        <f>1/L122</f>
        <v>1.7807936282024215</v>
      </c>
      <c r="BB19" s="873">
        <f>1/M122</f>
        <v>1.158891233894477</v>
      </c>
    </row>
    <row r="20" spans="2:55">
      <c r="H20" s="840" t="s">
        <v>855</v>
      </c>
      <c r="I20" s="827"/>
      <c r="J20" s="827"/>
      <c r="K20" s="841">
        <f ca="1">K18-K19</f>
        <v>6321.5000000000018</v>
      </c>
      <c r="L20" s="841">
        <f>L18-L19</f>
        <v>6321.5000000000018</v>
      </c>
      <c r="M20" s="841">
        <f>M18-M19</f>
        <v>9713.8424999999988</v>
      </c>
      <c r="Z20" s="497"/>
    </row>
    <row r="21" spans="2:55">
      <c r="B21">
        <v>0.62749999999999995</v>
      </c>
      <c r="C21">
        <f ca="1">1+(B21*C15)</f>
        <v>8.0870588235294107</v>
      </c>
      <c r="E21" s="997" t="s">
        <v>856</v>
      </c>
      <c r="F21" s="997"/>
      <c r="H21" s="346" t="s">
        <v>857</v>
      </c>
      <c r="I21" s="325"/>
      <c r="J21" s="325"/>
      <c r="K21" s="842">
        <f>1/(K9*K10)</f>
        <v>3.2671397212721427E-5</v>
      </c>
      <c r="L21" s="842">
        <f>1/(L9*L10)</f>
        <v>3.5408884089017933E-5</v>
      </c>
      <c r="M21" s="842">
        <f>1/(M9*M10)</f>
        <v>3.5408884089017933E-5</v>
      </c>
      <c r="Z21" s="497"/>
      <c r="AY21" t="s">
        <v>811</v>
      </c>
      <c r="AZ21" s="874">
        <f ca="1">AZ17*AZ19*AZ15</f>
        <v>1.278506857705995E-3</v>
      </c>
      <c r="BA21" s="874">
        <f>BA17*BA19*BA15</f>
        <v>1.0243209208991456E-3</v>
      </c>
      <c r="BB21" s="874">
        <f>BB17*BB19*BB15</f>
        <v>1.0243209208991456E-3</v>
      </c>
      <c r="BC21" s="886">
        <f>BB21*1000000</f>
        <v>1024.3209208991457</v>
      </c>
    </row>
    <row r="22" spans="2:55">
      <c r="E22" s="325" t="s">
        <v>858</v>
      </c>
      <c r="F22" s="325">
        <f ca="1">C44*C6</f>
        <v>13937.415391368822</v>
      </c>
      <c r="H22" s="496"/>
      <c r="K22" s="497"/>
      <c r="L22" s="497"/>
      <c r="M22" s="497"/>
      <c r="Z22" s="497"/>
    </row>
    <row r="23" spans="2:55">
      <c r="B23">
        <v>3.375E-3</v>
      </c>
      <c r="C23">
        <f ca="1">B23*C19</f>
        <v>0.43050519031141876</v>
      </c>
      <c r="E23" s="325" t="s">
        <v>859</v>
      </c>
      <c r="F23" s="325">
        <f>2*C9</f>
        <v>107600</v>
      </c>
      <c r="H23" s="346" t="s">
        <v>830</v>
      </c>
      <c r="I23" s="325"/>
      <c r="J23" s="325"/>
      <c r="K23" s="842">
        <f ca="1">K20*K21</f>
        <v>0.20653223748021857</v>
      </c>
      <c r="L23" s="842">
        <f>L20*L21</f>
        <v>0.22383726076872693</v>
      </c>
      <c r="M23" s="842">
        <f>M20*M21</f>
        <v>0.34395632314147612</v>
      </c>
      <c r="Z23" s="497"/>
      <c r="AZ23" s="268" t="s">
        <v>799</v>
      </c>
      <c r="BA23" s="268" t="s">
        <v>189</v>
      </c>
      <c r="BB23" s="268" t="s">
        <v>189</v>
      </c>
    </row>
    <row r="24" spans="2:55">
      <c r="E24" s="325"/>
      <c r="F24" s="325"/>
      <c r="H24" s="496"/>
      <c r="K24" s="497"/>
      <c r="L24" s="497"/>
      <c r="M24" s="497"/>
      <c r="Z24" s="497"/>
      <c r="AY24" s="325" t="s">
        <v>817</v>
      </c>
      <c r="AZ24" s="504">
        <f ca="1">X5</f>
        <v>11</v>
      </c>
      <c r="BA24" s="504">
        <f>Y5</f>
        <v>11</v>
      </c>
      <c r="BB24" s="504">
        <f>Z6</f>
        <v>0</v>
      </c>
      <c r="BC24" t="s">
        <v>810</v>
      </c>
    </row>
    <row r="25" spans="2:55">
      <c r="E25" s="325" t="s">
        <v>860</v>
      </c>
      <c r="F25" s="888">
        <f ca="1">F22/F23</f>
        <v>0.12952988281941286</v>
      </c>
      <c r="H25" s="346" t="s">
        <v>810</v>
      </c>
      <c r="I25" s="325"/>
      <c r="J25" s="325"/>
      <c r="K25" s="842">
        <f ca="1">K23/K12</f>
        <v>10.326611874010927</v>
      </c>
      <c r="L25" s="842">
        <f>L23/L12</f>
        <v>10.174420944033043</v>
      </c>
      <c r="M25" s="842">
        <f>M23/M12</f>
        <v>15.634378324612552</v>
      </c>
      <c r="Z25" s="497"/>
      <c r="AY25" t="s">
        <v>820</v>
      </c>
      <c r="AZ25" s="873">
        <f ca="1">AZ15</f>
        <v>6321.5000000000018</v>
      </c>
      <c r="BA25" s="873">
        <f>BA15</f>
        <v>6321.5000000000018</v>
      </c>
      <c r="BB25" s="873">
        <f>BB15</f>
        <v>9713.8424999999988</v>
      </c>
    </row>
    <row r="26" spans="2:55">
      <c r="B26" t="s">
        <v>861</v>
      </c>
      <c r="C26">
        <f ca="1">SQRT(C21-C23)</f>
        <v>2.7670478191057688</v>
      </c>
      <c r="H26" s="496"/>
      <c r="K26" s="497"/>
      <c r="L26" s="497"/>
      <c r="M26" s="497"/>
      <c r="Z26" s="497"/>
    </row>
    <row r="27" spans="2:55">
      <c r="E27" s="997" t="s">
        <v>862</v>
      </c>
      <c r="F27" s="997"/>
      <c r="H27" s="347" t="s">
        <v>863</v>
      </c>
      <c r="I27" s="843"/>
      <c r="J27" s="843"/>
      <c r="K27" s="844">
        <f ca="1">ROUNDUP(K23/K12,0)</f>
        <v>11</v>
      </c>
      <c r="L27" s="879">
        <f>ROUNDUP(L23/L12,0)</f>
        <v>11</v>
      </c>
      <c r="M27" s="879">
        <f>ROUNDUP(M23/M12,0)</f>
        <v>16</v>
      </c>
      <c r="N27" s="512"/>
      <c r="O27" s="512"/>
      <c r="P27" s="512"/>
      <c r="Q27" s="512"/>
      <c r="R27" s="512"/>
      <c r="S27" s="512"/>
      <c r="T27" s="512"/>
      <c r="U27" s="512"/>
      <c r="V27" s="512"/>
      <c r="W27" s="512"/>
      <c r="X27" s="512"/>
      <c r="Y27" s="512"/>
      <c r="Z27" s="832"/>
      <c r="AY27" t="s">
        <v>826</v>
      </c>
      <c r="AZ27" s="877">
        <f>1/K13</f>
        <v>1.3210039630118891E-7</v>
      </c>
      <c r="BA27" s="877">
        <f>1/L13</f>
        <v>9.0991810737033673E-8</v>
      </c>
      <c r="BB27" s="877">
        <f>1/M13</f>
        <v>9.0991810737033673E-8</v>
      </c>
    </row>
    <row r="28" spans="2:55">
      <c r="B28" t="s">
        <v>864</v>
      </c>
      <c r="C28">
        <f>C12/C7</f>
        <v>0.75</v>
      </c>
      <c r="E28" s="325" t="s">
        <v>865</v>
      </c>
      <c r="F28" s="325">
        <f ca="1">C44</f>
        <v>1093.130618930888</v>
      </c>
    </row>
    <row r="29" spans="2:55">
      <c r="E29" s="325"/>
      <c r="F29" s="325"/>
      <c r="AY29" t="s">
        <v>835</v>
      </c>
      <c r="AZ29" s="875">
        <f ca="1">1/K257</f>
        <v>2.9989105049003739</v>
      </c>
      <c r="BA29" s="875">
        <f>1/L257</f>
        <v>2.5794940612212773</v>
      </c>
      <c r="BB29" s="875">
        <f>1/M257</f>
        <v>1.679169144423289</v>
      </c>
    </row>
    <row r="30" spans="2:55">
      <c r="B30" t="s">
        <v>866</v>
      </c>
      <c r="C30">
        <f>C28*0.85</f>
        <v>0.63749999999999996</v>
      </c>
      <c r="E30" s="325" t="s">
        <v>804</v>
      </c>
      <c r="F30" s="325">
        <v>1.25</v>
      </c>
      <c r="H30" s="1263" t="s">
        <v>867</v>
      </c>
      <c r="I30" s="1233"/>
      <c r="J30" s="1233"/>
      <c r="K30" s="1233"/>
      <c r="L30" s="1233"/>
      <c r="M30" s="1233"/>
      <c r="N30" s="1233"/>
      <c r="O30" s="1233"/>
      <c r="P30" s="1233"/>
      <c r="Q30" s="1233"/>
      <c r="R30" s="1233"/>
      <c r="S30" s="1233"/>
      <c r="T30" s="1233"/>
      <c r="U30" s="1233"/>
      <c r="V30" s="1233"/>
      <c r="W30" s="1233"/>
      <c r="X30" s="1233"/>
      <c r="Y30" s="1233"/>
      <c r="Z30" s="1234"/>
    </row>
    <row r="31" spans="2:55">
      <c r="E31" s="325"/>
      <c r="F31" s="325"/>
      <c r="H31" s="852" t="s">
        <v>868</v>
      </c>
      <c r="I31" s="853" t="s">
        <v>869</v>
      </c>
      <c r="J31" s="853"/>
      <c r="K31" s="853">
        <v>250000</v>
      </c>
      <c r="L31" s="853">
        <v>250000</v>
      </c>
      <c r="M31" s="853">
        <v>250000</v>
      </c>
      <c r="N31" s="510"/>
      <c r="O31" s="510"/>
      <c r="P31" s="510"/>
      <c r="Q31" s="510"/>
      <c r="R31" s="510"/>
      <c r="S31" s="510"/>
      <c r="T31" s="510"/>
      <c r="U31" s="510"/>
      <c r="V31" s="510"/>
      <c r="W31" s="510"/>
      <c r="X31" s="510"/>
      <c r="Y31" s="510"/>
      <c r="Z31" s="830"/>
      <c r="AY31" t="s">
        <v>811</v>
      </c>
      <c r="AZ31" s="874">
        <f ca="1">AZ27*AZ29*AZ25</f>
        <v>2.5043081580882059E-3</v>
      </c>
      <c r="BA31" s="874">
        <f>BA27*BA29*BA25</f>
        <v>1.4837371890819209E-3</v>
      </c>
      <c r="BB31" s="874">
        <f>BB27*BB29*BB25</f>
        <v>1.4841842220006899E-3</v>
      </c>
      <c r="BC31" s="886">
        <f>BB31*1000000</f>
        <v>1484.1842220006899</v>
      </c>
    </row>
    <row r="32" spans="2:55">
      <c r="B32" t="s">
        <v>870</v>
      </c>
      <c r="C32">
        <f>1-C30</f>
        <v>0.36250000000000004</v>
      </c>
      <c r="E32" s="325" t="s">
        <v>871</v>
      </c>
      <c r="F32" s="325">
        <f ca="1">F28/F30</f>
        <v>874.5044951447104</v>
      </c>
      <c r="H32" s="496"/>
      <c r="Z32" s="497"/>
    </row>
    <row r="33" spans="1:26">
      <c r="H33" s="346" t="s">
        <v>872</v>
      </c>
      <c r="I33" s="325"/>
      <c r="J33" s="325"/>
      <c r="K33" s="827">
        <v>36</v>
      </c>
      <c r="L33" s="827">
        <v>36</v>
      </c>
      <c r="M33" s="827">
        <v>36</v>
      </c>
      <c r="N33" t="s">
        <v>49</v>
      </c>
      <c r="Z33" s="497"/>
    </row>
    <row r="34" spans="1:26">
      <c r="C34">
        <f ca="1">C30/C26</f>
        <v>0.23038994685896749</v>
      </c>
      <c r="H34" s="496"/>
      <c r="K34" s="657">
        <f>K33/100</f>
        <v>0.36</v>
      </c>
      <c r="L34" s="657">
        <f>L33/100</f>
        <v>0.36</v>
      </c>
      <c r="M34" s="657">
        <f>M33/100</f>
        <v>0.36</v>
      </c>
      <c r="Z34" s="497"/>
    </row>
    <row r="35" spans="1:26">
      <c r="H35" s="346" t="s">
        <v>873</v>
      </c>
      <c r="I35" s="325"/>
      <c r="J35" s="325"/>
      <c r="K35" s="835">
        <v>72</v>
      </c>
      <c r="L35" s="835">
        <v>72</v>
      </c>
      <c r="M35" s="835">
        <v>72</v>
      </c>
      <c r="N35" t="s">
        <v>49</v>
      </c>
      <c r="Z35" s="497"/>
    </row>
    <row r="36" spans="1:26">
      <c r="B36" t="s">
        <v>874</v>
      </c>
      <c r="C36">
        <f ca="1">1-C34</f>
        <v>0</v>
      </c>
      <c r="H36" s="496"/>
      <c r="K36" s="657">
        <f>K35/100</f>
        <v>0.72</v>
      </c>
      <c r="L36" s="657">
        <f>L35/100</f>
        <v>0.72</v>
      </c>
      <c r="M36" s="657">
        <f>M35/100</f>
        <v>0.72</v>
      </c>
      <c r="Z36" s="497"/>
    </row>
    <row r="37" spans="1:26">
      <c r="H37" s="496"/>
      <c r="Z37" s="497"/>
    </row>
    <row r="38" spans="1:26">
      <c r="C38">
        <f ca="1">C32/C36</f>
        <v>0.4710177557069557</v>
      </c>
      <c r="H38" s="346" t="s">
        <v>875</v>
      </c>
      <c r="I38" s="325" t="s">
        <v>876</v>
      </c>
      <c r="J38" s="325" t="s">
        <v>877</v>
      </c>
      <c r="K38" s="851">
        <v>140</v>
      </c>
      <c r="L38" s="851">
        <v>83.277777779999994</v>
      </c>
      <c r="M38" s="851">
        <v>83.277777779999994</v>
      </c>
      <c r="Z38" s="497"/>
    </row>
    <row r="39" spans="1:26">
      <c r="H39" s="496"/>
      <c r="W39" s="824" t="s">
        <v>878</v>
      </c>
      <c r="X39" s="594" t="s">
        <v>879</v>
      </c>
      <c r="Y39" s="594" t="s">
        <v>880</v>
      </c>
      <c r="Z39" s="497"/>
    </row>
    <row r="40" spans="1:26">
      <c r="B40" t="s">
        <v>881</v>
      </c>
      <c r="C40" s="451">
        <f ca="1">C17*C38</f>
        <v>27874.830782737641</v>
      </c>
      <c r="D40" t="s">
        <v>45</v>
      </c>
      <c r="H40" s="346" t="s">
        <v>882</v>
      </c>
      <c r="I40" s="325" t="s">
        <v>883</v>
      </c>
      <c r="J40" s="325" t="s">
        <v>877</v>
      </c>
      <c r="K40" s="325">
        <v>38</v>
      </c>
      <c r="L40" s="325">
        <v>38</v>
      </c>
      <c r="M40" s="325">
        <v>38</v>
      </c>
      <c r="W40" s="824" t="s">
        <v>884</v>
      </c>
      <c r="X40" s="594" t="s">
        <v>885</v>
      </c>
      <c r="Y40" s="594" t="s">
        <v>886</v>
      </c>
      <c r="Z40" s="497"/>
    </row>
    <row r="41" spans="1:26">
      <c r="H41" s="496"/>
      <c r="Z41" s="497"/>
    </row>
    <row r="42" spans="1:26">
      <c r="B42" t="s">
        <v>887</v>
      </c>
      <c r="C42">
        <f ca="1">2*C7*C40</f>
        <v>13937.415391368821</v>
      </c>
      <c r="H42" s="346" t="s">
        <v>888</v>
      </c>
      <c r="I42" s="325" t="s">
        <v>889</v>
      </c>
      <c r="J42" s="325" t="s">
        <v>877</v>
      </c>
      <c r="K42" s="325">
        <v>10</v>
      </c>
      <c r="L42" s="325">
        <v>10</v>
      </c>
      <c r="M42" s="325">
        <v>10</v>
      </c>
      <c r="Z42" s="497"/>
    </row>
    <row r="43" spans="1:26">
      <c r="H43" s="496"/>
      <c r="Z43" s="497"/>
    </row>
    <row r="44" spans="1:26">
      <c r="A44" t="s">
        <v>890</v>
      </c>
      <c r="B44" t="s">
        <v>865</v>
      </c>
      <c r="C44">
        <f ca="1">C42/C6</f>
        <v>1093.130618930888</v>
      </c>
      <c r="H44" s="346" t="s">
        <v>891</v>
      </c>
      <c r="I44" s="325" t="s">
        <v>892</v>
      </c>
      <c r="J44" s="325" t="s">
        <v>893</v>
      </c>
      <c r="K44" s="851">
        <v>7.9999999999999996E-6</v>
      </c>
      <c r="L44" s="851">
        <v>2.2000000000000001E-7</v>
      </c>
      <c r="M44" s="851">
        <v>2.2000000000000001E-7</v>
      </c>
      <c r="N44" t="s">
        <v>894</v>
      </c>
      <c r="Z44" s="497"/>
    </row>
    <row r="45" spans="1:26">
      <c r="H45" s="496"/>
      <c r="Z45" s="497"/>
    </row>
    <row r="46" spans="1:26">
      <c r="H46" s="346" t="s">
        <v>895</v>
      </c>
      <c r="I46" s="325" t="s">
        <v>896</v>
      </c>
      <c r="J46" s="325" t="s">
        <v>893</v>
      </c>
      <c r="K46" s="851">
        <v>1.0000000000000001E-5</v>
      </c>
      <c r="L46" s="851">
        <v>5.2399999999999998E-6</v>
      </c>
      <c r="M46" s="851">
        <v>5.2399999999999998E-6</v>
      </c>
      <c r="Z46" s="497"/>
    </row>
    <row r="47" spans="1:26">
      <c r="A47" t="s">
        <v>897</v>
      </c>
      <c r="H47" s="496"/>
      <c r="Z47" s="497"/>
    </row>
    <row r="48" spans="1:26">
      <c r="A48" t="s">
        <v>898</v>
      </c>
      <c r="B48" s="881" t="s">
        <v>899</v>
      </c>
      <c r="H48" s="346" t="s">
        <v>900</v>
      </c>
      <c r="I48" s="325" t="s">
        <v>901</v>
      </c>
      <c r="J48" s="325" t="s">
        <v>893</v>
      </c>
      <c r="K48" s="325">
        <v>1.15E-5</v>
      </c>
      <c r="L48" s="325">
        <v>1.15E-5</v>
      </c>
      <c r="M48" s="325">
        <v>1.15E-5</v>
      </c>
      <c r="Z48" s="497"/>
    </row>
    <row r="49" spans="1:26">
      <c r="A49" t="s">
        <v>902</v>
      </c>
      <c r="B49" s="881" t="s">
        <v>903</v>
      </c>
      <c r="H49" s="496"/>
      <c r="Z49" s="497"/>
    </row>
    <row r="50" spans="1:26">
      <c r="H50" s="346" t="s">
        <v>904</v>
      </c>
      <c r="I50" s="325" t="s">
        <v>905</v>
      </c>
      <c r="J50" s="325"/>
      <c r="K50" s="847">
        <v>2.5000000000000001E-3</v>
      </c>
      <c r="L50" s="847">
        <v>2.5000000000000001E-3</v>
      </c>
      <c r="M50" s="847">
        <v>2.5000000000000001E-3</v>
      </c>
      <c r="Z50" s="497"/>
    </row>
    <row r="51" spans="1:26">
      <c r="H51" s="496"/>
      <c r="Z51" s="497"/>
    </row>
    <row r="52" spans="1:26">
      <c r="H52" s="346" t="s">
        <v>906</v>
      </c>
      <c r="I52" s="325" t="s">
        <v>907</v>
      </c>
      <c r="J52" s="325"/>
      <c r="K52" s="848">
        <v>1E-3</v>
      </c>
      <c r="L52" s="848">
        <v>1E-3</v>
      </c>
      <c r="M52" s="848">
        <v>1E-3</v>
      </c>
      <c r="Z52" s="497"/>
    </row>
    <row r="53" spans="1:26">
      <c r="H53" s="496"/>
      <c r="Z53" s="497"/>
    </row>
    <row r="54" spans="1:26">
      <c r="H54" s="496"/>
      <c r="Z54" s="497"/>
    </row>
    <row r="55" spans="1:26">
      <c r="H55" s="346" t="s">
        <v>908</v>
      </c>
      <c r="I55" s="325" t="s">
        <v>909</v>
      </c>
      <c r="J55" s="325"/>
      <c r="K55" s="657">
        <f ca="1">K36*((2*(K8*K4))/K3)</f>
        <v>1519.0588235294119</v>
      </c>
      <c r="L55" s="657">
        <f>L36*((2*(L8*L4))/L3)</f>
        <v>1519.0588235294119</v>
      </c>
      <c r="M55" s="657">
        <f>M36*((2*(M8*M4))/M3)</f>
        <v>2334.2399999999998</v>
      </c>
      <c r="Z55" s="497"/>
    </row>
    <row r="56" spans="1:26">
      <c r="H56" s="346" t="s">
        <v>910</v>
      </c>
      <c r="I56" s="325" t="s">
        <v>911</v>
      </c>
      <c r="J56" s="325"/>
      <c r="K56" s="657">
        <f ca="1">K34*((2*(K8*K4))/K3)</f>
        <v>759.52941176470597</v>
      </c>
      <c r="L56" s="657">
        <f>L34*((2*(L8*L4))/L3)</f>
        <v>759.52941176470597</v>
      </c>
      <c r="M56" s="657">
        <f>M34*((2*(M8*M4))/M3)</f>
        <v>1167.1199999999999</v>
      </c>
      <c r="Z56" s="497"/>
    </row>
    <row r="57" spans="1:26">
      <c r="H57" s="496"/>
      <c r="Z57" s="497"/>
    </row>
    <row r="58" spans="1:26">
      <c r="H58" s="840"/>
      <c r="I58" s="827" t="s">
        <v>912</v>
      </c>
      <c r="J58" s="827"/>
      <c r="K58" s="828">
        <f ca="1">K56/K55</f>
        <v>0.5</v>
      </c>
      <c r="L58" s="828">
        <f>L56/L55</f>
        <v>0.5</v>
      </c>
      <c r="M58" s="828">
        <f>M56/M55</f>
        <v>0.5</v>
      </c>
      <c r="Z58" s="497"/>
    </row>
    <row r="59" spans="1:26">
      <c r="H59" s="346"/>
      <c r="I59" s="325"/>
      <c r="J59" s="325" t="s">
        <v>913</v>
      </c>
      <c r="K59" s="833">
        <f ca="1">POWER(K58,2)</f>
        <v>0.25</v>
      </c>
      <c r="L59" s="833">
        <f>POWER(L58,2)</f>
        <v>0.25</v>
      </c>
      <c r="M59" s="833">
        <f>POWER(M58,2)</f>
        <v>0.25</v>
      </c>
      <c r="N59" s="829"/>
      <c r="O59" s="510"/>
      <c r="P59" s="510"/>
      <c r="Q59" s="510"/>
      <c r="R59" s="510"/>
      <c r="S59" s="510"/>
      <c r="T59" s="510"/>
      <c r="U59" s="510"/>
      <c r="V59" s="510"/>
      <c r="W59" s="510"/>
      <c r="X59" s="510"/>
      <c r="Y59" s="830"/>
      <c r="Z59" s="497"/>
    </row>
    <row r="60" spans="1:26">
      <c r="H60" s="496"/>
      <c r="N60" s="496"/>
      <c r="Y60" s="497"/>
      <c r="Z60" s="497"/>
    </row>
    <row r="61" spans="1:26">
      <c r="H61" s="346"/>
      <c r="I61" s="325"/>
      <c r="J61" s="325" t="s">
        <v>914</v>
      </c>
      <c r="K61" s="833">
        <f>LOG10(K31)</f>
        <v>5.3979400086720375</v>
      </c>
      <c r="L61" s="833">
        <f>LOG10(L31)</f>
        <v>5.3979400086720375</v>
      </c>
      <c r="M61" s="833">
        <f>LOG10(M31)</f>
        <v>5.3979400086720375</v>
      </c>
      <c r="N61" s="496"/>
      <c r="Y61" s="497"/>
      <c r="Z61" s="497"/>
    </row>
    <row r="62" spans="1:26">
      <c r="H62" s="496"/>
      <c r="N62" s="496"/>
      <c r="Y62" s="497"/>
      <c r="Z62" s="497"/>
    </row>
    <row r="63" spans="1:26">
      <c r="H63" s="346"/>
      <c r="I63" s="325"/>
      <c r="J63" s="325" t="s">
        <v>915</v>
      </c>
      <c r="K63" s="833">
        <f>2.888*K61</f>
        <v>15.589250745044843</v>
      </c>
      <c r="L63" s="833">
        <f>2.888*L61</f>
        <v>15.589250745044843</v>
      </c>
      <c r="M63" s="833">
        <f>2.888*M61</f>
        <v>15.589250745044843</v>
      </c>
      <c r="N63" s="496"/>
      <c r="Y63" s="497"/>
      <c r="Z63" s="497"/>
    </row>
    <row r="64" spans="1:26">
      <c r="H64" s="496"/>
      <c r="N64" s="496"/>
      <c r="Y64" s="497"/>
      <c r="Z64" s="497"/>
    </row>
    <row r="65" spans="8:26">
      <c r="H65" s="325"/>
      <c r="I65" s="325"/>
      <c r="J65" s="325"/>
      <c r="K65" s="833">
        <f>K63-7.108</f>
        <v>8.4812507450448429</v>
      </c>
      <c r="L65" s="833">
        <f>L63-7.108</f>
        <v>8.4812507450448429</v>
      </c>
      <c r="M65" s="833">
        <f>M63-7.108</f>
        <v>8.4812507450448429</v>
      </c>
      <c r="N65" s="496"/>
      <c r="Y65" s="497"/>
      <c r="Z65" s="497"/>
    </row>
    <row r="66" spans="8:26">
      <c r="H66" s="496"/>
      <c r="N66" s="496"/>
      <c r="Y66" s="497"/>
      <c r="Z66" s="497"/>
    </row>
    <row r="67" spans="8:26">
      <c r="H67" s="346"/>
      <c r="I67" s="325"/>
      <c r="J67" s="325" t="s">
        <v>916</v>
      </c>
      <c r="K67" s="833">
        <f>1/K65</f>
        <v>0.11790713776317112</v>
      </c>
      <c r="L67" s="833">
        <f>1/L65</f>
        <v>0.11790713776317112</v>
      </c>
      <c r="M67" s="833">
        <f>1/M65</f>
        <v>0.11790713776317112</v>
      </c>
      <c r="N67" s="496"/>
      <c r="Y67" s="497"/>
      <c r="Z67" s="497"/>
    </row>
    <row r="68" spans="8:26">
      <c r="H68" s="496"/>
      <c r="N68" s="496"/>
      <c r="Y68" s="497"/>
      <c r="Z68" s="497"/>
    </row>
    <row r="69" spans="8:26">
      <c r="H69" s="346"/>
      <c r="I69" s="325"/>
      <c r="J69" s="325" t="s">
        <v>917</v>
      </c>
      <c r="K69" s="833">
        <f ca="1">1-K59</f>
        <v>0.75</v>
      </c>
      <c r="L69" s="833">
        <f>1-L59</f>
        <v>0.75</v>
      </c>
      <c r="M69" s="833">
        <f>1-M59</f>
        <v>0.75</v>
      </c>
      <c r="N69" s="496"/>
      <c r="Y69" s="497"/>
      <c r="Z69" s="497"/>
    </row>
    <row r="70" spans="8:26">
      <c r="H70" s="496"/>
      <c r="N70" s="496"/>
      <c r="Y70" s="497"/>
      <c r="Z70" s="497"/>
    </row>
    <row r="71" spans="8:26">
      <c r="H71" s="346"/>
      <c r="I71" s="325"/>
      <c r="J71" s="325"/>
      <c r="K71" s="833">
        <f ca="1">K67*K69</f>
        <v>8.8430353322378336E-2</v>
      </c>
      <c r="L71" s="833">
        <f>L67*L69</f>
        <v>8.8430353322378336E-2</v>
      </c>
      <c r="M71" s="833">
        <f>M67*M69</f>
        <v>8.8430353322378336E-2</v>
      </c>
      <c r="N71" s="496"/>
      <c r="Y71" s="497"/>
      <c r="Z71" s="497"/>
    </row>
    <row r="72" spans="8:26">
      <c r="H72" s="496"/>
      <c r="N72" s="496"/>
      <c r="Y72" s="497"/>
      <c r="Z72" s="497"/>
    </row>
    <row r="73" spans="8:26">
      <c r="H73" s="346"/>
      <c r="I73" s="325"/>
      <c r="J73" s="849" t="s">
        <v>918</v>
      </c>
      <c r="K73" s="833">
        <f ca="1">K71+K59</f>
        <v>0.33843035332237836</v>
      </c>
      <c r="L73" s="833">
        <f>L71+L59</f>
        <v>0.33843035332237836</v>
      </c>
      <c r="M73" s="833">
        <f>M71+M59</f>
        <v>0.33843035332237836</v>
      </c>
      <c r="N73" s="496"/>
      <c r="Y73" s="497"/>
      <c r="Z73" s="497"/>
    </row>
    <row r="74" spans="8:26">
      <c r="H74" s="496"/>
      <c r="N74" s="496"/>
      <c r="Y74" s="497"/>
      <c r="Z74" s="497"/>
    </row>
    <row r="75" spans="8:26">
      <c r="H75" s="346"/>
      <c r="I75" s="325" t="s">
        <v>919</v>
      </c>
      <c r="J75" s="325"/>
      <c r="K75" s="833">
        <f ca="1">SQRT(K73)</f>
        <v>0.58174767152295359</v>
      </c>
      <c r="L75" s="833">
        <f>SQRT(L73)</f>
        <v>0.58174767152295359</v>
      </c>
      <c r="M75" s="833">
        <f>SQRT(M73)</f>
        <v>0.58174767152295359</v>
      </c>
      <c r="N75" s="831"/>
      <c r="O75" s="512"/>
      <c r="P75" s="512"/>
      <c r="Q75" s="512"/>
      <c r="R75" s="512"/>
      <c r="S75" s="512"/>
      <c r="T75" s="512"/>
      <c r="U75" s="512"/>
      <c r="V75" s="512"/>
      <c r="W75" s="512"/>
      <c r="X75" s="512"/>
      <c r="Y75" s="832"/>
      <c r="Z75" s="497"/>
    </row>
    <row r="76" spans="8:26">
      <c r="H76" s="496"/>
      <c r="Z76" s="497"/>
    </row>
    <row r="77" spans="8:26">
      <c r="H77" s="496"/>
      <c r="Z77" s="497"/>
    </row>
    <row r="78" spans="8:26">
      <c r="H78" s="496"/>
      <c r="Z78" s="497"/>
    </row>
    <row r="79" spans="8:26">
      <c r="H79" s="346" t="s">
        <v>920</v>
      </c>
      <c r="I79" s="325" t="s">
        <v>921</v>
      </c>
      <c r="J79" s="849" t="s">
        <v>922</v>
      </c>
      <c r="K79" s="657">
        <f>K38-20</f>
        <v>120</v>
      </c>
      <c r="L79" s="657">
        <f>L38-20</f>
        <v>63.277777779999994</v>
      </c>
      <c r="M79" s="657">
        <f>M38-20</f>
        <v>63.277777779999994</v>
      </c>
      <c r="N79" t="s">
        <v>923</v>
      </c>
      <c r="Z79" s="497"/>
    </row>
    <row r="80" spans="8:26">
      <c r="H80" s="496"/>
      <c r="Z80" s="497"/>
    </row>
    <row r="81" spans="8:26">
      <c r="H81" s="496"/>
      <c r="Z81" s="497"/>
    </row>
    <row r="82" spans="8:26">
      <c r="H82" s="496"/>
      <c r="Z82" s="497"/>
    </row>
    <row r="83" spans="8:26">
      <c r="H83" s="346"/>
      <c r="I83" s="325"/>
      <c r="J83" s="325" t="s">
        <v>924</v>
      </c>
      <c r="K83" s="657">
        <f>K79-K40</f>
        <v>82</v>
      </c>
      <c r="L83" s="657">
        <f>L79-L40</f>
        <v>25.277777779999994</v>
      </c>
      <c r="M83" s="657">
        <f>M79-M40</f>
        <v>25.277777779999994</v>
      </c>
      <c r="Z83" s="497"/>
    </row>
    <row r="84" spans="8:26">
      <c r="H84" s="496"/>
      <c r="Z84" s="497"/>
    </row>
    <row r="85" spans="8:26">
      <c r="H85" s="346"/>
      <c r="I85" s="325"/>
      <c r="J85" s="325" t="s">
        <v>925</v>
      </c>
      <c r="K85" s="657">
        <f>POWER(K83,2)</f>
        <v>6724</v>
      </c>
      <c r="L85" s="657">
        <f>POWER(L83,2)</f>
        <v>638.96604949506138</v>
      </c>
      <c r="M85" s="657">
        <f>POWER(M83,2)</f>
        <v>638.96604949506138</v>
      </c>
      <c r="Z85" s="497"/>
    </row>
    <row r="86" spans="8:26">
      <c r="H86" s="496"/>
      <c r="Z86" s="497"/>
    </row>
    <row r="87" spans="8:26">
      <c r="H87" s="346"/>
      <c r="I87" s="325"/>
      <c r="J87" s="325">
        <v>2.0000000000000002E-5</v>
      </c>
      <c r="K87" s="657">
        <f>J87*K85</f>
        <v>0.13448000000000002</v>
      </c>
      <c r="L87" s="657">
        <f>J87*L85</f>
        <v>1.2779320989901229E-2</v>
      </c>
      <c r="M87" s="657">
        <f>J87*M85</f>
        <v>1.2779320989901229E-2</v>
      </c>
      <c r="Z87" s="497"/>
    </row>
    <row r="88" spans="8:26">
      <c r="H88" s="496"/>
      <c r="Z88" s="497"/>
    </row>
    <row r="89" spans="8:26">
      <c r="H89" s="346"/>
      <c r="I89" s="325"/>
      <c r="J89" s="325">
        <v>5.9999999999999995E-4</v>
      </c>
      <c r="K89" s="657">
        <f>J89*K83</f>
        <v>4.9199999999999994E-2</v>
      </c>
      <c r="L89" s="657">
        <f>J89*L83</f>
        <v>1.5166666667999994E-2</v>
      </c>
      <c r="M89" s="657">
        <f>J89*M83</f>
        <v>1.5166666667999994E-2</v>
      </c>
      <c r="Z89" s="497"/>
    </row>
    <row r="90" spans="8:26">
      <c r="H90" s="496"/>
      <c r="Z90" s="497"/>
    </row>
    <row r="91" spans="8:26">
      <c r="H91" s="346" t="s">
        <v>926</v>
      </c>
      <c r="I91" s="325"/>
      <c r="J91" s="325">
        <v>0.70140000000000002</v>
      </c>
      <c r="K91" s="657">
        <f>K87+K89+J91</f>
        <v>0.88508000000000009</v>
      </c>
      <c r="L91" s="657">
        <f>L87+L89+J91</f>
        <v>0.72934598765790126</v>
      </c>
      <c r="M91" s="657">
        <f>M87+M89+J91</f>
        <v>0.72934598765790126</v>
      </c>
      <c r="Z91" s="497"/>
    </row>
    <row r="92" spans="8:26">
      <c r="H92" s="496"/>
      <c r="Z92" s="497"/>
    </row>
    <row r="93" spans="8:26">
      <c r="H93" s="346" t="s">
        <v>927</v>
      </c>
      <c r="I93" s="325"/>
      <c r="J93" s="325"/>
      <c r="K93" s="325">
        <v>1</v>
      </c>
      <c r="L93" s="325">
        <v>1</v>
      </c>
      <c r="M93" s="325">
        <v>1</v>
      </c>
      <c r="Z93" s="497"/>
    </row>
    <row r="94" spans="8:26">
      <c r="H94" s="496"/>
      <c r="Z94" s="497"/>
    </row>
    <row r="95" spans="8:26">
      <c r="H95" s="346"/>
      <c r="I95" s="325"/>
      <c r="J95" s="325" t="s">
        <v>928</v>
      </c>
      <c r="K95" s="657">
        <f>K91*K50</f>
        <v>2.2127000000000002E-3</v>
      </c>
      <c r="L95" s="657">
        <f>L91*L50</f>
        <v>1.8233649691447532E-3</v>
      </c>
      <c r="M95" s="657">
        <f>M91*M50</f>
        <v>1.8233649691447532E-3</v>
      </c>
      <c r="Z95" s="497"/>
    </row>
    <row r="96" spans="8:26">
      <c r="H96" s="496"/>
      <c r="Z96" s="497"/>
    </row>
    <row r="97" spans="8:26">
      <c r="H97" s="346"/>
      <c r="I97" s="325"/>
      <c r="J97" s="325" t="s">
        <v>929</v>
      </c>
      <c r="K97" s="657">
        <f>K91*K52</f>
        <v>8.8508000000000011E-4</v>
      </c>
      <c r="L97" s="657">
        <f>L91*L52</f>
        <v>7.2934598765790127E-4</v>
      </c>
      <c r="M97" s="657">
        <f>M91*M52</f>
        <v>7.2934598765790127E-4</v>
      </c>
      <c r="Z97" s="497"/>
    </row>
    <row r="98" spans="8:26">
      <c r="H98" s="496"/>
      <c r="Z98" s="497"/>
    </row>
    <row r="99" spans="8:26">
      <c r="H99" s="346"/>
      <c r="I99" s="325"/>
      <c r="J99" s="325" t="s">
        <v>930</v>
      </c>
      <c r="K99" s="657">
        <f>K48-K46</f>
        <v>1.4999999999999992E-6</v>
      </c>
      <c r="L99" s="657">
        <f>L48-L46</f>
        <v>6.2600000000000002E-6</v>
      </c>
      <c r="M99" s="657">
        <f>M48-M46</f>
        <v>6.2600000000000002E-6</v>
      </c>
      <c r="Z99" s="497"/>
    </row>
    <row r="100" spans="8:26">
      <c r="H100" s="496"/>
      <c r="Z100" s="497"/>
    </row>
    <row r="101" spans="8:26">
      <c r="H101" s="346"/>
      <c r="I101" s="325"/>
      <c r="J101" s="325" t="s">
        <v>931</v>
      </c>
      <c r="K101" s="657">
        <f>K48-K44</f>
        <v>3.5000000000000004E-6</v>
      </c>
      <c r="L101" s="657">
        <f>L48-L44</f>
        <v>1.128E-5</v>
      </c>
      <c r="M101" s="657">
        <f>M48-M44</f>
        <v>1.128E-5</v>
      </c>
      <c r="Z101" s="497"/>
    </row>
    <row r="102" spans="8:26">
      <c r="H102" s="496"/>
      <c r="Z102" s="497"/>
    </row>
    <row r="103" spans="8:26">
      <c r="H103" s="346"/>
      <c r="I103" s="325"/>
      <c r="J103" s="325" t="s">
        <v>932</v>
      </c>
      <c r="K103" s="657">
        <f>K99*K42</f>
        <v>1.4999999999999992E-5</v>
      </c>
      <c r="L103" s="657">
        <f>L99*L42</f>
        <v>6.2600000000000004E-5</v>
      </c>
      <c r="M103" s="657">
        <f>M99*M42</f>
        <v>6.2600000000000004E-5</v>
      </c>
      <c r="Z103" s="497"/>
    </row>
    <row r="104" spans="8:26">
      <c r="H104" s="496"/>
      <c r="Z104" s="497"/>
    </row>
    <row r="105" spans="8:26">
      <c r="H105" s="346"/>
      <c r="I105" s="325"/>
      <c r="J105" s="325" t="s">
        <v>933</v>
      </c>
      <c r="K105" s="657">
        <f>K101*K42</f>
        <v>3.5000000000000004E-5</v>
      </c>
      <c r="L105" s="657">
        <f>L101*L42</f>
        <v>1.128E-4</v>
      </c>
      <c r="M105" s="657">
        <f>M101*M42</f>
        <v>1.128E-4</v>
      </c>
      <c r="Z105" s="497"/>
    </row>
    <row r="106" spans="8:26">
      <c r="H106" s="496"/>
      <c r="Z106" s="497"/>
    </row>
    <row r="107" spans="8:26">
      <c r="H107" s="346"/>
      <c r="I107" s="325" t="s">
        <v>934</v>
      </c>
      <c r="J107" s="849" t="s">
        <v>935</v>
      </c>
      <c r="K107" s="657">
        <f>K95-ABS(K103)</f>
        <v>2.1977000000000003E-3</v>
      </c>
      <c r="L107" s="657">
        <f>L95-ABS(L103)</f>
        <v>1.7607649691447533E-3</v>
      </c>
      <c r="M107" s="657">
        <f>M95-ABS(M103)</f>
        <v>1.7607649691447533E-3</v>
      </c>
      <c r="Z107" s="497"/>
    </row>
    <row r="108" spans="8:26">
      <c r="H108" s="496"/>
      <c r="Z108" s="497"/>
    </row>
    <row r="109" spans="8:26">
      <c r="H109" s="346"/>
      <c r="I109" s="325" t="s">
        <v>936</v>
      </c>
      <c r="J109" s="849" t="s">
        <v>937</v>
      </c>
      <c r="K109" s="657">
        <f>K97-K105</f>
        <v>8.5008000000000013E-4</v>
      </c>
      <c r="L109" s="657">
        <f>L97-L105</f>
        <v>6.1654598765790124E-4</v>
      </c>
      <c r="M109" s="657">
        <f>M97-M105</f>
        <v>6.1654598765790124E-4</v>
      </c>
      <c r="Z109" s="497"/>
    </row>
    <row r="110" spans="8:26">
      <c r="H110" s="496"/>
      <c r="Z110" s="497"/>
    </row>
    <row r="111" spans="8:26">
      <c r="H111" s="346"/>
      <c r="I111" s="325" t="s">
        <v>938</v>
      </c>
      <c r="J111" s="849" t="s">
        <v>939</v>
      </c>
      <c r="K111" s="657">
        <f ca="1">K107*K75</f>
        <v>1.2785068577059952E-3</v>
      </c>
      <c r="L111" s="657">
        <f>L107*L75</f>
        <v>1.0243209208991456E-3</v>
      </c>
      <c r="M111" s="657">
        <f>M107*M75</f>
        <v>1.0243209208991456E-3</v>
      </c>
      <c r="Z111" s="497"/>
    </row>
    <row r="112" spans="8:26">
      <c r="H112" s="496"/>
      <c r="Z112" s="497"/>
    </row>
    <row r="113" spans="8:26">
      <c r="H113" s="857"/>
      <c r="I113" s="843" t="s">
        <v>940</v>
      </c>
      <c r="J113" s="858" t="s">
        <v>941</v>
      </c>
      <c r="K113" s="859">
        <f ca="1">K109*K75</f>
        <v>4.9453206060823241E-4</v>
      </c>
      <c r="L113" s="859">
        <f>L109*L75</f>
        <v>3.5867419270680371E-4</v>
      </c>
      <c r="M113" s="859">
        <f>M109*M75</f>
        <v>3.5867419270680371E-4</v>
      </c>
      <c r="N113" s="512"/>
      <c r="O113" s="512"/>
      <c r="P113" s="512"/>
      <c r="Q113" s="512"/>
      <c r="R113" s="512"/>
      <c r="S113" s="512"/>
      <c r="T113" s="512"/>
      <c r="U113" s="512"/>
      <c r="V113" s="512"/>
      <c r="W113" s="512"/>
      <c r="X113" s="512"/>
      <c r="Y113" s="512"/>
      <c r="Z113" s="832"/>
    </row>
    <row r="115" spans="8:26">
      <c r="H115" s="1283" t="s">
        <v>942</v>
      </c>
      <c r="I115" s="1381"/>
      <c r="J115" s="1381"/>
      <c r="K115" s="1381"/>
      <c r="L115" s="1233"/>
      <c r="M115" s="1233"/>
      <c r="N115" s="1233"/>
      <c r="O115" s="1233"/>
      <c r="P115" s="1233"/>
      <c r="Q115" s="1233"/>
      <c r="R115" s="1233"/>
      <c r="S115" s="1233"/>
      <c r="T115" s="1233"/>
      <c r="U115" s="1233"/>
      <c r="V115" s="1233"/>
      <c r="W115" s="1233"/>
      <c r="X115" s="1233"/>
      <c r="Y115" s="1233"/>
      <c r="Z115" s="1234"/>
    </row>
    <row r="116" spans="8:26">
      <c r="H116" s="855"/>
      <c r="I116" s="834"/>
      <c r="J116" s="834" t="s">
        <v>943</v>
      </c>
      <c r="K116" s="856">
        <f ca="1">K20</f>
        <v>6321.5000000000018</v>
      </c>
      <c r="L116" s="856">
        <f>L20</f>
        <v>6321.5000000000018</v>
      </c>
      <c r="M116" s="856">
        <f>M20</f>
        <v>9713.8424999999988</v>
      </c>
      <c r="N116" s="829"/>
      <c r="O116" s="510"/>
      <c r="P116" s="510"/>
      <c r="Q116" s="510"/>
      <c r="R116" s="510"/>
      <c r="S116" s="510"/>
      <c r="T116" s="510"/>
      <c r="U116" s="510"/>
      <c r="V116" s="510"/>
      <c r="W116" s="510"/>
      <c r="X116" s="510"/>
      <c r="Y116" s="510"/>
      <c r="Z116" s="830"/>
    </row>
    <row r="117" spans="8:26">
      <c r="H117" s="496"/>
      <c r="N117" s="496"/>
      <c r="Z117" s="497"/>
    </row>
    <row r="118" spans="8:26">
      <c r="H118" s="346"/>
      <c r="I118" s="325"/>
      <c r="J118" s="325" t="s">
        <v>944</v>
      </c>
      <c r="K118" s="862">
        <f ca="1">K13*K111</f>
        <v>9678.296912834383</v>
      </c>
      <c r="L118" s="862">
        <f>L13*L111</f>
        <v>11257.28692068161</v>
      </c>
      <c r="M118" s="862">
        <f>M13*M111</f>
        <v>11257.28692068161</v>
      </c>
      <c r="N118" s="496"/>
      <c r="Z118" s="497"/>
    </row>
    <row r="119" spans="8:26">
      <c r="H119" s="496"/>
      <c r="N119" s="496"/>
      <c r="Z119" s="497"/>
    </row>
    <row r="120" spans="8:26">
      <c r="H120" s="346"/>
      <c r="I120" s="325"/>
      <c r="J120" s="325" t="s">
        <v>916</v>
      </c>
      <c r="K120" s="833">
        <f ca="1">1/K118</f>
        <v>1.0332396381370577E-4</v>
      </c>
      <c r="L120" s="833">
        <f>1/L118</f>
        <v>8.8831350488440032E-5</v>
      </c>
      <c r="M120" s="833">
        <f>1/M118</f>
        <v>8.8831350488440032E-5</v>
      </c>
      <c r="N120" s="496"/>
      <c r="Z120" s="497"/>
    </row>
    <row r="121" spans="8:26">
      <c r="H121" s="496"/>
      <c r="N121" s="496"/>
      <c r="Z121" s="497"/>
    </row>
    <row r="122" spans="8:26">
      <c r="H122" s="346"/>
      <c r="I122" s="325" t="s">
        <v>830</v>
      </c>
      <c r="J122" s="325"/>
      <c r="K122" s="833">
        <f ca="1">K120*K116</f>
        <v>0.65316243724834122</v>
      </c>
      <c r="L122" s="833">
        <f>L120*L116</f>
        <v>0.56154738211267385</v>
      </c>
      <c r="M122" s="833">
        <f>M120*M116</f>
        <v>0.86289374770700444</v>
      </c>
      <c r="N122" s="496"/>
      <c r="Z122" s="497"/>
    </row>
    <row r="123" spans="8:26">
      <c r="H123" s="496"/>
      <c r="N123" s="496"/>
      <c r="Z123" s="497"/>
    </row>
    <row r="124" spans="8:26">
      <c r="H124" s="346"/>
      <c r="I124" s="325" t="s">
        <v>810</v>
      </c>
      <c r="J124" s="325"/>
      <c r="K124" s="833">
        <f ca="1">K122/K12</f>
        <v>32.658121862417062</v>
      </c>
      <c r="L124" s="833">
        <f>L122/L12</f>
        <v>25.524881005121539</v>
      </c>
      <c r="M124" s="833">
        <f>M122/M12</f>
        <v>39.222443077591116</v>
      </c>
      <c r="N124" s="496"/>
      <c r="Z124" s="497"/>
    </row>
    <row r="125" spans="8:26">
      <c r="H125" s="496"/>
      <c r="N125" s="496"/>
      <c r="Z125" s="497"/>
    </row>
    <row r="126" spans="8:26">
      <c r="H126" s="347"/>
      <c r="I126" s="843" t="s">
        <v>863</v>
      </c>
      <c r="J126" s="843"/>
      <c r="K126" s="854">
        <f ca="1">ROUNDUP(K124,0)</f>
        <v>33</v>
      </c>
      <c r="L126" s="854">
        <f>ROUNDUP(L124,0)</f>
        <v>26</v>
      </c>
      <c r="M126" s="854">
        <f>ROUNDUP(M124,0)</f>
        <v>40</v>
      </c>
      <c r="N126" s="496"/>
      <c r="Z126" s="497"/>
    </row>
    <row r="127" spans="8:26">
      <c r="N127" s="496"/>
      <c r="Z127" s="497"/>
    </row>
    <row r="128" spans="8:26">
      <c r="N128" s="496"/>
      <c r="Z128" s="497"/>
    </row>
    <row r="129" spans="8:59">
      <c r="N129" s="496"/>
      <c r="Z129" s="497"/>
    </row>
    <row r="130" spans="8:59">
      <c r="N130" s="496"/>
      <c r="Z130" s="497"/>
    </row>
    <row r="131" spans="8:59">
      <c r="N131" s="496"/>
      <c r="Z131" s="497"/>
    </row>
    <row r="132" spans="8:59">
      <c r="N132" s="831"/>
      <c r="O132" s="512"/>
      <c r="P132" s="512"/>
      <c r="Q132" s="512"/>
      <c r="R132" s="512"/>
      <c r="S132" s="512"/>
      <c r="T132" s="512"/>
      <c r="U132" s="512"/>
      <c r="V132" s="512"/>
      <c r="W132" s="512"/>
      <c r="X132" s="512"/>
      <c r="Y132" s="512"/>
      <c r="Z132" s="832"/>
    </row>
    <row r="137" spans="8:59">
      <c r="H137" s="1283" t="s">
        <v>945</v>
      </c>
      <c r="I137" s="1381"/>
      <c r="J137" s="1381"/>
      <c r="K137" s="1381"/>
      <c r="L137" s="1381"/>
      <c r="M137" s="1381"/>
      <c r="N137" s="1381"/>
      <c r="O137" s="1381"/>
      <c r="P137" s="1381"/>
      <c r="Q137" s="1381"/>
      <c r="R137" s="1381"/>
      <c r="S137" s="1381"/>
      <c r="T137" s="1381"/>
      <c r="U137" s="1381"/>
      <c r="V137" s="1381"/>
      <c r="W137" s="1381"/>
      <c r="X137" s="1381"/>
      <c r="Y137" s="1381"/>
      <c r="Z137" s="1284"/>
    </row>
    <row r="139" spans="8:59" ht="30.75" customHeight="1">
      <c r="H139" s="1263" t="s">
        <v>946</v>
      </c>
      <c r="I139" s="1233"/>
      <c r="J139" s="1233"/>
      <c r="K139" s="1233"/>
      <c r="L139" s="1233"/>
      <c r="M139" s="1233"/>
      <c r="N139" s="1233"/>
      <c r="O139" s="1233"/>
      <c r="P139" s="1233"/>
      <c r="Q139" s="1233"/>
      <c r="R139" s="1233"/>
      <c r="S139" s="1233"/>
      <c r="T139" s="1233"/>
      <c r="U139" s="1233"/>
      <c r="V139" s="1233"/>
      <c r="W139" s="1233"/>
      <c r="X139" s="1233"/>
      <c r="Y139" s="1233"/>
      <c r="Z139" s="1234"/>
    </row>
    <row r="140" spans="8:59" ht="60.75" customHeight="1">
      <c r="H140" s="1382" t="s">
        <v>947</v>
      </c>
      <c r="I140" s="1383"/>
      <c r="J140" s="1383"/>
      <c r="K140" s="1383"/>
      <c r="L140" s="1383"/>
      <c r="M140" s="1383"/>
      <c r="N140" s="1383"/>
      <c r="O140" s="1383"/>
      <c r="P140" s="1383"/>
      <c r="Q140" s="1383"/>
      <c r="R140" s="1383"/>
      <c r="S140" s="1383"/>
      <c r="T140" s="1383"/>
      <c r="U140" s="1383"/>
      <c r="V140" s="1383"/>
      <c r="W140" s="1383"/>
      <c r="X140" s="1383"/>
      <c r="Y140" s="1383"/>
      <c r="Z140" s="1384"/>
      <c r="AX140" s="1382" t="s">
        <v>948</v>
      </c>
      <c r="AY140" s="1383"/>
      <c r="AZ140" s="1383"/>
      <c r="BA140" s="1383"/>
      <c r="BB140" s="1383"/>
      <c r="BC140" s="1383"/>
      <c r="BD140" s="1383"/>
      <c r="BE140" s="1383"/>
      <c r="BF140" s="1383"/>
      <c r="BG140" s="1384"/>
    </row>
    <row r="141" spans="8:59" ht="45.75" customHeight="1">
      <c r="H141" t="s">
        <v>119</v>
      </c>
      <c r="I141" t="s">
        <v>842</v>
      </c>
      <c r="K141" s="863">
        <f>K13</f>
        <v>7570000</v>
      </c>
      <c r="L141" s="863">
        <f>L13</f>
        <v>10990000</v>
      </c>
      <c r="M141" s="863">
        <f>M13</f>
        <v>10990000</v>
      </c>
    </row>
    <row r="142" spans="8:59">
      <c r="I142" t="s">
        <v>949</v>
      </c>
      <c r="J142" t="s">
        <v>950</v>
      </c>
    </row>
    <row r="149" spans="8:22">
      <c r="I149" t="s">
        <v>951</v>
      </c>
    </row>
    <row r="151" spans="8:22">
      <c r="H151" t="s">
        <v>952</v>
      </c>
      <c r="I151" t="s">
        <v>811</v>
      </c>
    </row>
    <row r="152" spans="8:22" ht="60">
      <c r="H152" t="s">
        <v>953</v>
      </c>
      <c r="J152" s="289" t="s">
        <v>954</v>
      </c>
    </row>
    <row r="153" spans="8:22">
      <c r="I153" t="s">
        <v>955</v>
      </c>
      <c r="K153" s="696">
        <v>458297</v>
      </c>
      <c r="L153" s="696">
        <v>458298</v>
      </c>
      <c r="M153" s="696">
        <v>458299</v>
      </c>
    </row>
    <row r="154" spans="8:22">
      <c r="J154" t="s">
        <v>956</v>
      </c>
      <c r="K154" s="864">
        <f>K141*0.5</f>
        <v>3785000</v>
      </c>
      <c r="L154" s="864">
        <f>L141*0.5</f>
        <v>5495000</v>
      </c>
      <c r="M154" s="864">
        <f>M141*0.5</f>
        <v>5495000</v>
      </c>
    </row>
    <row r="155" spans="8:22">
      <c r="H155" s="325" t="s">
        <v>957</v>
      </c>
      <c r="I155" s="325" t="s">
        <v>958</v>
      </c>
      <c r="J155" s="325"/>
      <c r="K155" s="325">
        <f>K269</f>
        <v>50</v>
      </c>
      <c r="L155" s="325">
        <f>L269</f>
        <v>50</v>
      </c>
      <c r="M155" s="325">
        <f>M269</f>
        <v>50</v>
      </c>
      <c r="N155" s="880"/>
      <c r="O155" s="880"/>
      <c r="P155" s="880"/>
      <c r="Q155" s="880"/>
      <c r="R155" s="880"/>
      <c r="S155" s="880"/>
      <c r="T155" s="880"/>
      <c r="U155" s="880"/>
      <c r="V155" s="880"/>
    </row>
    <row r="157" spans="8:22">
      <c r="H157" s="325" t="s">
        <v>959</v>
      </c>
      <c r="I157" s="325" t="s">
        <v>905</v>
      </c>
      <c r="J157" s="325" t="s">
        <v>960</v>
      </c>
      <c r="K157" s="833">
        <f>0.004214*POWER(10,-0.01135*K155)</f>
        <v>1.1407606481324598E-3</v>
      </c>
      <c r="L157" s="833">
        <f>0.004214*POWER(10,-0.01135*L155)</f>
        <v>1.1407606481324598E-3</v>
      </c>
      <c r="M157" s="833">
        <f>0.004214*POWER(10,-0.01135*M155)</f>
        <v>1.1407606481324598E-3</v>
      </c>
      <c r="N157" s="1385" t="s">
        <v>961</v>
      </c>
      <c r="O157" s="26"/>
      <c r="P157" s="26"/>
      <c r="Q157" s="26"/>
      <c r="R157" s="26"/>
      <c r="S157" s="26"/>
      <c r="T157" s="26"/>
      <c r="U157" s="26"/>
      <c r="V157" s="26"/>
    </row>
    <row r="158" spans="8:22">
      <c r="H158" s="834" t="s">
        <v>962</v>
      </c>
      <c r="I158" s="834" t="s">
        <v>905</v>
      </c>
      <c r="J158" s="834" t="s">
        <v>963</v>
      </c>
      <c r="K158" s="856">
        <f>0.003634*POWER(10,-0.00813*K155)</f>
        <v>1.4252298937728501E-3</v>
      </c>
      <c r="L158" s="856">
        <f>0.003634*POWER(10,-0.00813*L155)</f>
        <v>1.4252298937728501E-3</v>
      </c>
      <c r="M158" s="856">
        <f>0.003634*POWER(10,-0.00813*M155)</f>
        <v>1.4252298937728501E-3</v>
      </c>
      <c r="N158" s="1385"/>
      <c r="O158" s="26"/>
      <c r="P158" s="26"/>
      <c r="Q158" s="26"/>
      <c r="R158" s="26"/>
      <c r="S158" s="26"/>
      <c r="T158" s="26"/>
      <c r="U158" s="26"/>
      <c r="V158" s="26"/>
    </row>
    <row r="159" spans="8:22">
      <c r="H159" s="325" t="s">
        <v>964</v>
      </c>
      <c r="I159" s="325" t="s">
        <v>905</v>
      </c>
      <c r="J159" s="325" t="s">
        <v>965</v>
      </c>
      <c r="K159" s="833">
        <f>0.003061*POWER(10,-0.0044*K155)</f>
        <v>1.8444348929736092E-3</v>
      </c>
      <c r="L159" s="833">
        <f>0.003061*POWER(10,-0.0044*L155)</f>
        <v>1.8444348929736092E-3</v>
      </c>
      <c r="M159" s="833">
        <f>0.003061*POWER(10,-0.0044*M155)</f>
        <v>1.8444348929736092E-3</v>
      </c>
      <c r="N159" s="1385"/>
      <c r="O159" s="26"/>
      <c r="P159" s="26"/>
      <c r="Q159" s="26"/>
      <c r="R159" s="26"/>
      <c r="S159" s="26"/>
      <c r="T159" s="26"/>
      <c r="U159" s="26"/>
      <c r="V159" s="26"/>
    </row>
    <row r="160" spans="8:22">
      <c r="N160" s="1385"/>
      <c r="O160" s="26"/>
      <c r="P160" s="26"/>
      <c r="Q160" s="26"/>
      <c r="R160" s="26"/>
      <c r="S160" s="26"/>
      <c r="T160" s="26"/>
      <c r="U160" s="26"/>
      <c r="V160" s="26"/>
    </row>
    <row r="161" spans="8:22">
      <c r="H161" s="325" t="s">
        <v>959</v>
      </c>
      <c r="I161" s="325" t="s">
        <v>907</v>
      </c>
      <c r="J161" s="325" t="s">
        <v>960</v>
      </c>
      <c r="K161" s="833">
        <f>0.002768*POWER(10,-0.0221*K159)</f>
        <v>2.7677402132499397E-3</v>
      </c>
      <c r="L161" s="833">
        <f>0.002768*POWER(10,-0.0221*L159)</f>
        <v>2.7677402132499397E-3</v>
      </c>
      <c r="M161" s="833">
        <f>0.002768*POWER(10,-0.0221*M159)</f>
        <v>2.7677402132499397E-3</v>
      </c>
      <c r="N161" s="1385"/>
      <c r="O161" s="26"/>
      <c r="P161" s="26"/>
      <c r="Q161" s="26"/>
      <c r="R161" s="26"/>
      <c r="S161" s="26"/>
      <c r="T161" s="26"/>
      <c r="U161" s="26"/>
      <c r="V161" s="26"/>
    </row>
    <row r="162" spans="8:22">
      <c r="H162" s="834" t="s">
        <v>962</v>
      </c>
      <c r="I162" s="325" t="s">
        <v>907</v>
      </c>
      <c r="J162" s="834" t="s">
        <v>963</v>
      </c>
      <c r="K162" s="865">
        <v>1E-3</v>
      </c>
      <c r="L162" s="865">
        <v>1E-3</v>
      </c>
      <c r="M162" s="865">
        <v>1E-3</v>
      </c>
      <c r="N162" s="1385"/>
      <c r="O162" s="26"/>
      <c r="P162" s="26"/>
      <c r="Q162" s="26"/>
      <c r="R162" s="26"/>
      <c r="S162" s="26"/>
      <c r="T162" s="26"/>
      <c r="U162" s="26"/>
      <c r="V162" s="26"/>
    </row>
    <row r="163" spans="8:22">
      <c r="H163" s="325" t="s">
        <v>964</v>
      </c>
      <c r="I163" s="325" t="s">
        <v>907</v>
      </c>
      <c r="J163" s="325" t="s">
        <v>965</v>
      </c>
      <c r="K163" s="689">
        <v>1E-3</v>
      </c>
      <c r="L163" s="689">
        <v>1E-3</v>
      </c>
      <c r="M163" s="689">
        <v>1E-3</v>
      </c>
      <c r="N163" s="1385"/>
      <c r="O163" s="26"/>
      <c r="P163" s="26"/>
      <c r="Q163" s="26"/>
      <c r="R163" s="26"/>
      <c r="S163" s="26"/>
      <c r="T163" s="26"/>
      <c r="U163" s="26"/>
      <c r="V163" s="26"/>
    </row>
    <row r="166" spans="8:22">
      <c r="H166" s="325" t="s">
        <v>966</v>
      </c>
      <c r="I166" s="866" t="s">
        <v>921</v>
      </c>
      <c r="J166" s="325" t="s">
        <v>877</v>
      </c>
      <c r="K166" s="657">
        <f>K79</f>
        <v>120</v>
      </c>
      <c r="L166" s="657">
        <f>L79</f>
        <v>63.277777779999994</v>
      </c>
      <c r="M166" s="657">
        <f>M79</f>
        <v>63.277777779999994</v>
      </c>
    </row>
    <row r="167" spans="8:22">
      <c r="H167" s="834" t="s">
        <v>967</v>
      </c>
      <c r="I167" s="325" t="s">
        <v>883</v>
      </c>
      <c r="J167" s="325" t="s">
        <v>877</v>
      </c>
      <c r="K167" s="657">
        <f>K40</f>
        <v>38</v>
      </c>
      <c r="L167" s="657">
        <f>L40</f>
        <v>38</v>
      </c>
      <c r="M167" s="657">
        <f>M40</f>
        <v>38</v>
      </c>
    </row>
    <row r="169" spans="8:22">
      <c r="H169" s="827"/>
      <c r="I169" s="827"/>
      <c r="J169" s="827" t="s">
        <v>968</v>
      </c>
      <c r="K169" s="828">
        <f>K166-K167</f>
        <v>82</v>
      </c>
      <c r="L169" s="828">
        <f>L166-L167</f>
        <v>25.277777779999994</v>
      </c>
      <c r="M169" s="828">
        <f>M166-M167</f>
        <v>25.277777779999994</v>
      </c>
    </row>
    <row r="170" spans="8:22">
      <c r="H170" s="827"/>
      <c r="I170" s="827"/>
      <c r="J170" s="827" t="s">
        <v>969</v>
      </c>
      <c r="K170" s="828">
        <f>POWER(K169,2)</f>
        <v>6724</v>
      </c>
      <c r="L170" s="828">
        <f>POWER(L169,2)</f>
        <v>638.96604949506138</v>
      </c>
      <c r="M170" s="828">
        <f>POWER(M169,2)</f>
        <v>638.96604949506138</v>
      </c>
    </row>
    <row r="171" spans="8:22">
      <c r="H171" s="325"/>
      <c r="I171" s="325"/>
      <c r="J171" s="325">
        <v>6.2500000000000001E-5</v>
      </c>
      <c r="K171" s="657">
        <f>J171*K170</f>
        <v>0.42025000000000001</v>
      </c>
      <c r="L171" s="657">
        <f>J171*L170</f>
        <v>3.9935378093441339E-2</v>
      </c>
      <c r="M171" s="657">
        <f>J171*M170</f>
        <v>3.9935378093441339E-2</v>
      </c>
    </row>
    <row r="172" spans="8:22">
      <c r="H172" s="325"/>
      <c r="I172" s="325"/>
      <c r="J172" s="325">
        <v>1.25E-3</v>
      </c>
      <c r="K172" s="657">
        <f>J172*K169</f>
        <v>0.10250000000000001</v>
      </c>
      <c r="L172" s="657">
        <f>J172*L169</f>
        <v>3.1597222224999992E-2</v>
      </c>
      <c r="M172" s="657">
        <f>J172*M169</f>
        <v>3.1597222224999992E-2</v>
      </c>
    </row>
    <row r="173" spans="8:22">
      <c r="H173" s="325" t="s">
        <v>970</v>
      </c>
      <c r="I173" s="325" t="s">
        <v>971</v>
      </c>
      <c r="J173" s="325">
        <v>0.7</v>
      </c>
      <c r="K173" s="657">
        <f>K171+K172+J173</f>
        <v>1.22275</v>
      </c>
      <c r="L173" s="657">
        <f>L171+L172+J173</f>
        <v>0.77153260031844129</v>
      </c>
      <c r="M173" s="657">
        <f>M171+M172+J173</f>
        <v>0.77153260031844129</v>
      </c>
    </row>
    <row r="175" spans="8:22">
      <c r="H175" s="325"/>
      <c r="I175" s="325" t="s">
        <v>888</v>
      </c>
      <c r="J175" s="325"/>
      <c r="K175" s="657">
        <f>K42</f>
        <v>10</v>
      </c>
      <c r="L175" s="657">
        <f>L42</f>
        <v>10</v>
      </c>
      <c r="M175" s="657">
        <f>M42</f>
        <v>10</v>
      </c>
    </row>
    <row r="176" spans="8:22">
      <c r="H176" s="325"/>
      <c r="I176" s="325" t="s">
        <v>901</v>
      </c>
      <c r="J176" s="325"/>
      <c r="K176" s="657">
        <f>K48</f>
        <v>1.15E-5</v>
      </c>
      <c r="L176" s="657">
        <f>L48</f>
        <v>1.15E-5</v>
      </c>
      <c r="M176" s="657">
        <f>M48</f>
        <v>1.15E-5</v>
      </c>
    </row>
    <row r="177" spans="8:13">
      <c r="H177" s="325"/>
      <c r="I177" s="325" t="s">
        <v>896</v>
      </c>
      <c r="J177" s="325"/>
      <c r="K177" s="657">
        <f>K46</f>
        <v>1.0000000000000001E-5</v>
      </c>
      <c r="L177" s="657">
        <f>L46</f>
        <v>5.2399999999999998E-6</v>
      </c>
      <c r="M177" s="657">
        <f>M46</f>
        <v>5.2399999999999998E-6</v>
      </c>
    </row>
    <row r="178" spans="8:13">
      <c r="H178" s="325"/>
      <c r="I178" s="325" t="s">
        <v>892</v>
      </c>
      <c r="J178" s="325"/>
      <c r="K178" s="657">
        <f>K44</f>
        <v>7.9999999999999996E-6</v>
      </c>
      <c r="L178" s="657">
        <f>L44</f>
        <v>2.2000000000000001E-7</v>
      </c>
      <c r="M178" s="657">
        <f>M44</f>
        <v>2.2000000000000001E-7</v>
      </c>
    </row>
    <row r="180" spans="8:13">
      <c r="H180" s="325"/>
      <c r="I180" s="325"/>
      <c r="J180" s="325" t="s">
        <v>972</v>
      </c>
      <c r="K180" s="657">
        <f>K175*(K176-K177)</f>
        <v>1.4999999999999992E-5</v>
      </c>
      <c r="L180" s="657">
        <f>L175*(L176-L177)</f>
        <v>6.2600000000000004E-5</v>
      </c>
      <c r="M180" s="657">
        <f>M175*(M176-M177)</f>
        <v>6.2600000000000004E-5</v>
      </c>
    </row>
    <row r="182" spans="8:13">
      <c r="H182" s="325"/>
      <c r="I182" s="325"/>
      <c r="J182" s="325" t="s">
        <v>973</v>
      </c>
      <c r="K182" s="657">
        <f>K175*(K176-K178)</f>
        <v>3.5000000000000004E-5</v>
      </c>
      <c r="L182" s="657">
        <f>L175*(L176-L178)</f>
        <v>1.128E-4</v>
      </c>
      <c r="M182" s="657">
        <f>M175*(M176-M178)</f>
        <v>1.128E-4</v>
      </c>
    </row>
    <row r="184" spans="8:13">
      <c r="H184" s="325"/>
      <c r="I184" s="325"/>
      <c r="J184" s="325" t="s">
        <v>974</v>
      </c>
      <c r="K184" s="657">
        <f>$K$173*K157</f>
        <v>1.3948650825039652E-3</v>
      </c>
      <c r="L184" s="657">
        <f>$L$173*L157</f>
        <v>8.8013402919458715E-4</v>
      </c>
      <c r="M184" s="657">
        <f>$M$173*M157</f>
        <v>8.8013402919458715E-4</v>
      </c>
    </row>
    <row r="185" spans="8:13">
      <c r="H185" s="325"/>
      <c r="I185" s="325"/>
      <c r="J185" s="325" t="s">
        <v>975</v>
      </c>
      <c r="K185" s="657">
        <f>$K$173*K158</f>
        <v>1.7426998526107525E-3</v>
      </c>
      <c r="L185" s="657">
        <f>$L$173*L158</f>
        <v>1.0996113259941428E-3</v>
      </c>
      <c r="M185" s="657">
        <f>$M$173*M158</f>
        <v>1.0996113259941428E-3</v>
      </c>
    </row>
    <row r="186" spans="8:13">
      <c r="H186" s="325"/>
      <c r="I186" s="325"/>
      <c r="J186" s="325" t="s">
        <v>976</v>
      </c>
      <c r="K186" s="657">
        <f>$K$173*K159</f>
        <v>2.2552827653834805E-3</v>
      </c>
      <c r="L186" s="657">
        <f>$L$173*L159</f>
        <v>1.4230416490939946E-3</v>
      </c>
      <c r="M186" s="657">
        <f>$M$173*M159</f>
        <v>1.4230416490939946E-3</v>
      </c>
    </row>
    <row r="188" spans="8:13">
      <c r="H188" s="325"/>
      <c r="I188" s="325"/>
      <c r="J188" s="325" t="s">
        <v>977</v>
      </c>
      <c r="K188" s="657">
        <f>$K$173*K161</f>
        <v>3.3842543457513639E-3</v>
      </c>
      <c r="L188" s="657">
        <f>$L$173*L161</f>
        <v>2.1354018037346434E-3</v>
      </c>
      <c r="M188" s="657">
        <f>$M$173*M161</f>
        <v>2.1354018037346434E-3</v>
      </c>
    </row>
    <row r="189" spans="8:13">
      <c r="H189" s="325"/>
      <c r="I189" s="325"/>
      <c r="J189" s="325" t="s">
        <v>978</v>
      </c>
      <c r="K189" s="657">
        <f>$K$173*K162</f>
        <v>1.2227500000000001E-3</v>
      </c>
      <c r="L189" s="657">
        <f>$L$173*L162</f>
        <v>7.7153260031844135E-4</v>
      </c>
      <c r="M189" s="657">
        <f>$M$173*M162</f>
        <v>7.7153260031844135E-4</v>
      </c>
    </row>
    <row r="190" spans="8:13">
      <c r="H190" s="325"/>
      <c r="I190" s="325"/>
      <c r="J190" s="325" t="s">
        <v>979</v>
      </c>
      <c r="K190" s="657">
        <f>$K$173*K163</f>
        <v>1.2227500000000001E-3</v>
      </c>
      <c r="L190" s="657">
        <f>$L$173*L163</f>
        <v>7.7153260031844135E-4</v>
      </c>
      <c r="M190" s="657">
        <f>$M$173*M163</f>
        <v>7.7153260031844135E-4</v>
      </c>
    </row>
    <row r="192" spans="8:13">
      <c r="H192" s="325" t="s">
        <v>980</v>
      </c>
      <c r="I192" s="325" t="s">
        <v>981</v>
      </c>
      <c r="J192" s="325" t="s">
        <v>982</v>
      </c>
      <c r="K192" s="657">
        <f>K184-$K$180</f>
        <v>1.3798650825039651E-3</v>
      </c>
      <c r="L192" s="657">
        <f>L184-$L$180</f>
        <v>8.1753402919458715E-4</v>
      </c>
      <c r="M192" s="657">
        <f>M184-$M$180</f>
        <v>8.1753402919458715E-4</v>
      </c>
    </row>
    <row r="193" spans="8:13">
      <c r="H193" s="325" t="s">
        <v>983</v>
      </c>
      <c r="I193" s="325" t="s">
        <v>981</v>
      </c>
      <c r="J193" s="325" t="s">
        <v>984</v>
      </c>
      <c r="K193" s="657">
        <f>K185-$K$180</f>
        <v>1.7276998526107525E-3</v>
      </c>
      <c r="L193" s="657">
        <f>L185-$L$180</f>
        <v>1.0370113259941427E-3</v>
      </c>
      <c r="M193" s="657">
        <f>M185-$M$180</f>
        <v>1.0370113259941427E-3</v>
      </c>
    </row>
    <row r="194" spans="8:13">
      <c r="H194" s="325" t="s">
        <v>985</v>
      </c>
      <c r="I194" s="325" t="s">
        <v>981</v>
      </c>
      <c r="J194" s="325" t="s">
        <v>986</v>
      </c>
      <c r="K194" s="657">
        <f>K186-$K$180</f>
        <v>2.2402827653834807E-3</v>
      </c>
      <c r="L194" s="657">
        <f>L186-$L$180</f>
        <v>1.3604416490939947E-3</v>
      </c>
      <c r="M194" s="657">
        <f>M186-$M$180</f>
        <v>1.3604416490939947E-3</v>
      </c>
    </row>
    <row r="196" spans="8:13">
      <c r="H196" s="325" t="s">
        <v>987</v>
      </c>
      <c r="I196" s="325" t="s">
        <v>988</v>
      </c>
      <c r="J196" s="325" t="s">
        <v>989</v>
      </c>
      <c r="K196" s="657">
        <f>K188-$K$182</f>
        <v>3.349254345751364E-3</v>
      </c>
      <c r="L196" s="657">
        <f>L188-$L$182</f>
        <v>2.0226018037346432E-3</v>
      </c>
      <c r="M196" s="657">
        <f>M188-$M$182</f>
        <v>2.0226018037346432E-3</v>
      </c>
    </row>
    <row r="197" spans="8:13">
      <c r="H197" s="325" t="s">
        <v>990</v>
      </c>
      <c r="I197" s="325" t="s">
        <v>988</v>
      </c>
      <c r="J197" s="325" t="s">
        <v>991</v>
      </c>
      <c r="K197" s="657">
        <f>K189-$K$182</f>
        <v>1.18775E-3</v>
      </c>
      <c r="L197" s="657">
        <f>L189-$L$182</f>
        <v>6.5873260031844131E-4</v>
      </c>
      <c r="M197" s="657">
        <f>M189-$M$182</f>
        <v>6.5873260031844131E-4</v>
      </c>
    </row>
    <row r="198" spans="8:13">
      <c r="H198" s="325" t="s">
        <v>992</v>
      </c>
      <c r="I198" s="325" t="s">
        <v>988</v>
      </c>
      <c r="J198" s="325" t="s">
        <v>993</v>
      </c>
      <c r="K198" s="657">
        <f>K190-$K$182</f>
        <v>1.18775E-3</v>
      </c>
      <c r="L198" s="657">
        <f>L190-$L$182</f>
        <v>6.5873260031844131E-4</v>
      </c>
      <c r="M198" s="657">
        <f>M190-$M$182</f>
        <v>6.5873260031844131E-4</v>
      </c>
    </row>
    <row r="200" spans="8:13">
      <c r="H200" s="325"/>
      <c r="I200" s="325" t="s">
        <v>911</v>
      </c>
      <c r="J200" s="325"/>
      <c r="K200" s="657">
        <f ca="1">K56</f>
        <v>759.52941176470597</v>
      </c>
      <c r="L200" s="657">
        <f>L56</f>
        <v>759.52941176470597</v>
      </c>
      <c r="M200" s="657">
        <f>M56</f>
        <v>1167.1199999999999</v>
      </c>
    </row>
    <row r="202" spans="8:13">
      <c r="H202" s="325"/>
      <c r="I202" s="325" t="s">
        <v>909</v>
      </c>
      <c r="J202" s="325"/>
      <c r="K202" s="657">
        <f ca="1">K55</f>
        <v>1519.0588235294119</v>
      </c>
      <c r="L202" s="657">
        <f>L55</f>
        <v>1519.0588235294119</v>
      </c>
      <c r="M202" s="657">
        <f>M55</f>
        <v>2334.2399999999998</v>
      </c>
    </row>
    <row r="204" spans="8:13">
      <c r="H204" s="325"/>
      <c r="I204" s="325" t="s">
        <v>912</v>
      </c>
      <c r="J204" s="325" t="s">
        <v>994</v>
      </c>
      <c r="K204" s="657">
        <f ca="1">K200/K202</f>
        <v>0.5</v>
      </c>
      <c r="L204" s="657">
        <f>L200/L202</f>
        <v>0.5</v>
      </c>
      <c r="M204" s="657">
        <f>M200/M202</f>
        <v>0.5</v>
      </c>
    </row>
    <row r="206" spans="8:13">
      <c r="H206" s="325"/>
      <c r="I206" s="325"/>
      <c r="J206" s="325" t="s">
        <v>995</v>
      </c>
      <c r="K206" s="657">
        <f ca="1">K204-1</f>
        <v>-0.5</v>
      </c>
      <c r="L206" s="657">
        <f>L204-1</f>
        <v>-0.5</v>
      </c>
      <c r="M206" s="657">
        <f>M204-1</f>
        <v>-0.5</v>
      </c>
    </row>
    <row r="208" spans="8:13">
      <c r="H208" s="325"/>
      <c r="I208" s="325"/>
      <c r="J208" s="325" t="s">
        <v>996</v>
      </c>
      <c r="K208" s="657">
        <f>150*POWER(10,6)</f>
        <v>150000000</v>
      </c>
      <c r="L208" s="657">
        <f>150*POWER(10,6)</f>
        <v>150000000</v>
      </c>
      <c r="M208" s="657">
        <f>150*POWER(10,6)</f>
        <v>150000000</v>
      </c>
    </row>
    <row r="210" spans="8:13">
      <c r="H210" s="325"/>
      <c r="I210" s="325"/>
      <c r="J210" s="325" t="s">
        <v>997</v>
      </c>
      <c r="K210" s="657">
        <f>LOG10(K208)</f>
        <v>8.1760912590556813</v>
      </c>
      <c r="L210" s="657">
        <f>LOG10(L208)</f>
        <v>8.1760912590556813</v>
      </c>
      <c r="M210" s="657">
        <f>LOG10(M208)</f>
        <v>8.1760912590556813</v>
      </c>
    </row>
    <row r="212" spans="8:13">
      <c r="H212" s="325"/>
      <c r="I212" s="325"/>
      <c r="J212" s="325" t="s">
        <v>998</v>
      </c>
      <c r="K212" s="657">
        <f>LOG10(7000)</f>
        <v>3.8450980400142569</v>
      </c>
      <c r="L212" s="657">
        <f>LOG10(7000)</f>
        <v>3.8450980400142569</v>
      </c>
      <c r="M212" s="657">
        <f>LOG10(7000)</f>
        <v>3.8450980400142569</v>
      </c>
    </row>
    <row r="214" spans="8:13">
      <c r="H214" s="325"/>
      <c r="I214" s="325"/>
      <c r="J214" s="325" t="s">
        <v>999</v>
      </c>
      <c r="K214" s="657">
        <f>K210-K212</f>
        <v>4.3309932190414244</v>
      </c>
      <c r="L214" s="657">
        <f>L210-L212</f>
        <v>4.3309932190414244</v>
      </c>
      <c r="M214" s="657">
        <f>M210-M212</f>
        <v>4.3309932190414244</v>
      </c>
    </row>
    <row r="216" spans="8:13">
      <c r="H216" s="325"/>
      <c r="I216" s="325"/>
      <c r="J216" s="325" t="s">
        <v>1000</v>
      </c>
      <c r="K216" s="657">
        <f ca="1">K206/K214</f>
        <v>-0.11544695978782082</v>
      </c>
      <c r="L216" s="657">
        <f>L206/L214</f>
        <v>-0.11544695978782082</v>
      </c>
      <c r="M216" s="657">
        <f>M206/M214</f>
        <v>-0.11544695978782082</v>
      </c>
    </row>
    <row r="218" spans="8:13">
      <c r="H218" s="325"/>
      <c r="I218" s="325"/>
      <c r="J218" s="325" t="s">
        <v>1001</v>
      </c>
      <c r="K218" s="657">
        <f ca="1">K216*1.25</f>
        <v>-0.14430869973477603</v>
      </c>
      <c r="L218" s="657">
        <f>L216*1.25</f>
        <v>-0.14430869973477603</v>
      </c>
      <c r="M218" s="657">
        <f>M216*1.25</f>
        <v>-0.14430869973477603</v>
      </c>
    </row>
    <row r="220" spans="8:13">
      <c r="H220" s="325"/>
      <c r="I220" s="325"/>
      <c r="J220" s="325" t="s">
        <v>1002</v>
      </c>
      <c r="K220" s="657">
        <f>K61</f>
        <v>5.3979400086720375</v>
      </c>
      <c r="L220" s="657">
        <f>L61</f>
        <v>5.3979400086720375</v>
      </c>
      <c r="M220" s="657">
        <f>M61</f>
        <v>5.3979400086720375</v>
      </c>
    </row>
    <row r="222" spans="8:13">
      <c r="H222" s="325"/>
      <c r="I222" s="325"/>
      <c r="J222" s="325" t="s">
        <v>1003</v>
      </c>
      <c r="K222" s="657">
        <f ca="1">K218*K220</f>
        <v>-0.77896970389778741</v>
      </c>
      <c r="L222" s="657">
        <f>L218*L220</f>
        <v>-0.77896970389778741</v>
      </c>
      <c r="M222" s="657">
        <f>M218*M220</f>
        <v>-0.77896970389778741</v>
      </c>
    </row>
    <row r="224" spans="8:13">
      <c r="H224" s="325"/>
      <c r="I224" s="325"/>
      <c r="J224" s="325">
        <v>1</v>
      </c>
      <c r="K224" s="657">
        <f ca="1">K222+J224</f>
        <v>0.22103029610221259</v>
      </c>
      <c r="L224" s="657">
        <f>L222+J224</f>
        <v>0.22103029610221259</v>
      </c>
      <c r="M224" s="657">
        <f>M222+J224</f>
        <v>0.22103029610221259</v>
      </c>
    </row>
    <row r="226" spans="8:13">
      <c r="H226" s="325"/>
      <c r="I226" s="325"/>
      <c r="J226" s="325" t="s">
        <v>1004</v>
      </c>
      <c r="K226" s="657">
        <f ca="1">TAN(K218)</f>
        <v>-0.14531885811973866</v>
      </c>
      <c r="L226" s="657">
        <f>TAN(L218)</f>
        <v>-0.14531885811973866</v>
      </c>
      <c r="M226" s="657">
        <f>TAN(M218)</f>
        <v>-0.14531885811973866</v>
      </c>
    </row>
    <row r="228" spans="8:13">
      <c r="H228" s="325"/>
      <c r="I228" s="325"/>
      <c r="J228" s="325" t="s">
        <v>1005</v>
      </c>
      <c r="K228" s="657">
        <f ca="1">K226*K212</f>
        <v>-0.55876525653331699</v>
      </c>
      <c r="L228" s="657">
        <f>L226*L212</f>
        <v>-0.55876525653331699</v>
      </c>
      <c r="M228" s="657">
        <f>M226*M212</f>
        <v>-0.55876525653331699</v>
      </c>
    </row>
    <row r="230" spans="8:13">
      <c r="H230" s="325"/>
      <c r="I230" s="325" t="s">
        <v>919</v>
      </c>
      <c r="J230" s="325"/>
      <c r="K230" s="657">
        <f ca="1">K224-K228</f>
        <v>0.77979555263552958</v>
      </c>
      <c r="L230" s="657">
        <f>L224-L228</f>
        <v>0.77979555263552958</v>
      </c>
      <c r="M230" s="657">
        <f>M224-M228</f>
        <v>0.77979555263552958</v>
      </c>
    </row>
    <row r="233" spans="8:13">
      <c r="H233" s="325" t="s">
        <v>1006</v>
      </c>
      <c r="I233" s="325" t="s">
        <v>1007</v>
      </c>
      <c r="J233" s="325" t="s">
        <v>982</v>
      </c>
      <c r="K233" s="657">
        <f ca="1">$K$230*K192</f>
        <v>1.0760126545736502E-3</v>
      </c>
      <c r="L233" s="657">
        <f>$L$230*L192</f>
        <v>6.375094000941442E-4</v>
      </c>
      <c r="M233" s="657">
        <f>$M$230*M192</f>
        <v>6.375094000941442E-4</v>
      </c>
    </row>
    <row r="234" spans="8:13">
      <c r="H234" s="325" t="s">
        <v>1008</v>
      </c>
      <c r="I234" s="325" t="s">
        <v>1007</v>
      </c>
      <c r="J234" s="325" t="s">
        <v>984</v>
      </c>
      <c r="K234" s="657">
        <f ca="1">$K$230*K193</f>
        <v>1.3472526613549248E-3</v>
      </c>
      <c r="L234" s="657">
        <f>$L$230*L193</f>
        <v>8.086568200429058E-4</v>
      </c>
      <c r="M234" s="657">
        <f>$M$230*M193</f>
        <v>8.086568200429058E-4</v>
      </c>
    </row>
    <row r="235" spans="8:13">
      <c r="H235" s="325" t="s">
        <v>1009</v>
      </c>
      <c r="I235" s="325" t="s">
        <v>1007</v>
      </c>
      <c r="J235" s="325" t="s">
        <v>986</v>
      </c>
      <c r="K235" s="657">
        <f ca="1">$K$230*K194</f>
        <v>1.7469625370920637E-3</v>
      </c>
      <c r="L235" s="657">
        <f>$L$230*L194</f>
        <v>1.0608663475836428E-3</v>
      </c>
      <c r="M235" s="657">
        <f>$M$230*M194</f>
        <v>1.0608663475836428E-3</v>
      </c>
    </row>
    <row r="237" spans="8:13">
      <c r="H237" s="325" t="s">
        <v>1010</v>
      </c>
      <c r="I237" s="325" t="s">
        <v>1011</v>
      </c>
      <c r="J237" s="325" t="s">
        <v>989</v>
      </c>
      <c r="K237" s="657">
        <f ca="1">$K$230*K196</f>
        <v>2.611733643462134E-3</v>
      </c>
      <c r="L237" s="657">
        <f>$L$230*L196</f>
        <v>1.577215891304875E-3</v>
      </c>
      <c r="M237" s="657">
        <f>$M$230*M196</f>
        <v>1.577215891304875E-3</v>
      </c>
    </row>
    <row r="238" spans="8:13">
      <c r="H238" s="325" t="s">
        <v>1012</v>
      </c>
      <c r="I238" s="325" t="s">
        <v>1011</v>
      </c>
      <c r="J238" s="325" t="s">
        <v>991</v>
      </c>
      <c r="K238" s="657">
        <f t="shared" ref="K238:K239" ca="1" si="4">$K$230*K197</f>
        <v>9.2620216764285022E-4</v>
      </c>
      <c r="L238" s="657">
        <f>$L$230*L197</f>
        <v>5.1367675210435841E-4</v>
      </c>
      <c r="M238" s="657">
        <f>$M$230*M197</f>
        <v>5.1367675210435841E-4</v>
      </c>
    </row>
    <row r="239" spans="8:13">
      <c r="H239" s="325" t="s">
        <v>1013</v>
      </c>
      <c r="I239" s="325" t="s">
        <v>1011</v>
      </c>
      <c r="J239" s="325" t="s">
        <v>993</v>
      </c>
      <c r="K239" s="657">
        <f t="shared" ca="1" si="4"/>
        <v>9.2620216764285022E-4</v>
      </c>
      <c r="L239" s="657">
        <f>$L$230*L198</f>
        <v>5.1367675210435841E-4</v>
      </c>
      <c r="M239" s="657">
        <f>$M$230*M198</f>
        <v>5.1367675210435841E-4</v>
      </c>
    </row>
    <row r="242" spans="8:13">
      <c r="H242" s="325" t="s">
        <v>805</v>
      </c>
      <c r="I242" s="325" t="s">
        <v>806</v>
      </c>
      <c r="J242" s="325"/>
      <c r="K242" s="657">
        <f>K3</f>
        <v>12.75</v>
      </c>
      <c r="L242" s="657">
        <f>L3</f>
        <v>12.75</v>
      </c>
      <c r="M242" s="657">
        <f>M3</f>
        <v>12.75</v>
      </c>
    </row>
    <row r="243" spans="8:13">
      <c r="H243" s="325" t="s">
        <v>1014</v>
      </c>
      <c r="I243" s="325" t="s">
        <v>951</v>
      </c>
      <c r="J243" s="325"/>
      <c r="K243" s="657">
        <f ca="1">K17</f>
        <v>1519.0588235294119</v>
      </c>
      <c r="L243" s="657">
        <f>L17</f>
        <v>1519.0588235294119</v>
      </c>
      <c r="M243" s="657">
        <f>M17</f>
        <v>2334.2399999999998</v>
      </c>
    </row>
    <row r="244" spans="8:13">
      <c r="H244" s="325" t="s">
        <v>1015</v>
      </c>
      <c r="I244" s="325" t="s">
        <v>1016</v>
      </c>
      <c r="J244" s="325"/>
      <c r="K244" s="325">
        <v>1093</v>
      </c>
      <c r="L244" s="325">
        <v>1093</v>
      </c>
      <c r="M244" s="325">
        <v>1679.74</v>
      </c>
    </row>
    <row r="245" spans="8:13">
      <c r="H245" s="325" t="s">
        <v>119</v>
      </c>
      <c r="I245" s="325" t="s">
        <v>842</v>
      </c>
      <c r="J245" s="325"/>
      <c r="K245" s="867">
        <f>K141</f>
        <v>7570000</v>
      </c>
      <c r="L245" s="867">
        <f>L141</f>
        <v>10990000</v>
      </c>
      <c r="M245" s="867">
        <f>M141</f>
        <v>10990000</v>
      </c>
    </row>
    <row r="247" spans="8:13" hidden="1">
      <c r="J247" t="s">
        <v>1017</v>
      </c>
      <c r="K247">
        <f ca="1">K243-K244</f>
        <v>426.05882352941194</v>
      </c>
      <c r="L247">
        <f>L243-L244</f>
        <v>426.05882352941194</v>
      </c>
      <c r="M247">
        <f>M243-M244</f>
        <v>654.49999999999977</v>
      </c>
    </row>
    <row r="248" spans="8:13" hidden="1"/>
    <row r="249" spans="8:13" hidden="1">
      <c r="H249" s="325"/>
      <c r="I249" s="325"/>
      <c r="J249" s="325" t="s">
        <v>1018</v>
      </c>
      <c r="K249" s="867">
        <f ca="1">2*K233*$K$245</f>
        <v>16290.831590245063</v>
      </c>
      <c r="L249" s="867">
        <f>2*L233*$L$245</f>
        <v>14012.45661406929</v>
      </c>
      <c r="M249" s="867">
        <f>2*M233*$M$245</f>
        <v>14012.45661406929</v>
      </c>
    </row>
    <row r="250" spans="8:13" hidden="1">
      <c r="H250" s="325"/>
      <c r="I250" s="325"/>
      <c r="J250" s="325" t="s">
        <v>1019</v>
      </c>
      <c r="K250" s="867">
        <f t="shared" ref="K250:K251" ca="1" si="5">2*K234*$K$245</f>
        <v>20397.405292913561</v>
      </c>
      <c r="L250" s="867">
        <f>2*L234*$L$245</f>
        <v>17774.276904543069</v>
      </c>
      <c r="M250" s="867">
        <f>2*M234*$M$245</f>
        <v>17774.276904543069</v>
      </c>
    </row>
    <row r="251" spans="8:13" hidden="1">
      <c r="H251" s="325"/>
      <c r="I251" s="325"/>
      <c r="J251" s="325" t="s">
        <v>1020</v>
      </c>
      <c r="K251" s="867">
        <f t="shared" ca="1" si="5"/>
        <v>26449.012811573844</v>
      </c>
      <c r="L251" s="867">
        <f>2*L235*$L$245</f>
        <v>23317.84231988847</v>
      </c>
      <c r="M251" s="867">
        <f>2*M235*$M$245</f>
        <v>23317.84231988847</v>
      </c>
    </row>
    <row r="252" spans="8:13" hidden="1"/>
    <row r="253" spans="8:13" hidden="1">
      <c r="H253" s="325"/>
      <c r="I253" s="325"/>
      <c r="J253" s="325" t="s">
        <v>1021</v>
      </c>
      <c r="K253" s="869">
        <f ca="1">$K$242/K249</f>
        <v>7.8264881257717313E-4</v>
      </c>
      <c r="L253" s="869">
        <f>$L$242/L249</f>
        <v>9.0990469060209527E-4</v>
      </c>
      <c r="M253" s="869">
        <f>$M$242/M249</f>
        <v>9.0990469060209527E-4</v>
      </c>
    </row>
    <row r="254" spans="8:13" hidden="1">
      <c r="H254" s="325"/>
      <c r="I254" s="325"/>
      <c r="J254" s="325" t="s">
        <v>1022</v>
      </c>
      <c r="K254" s="869">
        <f t="shared" ref="K254:K255" ca="1" si="6">$K$242/K250</f>
        <v>6.2507950481474172E-4</v>
      </c>
      <c r="L254" s="869">
        <f>$L$242/L250</f>
        <v>7.1732875933428982E-4</v>
      </c>
      <c r="M254" s="869">
        <f>$M$242/M250</f>
        <v>7.1732875933428982E-4</v>
      </c>
    </row>
    <row r="255" spans="8:13" hidden="1">
      <c r="H255" s="325"/>
      <c r="I255" s="325"/>
      <c r="J255" s="325" t="s">
        <v>1023</v>
      </c>
      <c r="K255" s="869">
        <f t="shared" ca="1" si="6"/>
        <v>4.8205957972165665E-4</v>
      </c>
      <c r="L255" s="869">
        <f>$L$242/L251</f>
        <v>5.467915866780329E-4</v>
      </c>
      <c r="M255" s="869">
        <f>$M$242/M251</f>
        <v>5.467915866780329E-4</v>
      </c>
    </row>
    <row r="256" spans="8:13" hidden="1">
      <c r="K256" s="870"/>
      <c r="L256" s="870"/>
      <c r="M256" s="870"/>
    </row>
    <row r="257" spans="8:14" hidden="1">
      <c r="H257" s="325" t="s">
        <v>1024</v>
      </c>
      <c r="I257" s="325" t="s">
        <v>830</v>
      </c>
      <c r="J257" s="325" t="s">
        <v>982</v>
      </c>
      <c r="K257" s="869">
        <f ca="1">K253*$K$247</f>
        <v>0.33345443232332161</v>
      </c>
      <c r="L257" s="869">
        <f>L253*$L$247</f>
        <v>0.3876729220018223</v>
      </c>
      <c r="M257" s="869">
        <f>M253*$M$247</f>
        <v>0.59553261999907114</v>
      </c>
    </row>
    <row r="258" spans="8:14" hidden="1">
      <c r="H258" s="325" t="s">
        <v>1025</v>
      </c>
      <c r="I258" s="325" t="s">
        <v>830</v>
      </c>
      <c r="J258" s="325" t="s">
        <v>984</v>
      </c>
      <c r="K258" s="869">
        <f t="shared" ref="K258:K259" ca="1" si="7">K254*$K$247</f>
        <v>0.26632063843371623</v>
      </c>
      <c r="L258" s="869">
        <f>L254*$L$247</f>
        <v>0.30562424728578019</v>
      </c>
      <c r="M258" s="869">
        <f>M254*$M$247</f>
        <v>0.46949167298429251</v>
      </c>
    </row>
    <row r="259" spans="8:14" hidden="1">
      <c r="H259" s="325" t="s">
        <v>1026</v>
      </c>
      <c r="I259" s="325" t="s">
        <v>830</v>
      </c>
      <c r="J259" s="325" t="s">
        <v>986</v>
      </c>
      <c r="K259" s="869">
        <f t="shared" ca="1" si="7"/>
        <v>0.2053857374072918</v>
      </c>
      <c r="L259" s="869">
        <f>L255*$L$247</f>
        <v>0.23296538013582316</v>
      </c>
      <c r="M259" s="869">
        <f>M255*$M$247</f>
        <v>0.3578750934807724</v>
      </c>
    </row>
    <row r="260" spans="8:14" hidden="1"/>
    <row r="261" spans="8:14">
      <c r="H261" s="325" t="s">
        <v>1027</v>
      </c>
      <c r="I261" s="325"/>
      <c r="J261" s="325" t="s">
        <v>982</v>
      </c>
      <c r="K261" s="869">
        <f ca="1">K257/$K$12</f>
        <v>16.672721616166079</v>
      </c>
      <c r="L261" s="869">
        <f>L257/$L$12</f>
        <v>17.621496454628286</v>
      </c>
      <c r="M261" s="869">
        <f>M257/$M$12</f>
        <v>27.069664545412326</v>
      </c>
    </row>
    <row r="262" spans="8:14">
      <c r="H262" s="325" t="s">
        <v>1028</v>
      </c>
      <c r="I262" s="325"/>
      <c r="J262" s="325" t="s">
        <v>984</v>
      </c>
      <c r="K262" s="869">
        <f t="shared" ref="K262:K263" ca="1" si="8">K258/$K$12</f>
        <v>13.316031921685811</v>
      </c>
      <c r="L262" s="869">
        <f>L258/$L$12</f>
        <v>13.892011240262736</v>
      </c>
      <c r="M262" s="869">
        <f>M258/$M$12</f>
        <v>21.340530590195115</v>
      </c>
    </row>
    <row r="263" spans="8:14">
      <c r="H263" s="325" t="s">
        <v>1029</v>
      </c>
      <c r="I263" s="325"/>
      <c r="J263" s="325" t="s">
        <v>986</v>
      </c>
      <c r="K263" s="869">
        <f t="shared" ca="1" si="8"/>
        <v>10.26928687036459</v>
      </c>
      <c r="L263" s="869">
        <f>L259/$L$12</f>
        <v>10.589335460719235</v>
      </c>
      <c r="M263" s="869">
        <f>M259/$M$12</f>
        <v>16.267049703671475</v>
      </c>
    </row>
    <row r="265" spans="8:14">
      <c r="H265" s="325" t="s">
        <v>1030</v>
      </c>
      <c r="I265" s="325"/>
      <c r="J265" s="325" t="s">
        <v>982</v>
      </c>
      <c r="K265" s="871">
        <f ca="1">ROUNDUP(K261,0)</f>
        <v>17</v>
      </c>
      <c r="L265" s="871">
        <f>ROUNDUP(L261,0)</f>
        <v>18</v>
      </c>
      <c r="M265" s="871">
        <f>ROUNDUP(M261,0)</f>
        <v>28</v>
      </c>
    </row>
    <row r="266" spans="8:14">
      <c r="H266" s="325" t="s">
        <v>1031</v>
      </c>
      <c r="I266" s="325"/>
      <c r="J266" s="325" t="s">
        <v>984</v>
      </c>
      <c r="K266" s="871">
        <f t="shared" ref="K266:L267" ca="1" si="9">ROUNDUP(K262,0)</f>
        <v>14</v>
      </c>
      <c r="L266" s="871">
        <f t="shared" si="9"/>
        <v>14</v>
      </c>
      <c r="M266" s="871">
        <f>ROUNDUP(M262,0)</f>
        <v>22</v>
      </c>
    </row>
    <row r="267" spans="8:14">
      <c r="H267" s="325" t="s">
        <v>1032</v>
      </c>
      <c r="I267" s="325"/>
      <c r="J267" s="325" t="s">
        <v>986</v>
      </c>
      <c r="K267" s="871">
        <f t="shared" ca="1" si="9"/>
        <v>11</v>
      </c>
      <c r="L267" s="871">
        <f t="shared" si="9"/>
        <v>11</v>
      </c>
      <c r="M267" s="871">
        <f>ROUNDUP(M263,0)</f>
        <v>17</v>
      </c>
    </row>
    <row r="269" spans="8:14">
      <c r="K269" s="268">
        <v>50</v>
      </c>
      <c r="L269" s="268">
        <v>50</v>
      </c>
      <c r="M269" s="268">
        <v>50</v>
      </c>
      <c r="N269" t="s">
        <v>1033</v>
      </c>
    </row>
    <row r="271" spans="8:14">
      <c r="K271" s="268"/>
      <c r="L271" s="268"/>
    </row>
    <row r="278" spans="6:47">
      <c r="F278" s="997" t="s">
        <v>1034</v>
      </c>
      <c r="G278" s="997"/>
    </row>
    <row r="279" spans="6:47">
      <c r="F279" s="325"/>
      <c r="G279" s="594" t="s">
        <v>1035</v>
      </c>
    </row>
    <row r="280" spans="6:47">
      <c r="F280" s="594" t="s">
        <v>1036</v>
      </c>
      <c r="G280" s="594">
        <f>1/145</f>
        <v>6.8965517241379309E-3</v>
      </c>
      <c r="H280" s="268"/>
      <c r="I280" s="268" t="s">
        <v>806</v>
      </c>
      <c r="J280" s="268"/>
      <c r="K280" s="268">
        <v>12.75</v>
      </c>
      <c r="L280" s="268" t="s">
        <v>362</v>
      </c>
      <c r="M280" s="268">
        <f>K280*$G$281</f>
        <v>323.84999999999997</v>
      </c>
      <c r="N280" s="268" t="s">
        <v>73</v>
      </c>
      <c r="O280" s="268"/>
      <c r="P280" s="268"/>
      <c r="Q280" s="268"/>
      <c r="R280" s="268"/>
      <c r="S280" s="268"/>
      <c r="T280" s="268"/>
      <c r="U280" s="268"/>
      <c r="V280" s="268"/>
      <c r="AF280" s="268" t="str">
        <f>IF(H280="","",H280)</f>
        <v/>
      </c>
      <c r="AG280" s="268" t="str">
        <f t="shared" ref="AG280:AL280" si="10">IF(I280="","",I280)</f>
        <v>D</v>
      </c>
      <c r="AH280" s="268" t="str">
        <f t="shared" si="10"/>
        <v/>
      </c>
      <c r="AI280" s="268">
        <f t="shared" si="10"/>
        <v>12.75</v>
      </c>
      <c r="AJ280" s="268" t="str">
        <f t="shared" si="10"/>
        <v>inches</v>
      </c>
      <c r="AK280" s="268">
        <f t="shared" si="10"/>
        <v>323.84999999999997</v>
      </c>
      <c r="AL280" s="268" t="str">
        <f t="shared" si="10"/>
        <v>mm</v>
      </c>
      <c r="AM280" s="268"/>
      <c r="AN280" s="268"/>
      <c r="AO280" s="268"/>
      <c r="AP280" s="268"/>
      <c r="AQ280" s="268"/>
      <c r="AR280" s="268"/>
      <c r="AS280" s="268"/>
      <c r="AT280" s="268"/>
      <c r="AU280" s="268"/>
    </row>
    <row r="281" spans="6:47">
      <c r="F281" s="594" t="s">
        <v>1037</v>
      </c>
      <c r="G281" s="594">
        <f>25.4</f>
        <v>25.4</v>
      </c>
      <c r="H281" s="268"/>
      <c r="I281" s="268"/>
      <c r="J281" s="268"/>
      <c r="K281" s="268"/>
      <c r="L281" s="268"/>
      <c r="M281" s="268"/>
      <c r="AF281" s="268" t="str">
        <f t="shared" ref="AF281:AF333" si="11">IF(H281="","",H281)</f>
        <v/>
      </c>
      <c r="AG281" s="268" t="str">
        <f t="shared" ref="AG281:AG333" si="12">IF(I281="","",I281)</f>
        <v/>
      </c>
      <c r="AH281" s="268" t="str">
        <f t="shared" ref="AH281:AH333" si="13">IF(J281="","",J281)</f>
        <v/>
      </c>
      <c r="AI281" s="268" t="str">
        <f t="shared" ref="AI281:AI333" si="14">IF(K281="","",K281)</f>
        <v/>
      </c>
      <c r="AJ281" s="268" t="str">
        <f t="shared" ref="AJ281:AJ333" si="15">IF(L281="","",L281)</f>
        <v/>
      </c>
      <c r="AK281" s="268" t="str">
        <f t="shared" ref="AK281:AK333" si="16">IF(M281="","",M281)</f>
        <v/>
      </c>
      <c r="AL281" s="268" t="str">
        <f t="shared" ref="AL281:AL333" si="17">IF(N281="","",N281)</f>
        <v/>
      </c>
      <c r="AM281" s="268"/>
      <c r="AN281" s="268"/>
      <c r="AO281" s="268"/>
      <c r="AP281" s="268"/>
      <c r="AQ281" s="268"/>
      <c r="AR281" s="268"/>
      <c r="AS281" s="268"/>
      <c r="AT281" s="268"/>
      <c r="AU281" s="268"/>
    </row>
    <row r="282" spans="6:47">
      <c r="F282" s="325"/>
      <c r="G282" s="594"/>
      <c r="H282" s="268"/>
      <c r="I282" s="268" t="s">
        <v>813</v>
      </c>
      <c r="J282" s="268"/>
      <c r="K282" s="268">
        <v>0.25</v>
      </c>
      <c r="L282" s="268" t="s">
        <v>362</v>
      </c>
      <c r="M282" s="268">
        <f>K282*$G$281</f>
        <v>6.35</v>
      </c>
      <c r="N282" s="268" t="s">
        <v>73</v>
      </c>
      <c r="O282" s="268"/>
      <c r="P282" s="268"/>
      <c r="Q282" s="268"/>
      <c r="R282" s="268"/>
      <c r="S282" s="268"/>
      <c r="T282" s="268"/>
      <c r="U282" s="268"/>
      <c r="V282" s="268"/>
      <c r="AF282" s="268" t="str">
        <f t="shared" si="11"/>
        <v/>
      </c>
      <c r="AG282" s="268" t="str">
        <f t="shared" si="12"/>
        <v>t</v>
      </c>
      <c r="AH282" s="268" t="str">
        <f t="shared" si="13"/>
        <v/>
      </c>
      <c r="AI282" s="268">
        <f t="shared" si="14"/>
        <v>0.25</v>
      </c>
      <c r="AJ282" s="268" t="str">
        <f t="shared" si="15"/>
        <v>inches</v>
      </c>
      <c r="AK282" s="268">
        <f t="shared" si="16"/>
        <v>6.35</v>
      </c>
      <c r="AL282" s="268" t="str">
        <f t="shared" si="17"/>
        <v>mm</v>
      </c>
      <c r="AM282" s="268"/>
      <c r="AN282" s="268"/>
      <c r="AO282" s="268"/>
      <c r="AP282" s="268"/>
      <c r="AQ282" s="268"/>
      <c r="AR282" s="268"/>
      <c r="AS282" s="268"/>
      <c r="AT282" s="268"/>
      <c r="AU282" s="268"/>
    </row>
    <row r="283" spans="6:47">
      <c r="F283" s="325"/>
      <c r="G283" s="594"/>
      <c r="H283" s="268"/>
      <c r="I283" s="268"/>
      <c r="J283" s="268"/>
      <c r="K283" s="268"/>
      <c r="L283" s="268"/>
      <c r="M283" s="268"/>
      <c r="AF283" s="268" t="str">
        <f t="shared" si="11"/>
        <v/>
      </c>
      <c r="AG283" s="268" t="str">
        <f t="shared" si="12"/>
        <v/>
      </c>
      <c r="AH283" s="268" t="str">
        <f t="shared" si="13"/>
        <v/>
      </c>
      <c r="AI283" s="268" t="str">
        <f t="shared" si="14"/>
        <v/>
      </c>
      <c r="AJ283" s="268" t="str">
        <f t="shared" si="15"/>
        <v/>
      </c>
      <c r="AK283" s="268" t="str">
        <f t="shared" si="16"/>
        <v/>
      </c>
      <c r="AL283" s="268" t="str">
        <f t="shared" si="17"/>
        <v/>
      </c>
      <c r="AM283" s="268"/>
      <c r="AN283" s="268"/>
      <c r="AO283" s="268"/>
      <c r="AP283" s="268"/>
      <c r="AQ283" s="268"/>
      <c r="AR283" s="268"/>
      <c r="AS283" s="268"/>
      <c r="AT283" s="268"/>
      <c r="AU283" s="268"/>
    </row>
    <row r="284" spans="6:47">
      <c r="F284" s="325"/>
      <c r="G284" s="594"/>
      <c r="H284" s="268"/>
      <c r="I284" s="268" t="s">
        <v>84</v>
      </c>
      <c r="J284" s="268"/>
      <c r="K284" s="268">
        <v>6</v>
      </c>
      <c r="L284" s="268" t="s">
        <v>362</v>
      </c>
      <c r="M284" s="268">
        <f>K284*$G$281</f>
        <v>152.39999999999998</v>
      </c>
      <c r="N284" s="268" t="s">
        <v>73</v>
      </c>
      <c r="O284" s="268"/>
      <c r="P284" s="268"/>
      <c r="Q284" s="268"/>
      <c r="R284" s="268"/>
      <c r="S284" s="268"/>
      <c r="T284" s="268"/>
      <c r="U284" s="268"/>
      <c r="V284" s="268"/>
      <c r="AF284" s="268" t="str">
        <f t="shared" si="11"/>
        <v/>
      </c>
      <c r="AG284" s="268" t="str">
        <f t="shared" si="12"/>
        <v>L</v>
      </c>
      <c r="AH284" s="268" t="str">
        <f t="shared" si="13"/>
        <v/>
      </c>
      <c r="AI284" s="268">
        <f t="shared" si="14"/>
        <v>6</v>
      </c>
      <c r="AJ284" s="268" t="str">
        <f t="shared" si="15"/>
        <v>inches</v>
      </c>
      <c r="AK284" s="268">
        <f t="shared" si="16"/>
        <v>152.39999999999998</v>
      </c>
      <c r="AL284" s="268" t="str">
        <f t="shared" si="17"/>
        <v>mm</v>
      </c>
      <c r="AM284" s="268"/>
      <c r="AN284" s="268"/>
      <c r="AO284" s="268"/>
      <c r="AP284" s="268"/>
      <c r="AQ284" s="268"/>
      <c r="AR284" s="268"/>
      <c r="AS284" s="268"/>
      <c r="AT284" s="268"/>
      <c r="AU284" s="268"/>
    </row>
    <row r="285" spans="6:47">
      <c r="F285" s="325"/>
      <c r="G285" s="594"/>
      <c r="H285" s="268"/>
      <c r="I285" s="268"/>
      <c r="J285" s="268"/>
      <c r="K285" s="268"/>
      <c r="L285" s="268"/>
      <c r="M285" s="268"/>
      <c r="AF285" s="268" t="str">
        <f t="shared" si="11"/>
        <v/>
      </c>
      <c r="AG285" s="268" t="str">
        <f t="shared" si="12"/>
        <v/>
      </c>
      <c r="AH285" s="268" t="str">
        <f t="shared" si="13"/>
        <v/>
      </c>
      <c r="AI285" s="268" t="str">
        <f t="shared" si="14"/>
        <v/>
      </c>
      <c r="AJ285" s="268" t="str">
        <f t="shared" si="15"/>
        <v/>
      </c>
      <c r="AK285" s="268" t="str">
        <f t="shared" si="16"/>
        <v/>
      </c>
      <c r="AL285" s="268" t="str">
        <f t="shared" si="17"/>
        <v/>
      </c>
      <c r="AM285" s="268"/>
      <c r="AN285" s="268"/>
      <c r="AO285" s="268"/>
      <c r="AP285" s="268"/>
      <c r="AQ285" s="268"/>
      <c r="AR285" s="268"/>
      <c r="AS285" s="268"/>
      <c r="AT285" s="268"/>
      <c r="AU285" s="268"/>
    </row>
    <row r="286" spans="6:47">
      <c r="F286" s="325"/>
      <c r="G286" s="594"/>
      <c r="H286" s="268"/>
      <c r="I286" s="268" t="s">
        <v>1038</v>
      </c>
      <c r="J286" s="268"/>
      <c r="K286" s="268">
        <v>75</v>
      </c>
      <c r="L286" s="268"/>
      <c r="M286" s="268"/>
      <c r="AF286" s="268" t="str">
        <f t="shared" si="11"/>
        <v/>
      </c>
      <c r="AG286" s="268" t="str">
        <f t="shared" si="12"/>
        <v>% deep</v>
      </c>
      <c r="AH286" s="268" t="str">
        <f t="shared" si="13"/>
        <v/>
      </c>
      <c r="AI286" s="268">
        <f t="shared" si="14"/>
        <v>75</v>
      </c>
      <c r="AJ286" s="268" t="str">
        <f t="shared" si="15"/>
        <v/>
      </c>
      <c r="AK286" s="268" t="str">
        <f t="shared" si="16"/>
        <v/>
      </c>
      <c r="AL286" s="268" t="str">
        <f t="shared" si="17"/>
        <v/>
      </c>
      <c r="AM286" s="268"/>
      <c r="AN286" s="268"/>
      <c r="AO286" s="268"/>
      <c r="AP286" s="268"/>
      <c r="AQ286" s="268"/>
      <c r="AR286" s="268"/>
      <c r="AS286" s="268"/>
      <c r="AT286" s="268"/>
      <c r="AU286" s="268"/>
    </row>
    <row r="287" spans="6:47">
      <c r="F287" s="325"/>
      <c r="G287" s="594"/>
      <c r="H287" s="268"/>
      <c r="I287" s="268"/>
      <c r="J287" s="268"/>
      <c r="K287" s="395">
        <f>K286/100</f>
        <v>0.75</v>
      </c>
      <c r="L287" s="268"/>
      <c r="M287" s="268"/>
      <c r="AF287" s="268" t="str">
        <f t="shared" si="11"/>
        <v/>
      </c>
      <c r="AG287" s="268" t="str">
        <f t="shared" si="12"/>
        <v/>
      </c>
      <c r="AH287" s="268" t="str">
        <f t="shared" si="13"/>
        <v/>
      </c>
      <c r="AI287" s="268">
        <f t="shared" si="14"/>
        <v>0.75</v>
      </c>
      <c r="AJ287" s="268" t="str">
        <f t="shared" si="15"/>
        <v/>
      </c>
      <c r="AK287" s="268" t="str">
        <f t="shared" si="16"/>
        <v/>
      </c>
      <c r="AL287" s="268" t="str">
        <f t="shared" si="17"/>
        <v/>
      </c>
      <c r="AM287" s="268"/>
      <c r="AN287" s="268"/>
      <c r="AO287" s="268"/>
      <c r="AP287" s="268"/>
      <c r="AQ287" s="268"/>
      <c r="AR287" s="268"/>
      <c r="AS287" s="268"/>
      <c r="AT287" s="268"/>
      <c r="AU287" s="268"/>
    </row>
    <row r="288" spans="6:47">
      <c r="F288" s="325"/>
      <c r="G288" s="594"/>
      <c r="H288" s="268"/>
      <c r="I288" s="268"/>
      <c r="J288" s="268"/>
      <c r="K288" s="268"/>
      <c r="L288" s="268"/>
      <c r="M288" s="268"/>
      <c r="AF288" s="268" t="str">
        <f t="shared" si="11"/>
        <v/>
      </c>
      <c r="AG288" s="268" t="str">
        <f t="shared" si="12"/>
        <v/>
      </c>
      <c r="AH288" s="268" t="str">
        <f t="shared" si="13"/>
        <v/>
      </c>
      <c r="AI288" s="268" t="str">
        <f t="shared" si="14"/>
        <v/>
      </c>
      <c r="AJ288" s="268" t="str">
        <f t="shared" si="15"/>
        <v/>
      </c>
      <c r="AK288" s="268" t="str">
        <f t="shared" si="16"/>
        <v/>
      </c>
      <c r="AL288" s="268" t="str">
        <f t="shared" si="17"/>
        <v/>
      </c>
      <c r="AM288" s="268"/>
      <c r="AN288" s="268"/>
      <c r="AO288" s="268"/>
      <c r="AP288" s="268"/>
      <c r="AQ288" s="268"/>
      <c r="AR288" s="268"/>
      <c r="AS288" s="268"/>
      <c r="AT288" s="268"/>
      <c r="AU288" s="268"/>
    </row>
    <row r="289" spans="7:47">
      <c r="G289" s="268"/>
      <c r="H289" s="268"/>
      <c r="I289" s="268" t="s">
        <v>1039</v>
      </c>
      <c r="J289" s="268"/>
      <c r="K289" s="268">
        <f>K287*K282</f>
        <v>0.1875</v>
      </c>
      <c r="L289" s="268" t="s">
        <v>362</v>
      </c>
      <c r="M289" s="268">
        <f>K289*$G$281</f>
        <v>4.7624999999999993</v>
      </c>
      <c r="N289" s="268" t="s">
        <v>73</v>
      </c>
      <c r="O289" s="268"/>
      <c r="P289" s="268"/>
      <c r="Q289" s="268"/>
      <c r="R289" s="268"/>
      <c r="S289" s="268"/>
      <c r="T289" s="268"/>
      <c r="U289" s="268"/>
      <c r="V289" s="268"/>
      <c r="AF289" s="268" t="str">
        <f t="shared" si="11"/>
        <v/>
      </c>
      <c r="AG289" s="268" t="str">
        <f t="shared" si="12"/>
        <v>d</v>
      </c>
      <c r="AH289" s="268" t="str">
        <f t="shared" si="13"/>
        <v/>
      </c>
      <c r="AI289" s="268">
        <f t="shared" si="14"/>
        <v>0.1875</v>
      </c>
      <c r="AJ289" s="268" t="str">
        <f t="shared" si="15"/>
        <v>inches</v>
      </c>
      <c r="AK289" s="268">
        <f t="shared" si="16"/>
        <v>4.7624999999999993</v>
      </c>
      <c r="AL289" s="268" t="str">
        <f t="shared" si="17"/>
        <v>mm</v>
      </c>
      <c r="AM289" s="268"/>
      <c r="AN289" s="268"/>
      <c r="AO289" s="268"/>
      <c r="AP289" s="268"/>
      <c r="AQ289" s="268"/>
      <c r="AR289" s="268"/>
      <c r="AS289" s="268"/>
      <c r="AT289" s="268"/>
      <c r="AU289" s="268"/>
    </row>
    <row r="290" spans="7:47">
      <c r="G290" s="268"/>
      <c r="H290" s="268"/>
      <c r="I290" s="268"/>
      <c r="J290" s="268"/>
      <c r="K290" s="268"/>
      <c r="L290" s="268"/>
      <c r="M290" s="268"/>
      <c r="AF290" s="268" t="str">
        <f t="shared" si="11"/>
        <v/>
      </c>
      <c r="AG290" s="268" t="str">
        <f t="shared" si="12"/>
        <v/>
      </c>
      <c r="AH290" s="268" t="str">
        <f t="shared" si="13"/>
        <v/>
      </c>
      <c r="AI290" s="268" t="str">
        <f t="shared" si="14"/>
        <v/>
      </c>
      <c r="AJ290" s="268" t="str">
        <f t="shared" si="15"/>
        <v/>
      </c>
      <c r="AK290" s="268" t="str">
        <f t="shared" si="16"/>
        <v/>
      </c>
      <c r="AL290" s="268" t="str">
        <f t="shared" si="17"/>
        <v/>
      </c>
      <c r="AM290" s="268"/>
      <c r="AN290" s="268"/>
      <c r="AO290" s="268"/>
      <c r="AP290" s="268"/>
      <c r="AQ290" s="268"/>
      <c r="AR290" s="268"/>
      <c r="AS290" s="268"/>
      <c r="AT290" s="268"/>
      <c r="AU290" s="268"/>
    </row>
    <row r="291" spans="7:47">
      <c r="G291" s="268"/>
      <c r="H291" s="268"/>
      <c r="I291" s="268" t="s">
        <v>1040</v>
      </c>
      <c r="J291" s="268"/>
      <c r="K291" s="268">
        <v>72</v>
      </c>
      <c r="L291" s="268"/>
      <c r="M291" s="268"/>
      <c r="AF291" s="268" t="str">
        <f t="shared" si="11"/>
        <v/>
      </c>
      <c r="AG291" s="268" t="str">
        <f t="shared" si="12"/>
        <v>Max %SMYS</v>
      </c>
      <c r="AH291" s="268" t="str">
        <f t="shared" si="13"/>
        <v/>
      </c>
      <c r="AI291" s="268">
        <f t="shared" si="14"/>
        <v>72</v>
      </c>
      <c r="AJ291" s="268" t="str">
        <f t="shared" si="15"/>
        <v/>
      </c>
      <c r="AK291" s="268" t="str">
        <f t="shared" si="16"/>
        <v/>
      </c>
      <c r="AL291" s="268" t="str">
        <f t="shared" si="17"/>
        <v/>
      </c>
      <c r="AM291" s="268"/>
      <c r="AN291" s="268"/>
      <c r="AO291" s="268"/>
      <c r="AP291" s="268"/>
      <c r="AQ291" s="268"/>
      <c r="AR291" s="268"/>
      <c r="AS291" s="268"/>
      <c r="AT291" s="268"/>
      <c r="AU291" s="268"/>
    </row>
    <row r="292" spans="7:47">
      <c r="G292" s="268"/>
      <c r="H292" s="268"/>
      <c r="I292" s="268"/>
      <c r="J292" s="268"/>
      <c r="K292" s="395">
        <f>K291/100</f>
        <v>0.72</v>
      </c>
      <c r="L292" s="268"/>
      <c r="M292" s="268"/>
      <c r="AF292" s="268" t="str">
        <f t="shared" si="11"/>
        <v/>
      </c>
      <c r="AG292" s="268" t="str">
        <f t="shared" si="12"/>
        <v/>
      </c>
      <c r="AH292" s="268" t="str">
        <f t="shared" si="13"/>
        <v/>
      </c>
      <c r="AI292" s="268">
        <f t="shared" si="14"/>
        <v>0.72</v>
      </c>
      <c r="AJ292" s="268" t="str">
        <f t="shared" si="15"/>
        <v/>
      </c>
      <c r="AK292" s="268" t="str">
        <f t="shared" si="16"/>
        <v/>
      </c>
      <c r="AL292" s="268" t="str">
        <f t="shared" si="17"/>
        <v/>
      </c>
      <c r="AM292" s="268"/>
      <c r="AN292" s="268"/>
      <c r="AO292" s="268"/>
      <c r="AP292" s="268"/>
      <c r="AQ292" s="268"/>
      <c r="AR292" s="268"/>
      <c r="AS292" s="268"/>
      <c r="AT292" s="268"/>
      <c r="AU292" s="268"/>
    </row>
    <row r="293" spans="7:47">
      <c r="G293" s="268"/>
      <c r="H293" s="268"/>
      <c r="M293" s="268"/>
      <c r="AF293" s="268" t="str">
        <f t="shared" si="11"/>
        <v/>
      </c>
      <c r="AG293" s="268" t="str">
        <f t="shared" si="12"/>
        <v/>
      </c>
      <c r="AH293" s="268" t="str">
        <f t="shared" si="13"/>
        <v/>
      </c>
      <c r="AI293" s="268" t="str">
        <f t="shared" si="14"/>
        <v/>
      </c>
      <c r="AJ293" s="268" t="str">
        <f t="shared" si="15"/>
        <v/>
      </c>
      <c r="AK293" s="268" t="str">
        <f t="shared" si="16"/>
        <v/>
      </c>
      <c r="AL293" s="268" t="str">
        <f t="shared" si="17"/>
        <v/>
      </c>
      <c r="AM293" s="268"/>
      <c r="AN293" s="268"/>
      <c r="AO293" s="268"/>
      <c r="AP293" s="268"/>
      <c r="AQ293" s="268"/>
      <c r="AR293" s="268"/>
      <c r="AS293" s="268"/>
      <c r="AT293" s="268"/>
      <c r="AU293" s="268"/>
    </row>
    <row r="294" spans="7:47">
      <c r="G294" s="268"/>
      <c r="I294" s="268" t="s">
        <v>1041</v>
      </c>
      <c r="K294" s="268">
        <v>36</v>
      </c>
      <c r="M294" s="268"/>
      <c r="AF294" s="268" t="str">
        <f t="shared" si="11"/>
        <v/>
      </c>
      <c r="AG294" s="268" t="str">
        <f t="shared" si="12"/>
        <v>Min %SMYS</v>
      </c>
      <c r="AH294" s="268" t="str">
        <f t="shared" si="13"/>
        <v/>
      </c>
      <c r="AI294" s="268">
        <f t="shared" si="14"/>
        <v>36</v>
      </c>
      <c r="AJ294" s="268" t="str">
        <f t="shared" si="15"/>
        <v/>
      </c>
      <c r="AK294" s="268" t="str">
        <f t="shared" si="16"/>
        <v/>
      </c>
      <c r="AL294" s="268" t="str">
        <f t="shared" si="17"/>
        <v/>
      </c>
      <c r="AM294" s="268"/>
      <c r="AN294" s="268"/>
      <c r="AO294" s="268"/>
      <c r="AP294" s="268"/>
      <c r="AQ294" s="268"/>
      <c r="AR294" s="268"/>
      <c r="AS294" s="268"/>
      <c r="AT294" s="268"/>
      <c r="AU294" s="268"/>
    </row>
    <row r="295" spans="7:47">
      <c r="G295" s="268"/>
      <c r="K295" s="395">
        <f>K294/100</f>
        <v>0.36</v>
      </c>
      <c r="M295" s="268"/>
      <c r="AF295" s="268" t="str">
        <f t="shared" si="11"/>
        <v/>
      </c>
      <c r="AG295" s="268" t="str">
        <f t="shared" si="12"/>
        <v/>
      </c>
      <c r="AH295" s="268" t="str">
        <f t="shared" si="13"/>
        <v/>
      </c>
      <c r="AI295" s="268">
        <f t="shared" si="14"/>
        <v>0.36</v>
      </c>
      <c r="AJ295" s="268" t="str">
        <f t="shared" si="15"/>
        <v/>
      </c>
      <c r="AK295" s="268" t="str">
        <f t="shared" si="16"/>
        <v/>
      </c>
      <c r="AL295" s="268" t="str">
        <f t="shared" si="17"/>
        <v/>
      </c>
      <c r="AM295" s="268"/>
      <c r="AN295" s="268"/>
      <c r="AO295" s="268"/>
      <c r="AP295" s="268"/>
      <c r="AQ295" s="268"/>
      <c r="AR295" s="268"/>
      <c r="AS295" s="268"/>
      <c r="AT295" s="268"/>
      <c r="AU295" s="268"/>
    </row>
    <row r="296" spans="7:47">
      <c r="G296" s="268"/>
      <c r="M296" s="268"/>
      <c r="AF296" s="268" t="str">
        <f t="shared" si="11"/>
        <v/>
      </c>
      <c r="AG296" s="268" t="str">
        <f t="shared" si="12"/>
        <v/>
      </c>
      <c r="AH296" s="268" t="str">
        <f t="shared" si="13"/>
        <v/>
      </c>
      <c r="AI296" s="268" t="str">
        <f t="shared" si="14"/>
        <v/>
      </c>
      <c r="AJ296" s="268" t="str">
        <f t="shared" si="15"/>
        <v/>
      </c>
      <c r="AK296" s="268" t="str">
        <f t="shared" si="16"/>
        <v/>
      </c>
      <c r="AL296" s="268" t="str">
        <f t="shared" si="17"/>
        <v/>
      </c>
      <c r="AM296" s="268"/>
      <c r="AN296" s="268"/>
      <c r="AO296" s="268"/>
      <c r="AP296" s="268"/>
      <c r="AQ296" s="268"/>
      <c r="AR296" s="268"/>
      <c r="AS296" s="268"/>
      <c r="AT296" s="268"/>
      <c r="AU296" s="268"/>
    </row>
    <row r="297" spans="7:47">
      <c r="G297" s="268"/>
      <c r="H297" s="268"/>
      <c r="I297" s="268" t="s">
        <v>44</v>
      </c>
      <c r="J297" s="268">
        <v>53800</v>
      </c>
      <c r="K297" s="268">
        <v>53800</v>
      </c>
      <c r="L297" s="268" t="s">
        <v>45</v>
      </c>
      <c r="M297" s="268">
        <f>K297*$G$280</f>
        <v>371.0344827586207</v>
      </c>
      <c r="N297" s="268" t="s">
        <v>1042</v>
      </c>
      <c r="O297" s="268"/>
      <c r="P297" s="268"/>
      <c r="Q297" s="268"/>
      <c r="R297" s="268"/>
      <c r="S297" s="268"/>
      <c r="T297" s="268"/>
      <c r="U297" s="268"/>
      <c r="V297" s="268"/>
      <c r="AF297" s="268" t="str">
        <f t="shared" si="11"/>
        <v/>
      </c>
      <c r="AG297" s="268" t="str">
        <f t="shared" si="12"/>
        <v>SMYS</v>
      </c>
      <c r="AH297" s="268">
        <f t="shared" si="13"/>
        <v>53800</v>
      </c>
      <c r="AI297" s="268">
        <f t="shared" si="14"/>
        <v>53800</v>
      </c>
      <c r="AJ297" s="268" t="str">
        <f t="shared" si="15"/>
        <v>psi</v>
      </c>
      <c r="AK297" s="268">
        <f t="shared" si="16"/>
        <v>371.0344827586207</v>
      </c>
      <c r="AL297" s="268" t="str">
        <f t="shared" si="17"/>
        <v>MPa</v>
      </c>
      <c r="AM297" s="268"/>
      <c r="AN297" s="268"/>
      <c r="AO297" s="268"/>
      <c r="AP297" s="268"/>
      <c r="AQ297" s="268"/>
      <c r="AR297" s="268"/>
      <c r="AS297" s="268"/>
      <c r="AT297" s="268"/>
      <c r="AU297" s="268"/>
    </row>
    <row r="298" spans="7:47">
      <c r="G298" s="268"/>
      <c r="H298" s="268"/>
      <c r="M298" s="268"/>
      <c r="AF298" s="268" t="str">
        <f t="shared" si="11"/>
        <v/>
      </c>
      <c r="AG298" s="268" t="str">
        <f t="shared" si="12"/>
        <v/>
      </c>
      <c r="AH298" s="268" t="str">
        <f t="shared" si="13"/>
        <v/>
      </c>
      <c r="AI298" s="268" t="str">
        <f t="shared" si="14"/>
        <v/>
      </c>
      <c r="AJ298" s="268" t="str">
        <f t="shared" si="15"/>
        <v/>
      </c>
      <c r="AK298" s="268" t="str">
        <f t="shared" si="16"/>
        <v/>
      </c>
      <c r="AL298" s="268" t="str">
        <f t="shared" si="17"/>
        <v/>
      </c>
      <c r="AM298" s="268"/>
      <c r="AN298" s="268"/>
      <c r="AO298" s="268"/>
      <c r="AP298" s="268"/>
      <c r="AQ298" s="268"/>
      <c r="AR298" s="268"/>
      <c r="AS298" s="268"/>
      <c r="AT298" s="268"/>
      <c r="AU298" s="268"/>
    </row>
    <row r="299" spans="7:47">
      <c r="G299" s="268"/>
      <c r="H299" s="268"/>
      <c r="I299" s="268" t="s">
        <v>842</v>
      </c>
      <c r="J299" s="268"/>
      <c r="K299" s="268">
        <v>7570000</v>
      </c>
      <c r="L299" s="268" t="s">
        <v>45</v>
      </c>
      <c r="M299" s="268">
        <f>K299*$G$280</f>
        <v>52206.896551724138</v>
      </c>
      <c r="N299" s="268" t="s">
        <v>1042</v>
      </c>
      <c r="O299" s="268"/>
      <c r="P299" s="268"/>
      <c r="Q299" s="268"/>
      <c r="R299" s="268"/>
      <c r="S299" s="268"/>
      <c r="T299" s="268"/>
      <c r="U299" s="268"/>
      <c r="V299" s="268"/>
      <c r="AF299" s="268" t="str">
        <f t="shared" si="11"/>
        <v/>
      </c>
      <c r="AG299" s="268" t="str">
        <f t="shared" si="12"/>
        <v>Ec</v>
      </c>
      <c r="AH299" s="268" t="str">
        <f t="shared" si="13"/>
        <v/>
      </c>
      <c r="AI299" s="268">
        <f t="shared" si="14"/>
        <v>7570000</v>
      </c>
      <c r="AJ299" s="268" t="str">
        <f t="shared" si="15"/>
        <v>psi</v>
      </c>
      <c r="AK299" s="268">
        <f t="shared" si="16"/>
        <v>52206.896551724138</v>
      </c>
      <c r="AL299" s="268" t="str">
        <f t="shared" si="17"/>
        <v>MPa</v>
      </c>
      <c r="AM299" s="268"/>
      <c r="AN299" s="268"/>
      <c r="AO299" s="268"/>
      <c r="AP299" s="268"/>
      <c r="AQ299" s="268"/>
      <c r="AR299" s="268"/>
      <c r="AS299" s="268"/>
      <c r="AT299" s="268"/>
      <c r="AU299" s="268"/>
    </row>
    <row r="300" spans="7:47">
      <c r="G300" s="268"/>
      <c r="H300" s="268"/>
      <c r="I300" s="268"/>
      <c r="J300" s="268"/>
      <c r="K300" s="268"/>
      <c r="L300" s="268"/>
      <c r="M300" s="268"/>
      <c r="AF300" s="268" t="str">
        <f t="shared" si="11"/>
        <v/>
      </c>
      <c r="AG300" s="268" t="str">
        <f t="shared" si="12"/>
        <v/>
      </c>
      <c r="AH300" s="268" t="str">
        <f t="shared" si="13"/>
        <v/>
      </c>
      <c r="AI300" s="268" t="str">
        <f t="shared" si="14"/>
        <v/>
      </c>
      <c r="AJ300" s="268" t="str">
        <f t="shared" si="15"/>
        <v/>
      </c>
      <c r="AK300" s="268" t="str">
        <f t="shared" si="16"/>
        <v/>
      </c>
      <c r="AL300" s="268" t="str">
        <f t="shared" si="17"/>
        <v/>
      </c>
      <c r="AM300" s="268"/>
      <c r="AN300" s="268"/>
      <c r="AO300" s="268"/>
      <c r="AP300" s="268"/>
      <c r="AQ300" s="268"/>
      <c r="AR300" s="268"/>
      <c r="AS300" s="268"/>
      <c r="AT300" s="268"/>
      <c r="AU300" s="268"/>
    </row>
    <row r="301" spans="7:47">
      <c r="G301" s="268"/>
      <c r="H301" s="268"/>
      <c r="I301" s="268" t="s">
        <v>1043</v>
      </c>
      <c r="J301" s="268"/>
      <c r="K301" s="268">
        <v>30000000</v>
      </c>
      <c r="L301" s="268" t="s">
        <v>45</v>
      </c>
      <c r="M301" s="268">
        <f>K301*$G$280</f>
        <v>206896.55172413794</v>
      </c>
      <c r="N301" s="268" t="s">
        <v>1042</v>
      </c>
      <c r="O301" s="268"/>
      <c r="P301" s="268"/>
      <c r="Q301" s="268"/>
      <c r="R301" s="268"/>
      <c r="S301" s="268"/>
      <c r="T301" s="268"/>
      <c r="U301" s="268"/>
      <c r="V301" s="268"/>
      <c r="AF301" s="268" t="str">
        <f t="shared" si="11"/>
        <v/>
      </c>
      <c r="AG301" s="268" t="str">
        <f t="shared" si="12"/>
        <v>E_steel</v>
      </c>
      <c r="AH301" s="268" t="str">
        <f t="shared" si="13"/>
        <v/>
      </c>
      <c r="AI301" s="268">
        <f t="shared" si="14"/>
        <v>30000000</v>
      </c>
      <c r="AJ301" s="268" t="str">
        <f t="shared" si="15"/>
        <v>psi</v>
      </c>
      <c r="AK301" s="268">
        <f t="shared" si="16"/>
        <v>206896.55172413794</v>
      </c>
      <c r="AL301" s="268" t="str">
        <f t="shared" si="17"/>
        <v>MPa</v>
      </c>
      <c r="AM301" s="268"/>
      <c r="AN301" s="268"/>
      <c r="AO301" s="268"/>
      <c r="AP301" s="268"/>
      <c r="AQ301" s="268"/>
      <c r="AR301" s="268"/>
      <c r="AS301" s="268"/>
      <c r="AT301" s="268"/>
      <c r="AU301" s="268"/>
    </row>
    <row r="302" spans="7:47">
      <c r="G302" s="268"/>
      <c r="H302" s="268"/>
      <c r="I302" s="268"/>
      <c r="J302" s="268"/>
      <c r="K302" s="268"/>
      <c r="L302" s="268"/>
      <c r="M302" s="268"/>
      <c r="AF302" s="268" t="str">
        <f t="shared" si="11"/>
        <v/>
      </c>
      <c r="AG302" s="268" t="str">
        <f t="shared" si="12"/>
        <v/>
      </c>
      <c r="AH302" s="268" t="str">
        <f t="shared" si="13"/>
        <v/>
      </c>
      <c r="AI302" s="268" t="str">
        <f t="shared" si="14"/>
        <v/>
      </c>
      <c r="AJ302" s="268" t="str">
        <f t="shared" si="15"/>
        <v/>
      </c>
      <c r="AK302" s="268" t="str">
        <f t="shared" si="16"/>
        <v/>
      </c>
      <c r="AL302" s="268" t="str">
        <f t="shared" si="17"/>
        <v/>
      </c>
      <c r="AM302" s="268"/>
      <c r="AN302" s="268"/>
      <c r="AO302" s="268"/>
      <c r="AP302" s="268"/>
      <c r="AQ302" s="268"/>
      <c r="AR302" s="268"/>
      <c r="AS302" s="268"/>
      <c r="AT302" s="268"/>
      <c r="AU302" s="268"/>
    </row>
    <row r="303" spans="7:47">
      <c r="G303" s="268"/>
      <c r="H303" s="268"/>
      <c r="I303" s="268" t="s">
        <v>1044</v>
      </c>
      <c r="J303" s="268"/>
      <c r="K303" s="268">
        <v>140</v>
      </c>
      <c r="L303" s="268" t="s">
        <v>779</v>
      </c>
      <c r="M303" s="268"/>
      <c r="AF303" s="268" t="str">
        <f t="shared" si="11"/>
        <v/>
      </c>
      <c r="AG303" s="268" t="str">
        <f t="shared" si="12"/>
        <v>T_g</v>
      </c>
      <c r="AH303" s="268" t="str">
        <f t="shared" si="13"/>
        <v/>
      </c>
      <c r="AI303" s="268">
        <f t="shared" si="14"/>
        <v>140</v>
      </c>
      <c r="AJ303" s="268" t="str">
        <f t="shared" si="15"/>
        <v>C</v>
      </c>
      <c r="AK303" s="268" t="str">
        <f t="shared" si="16"/>
        <v/>
      </c>
      <c r="AL303" s="268" t="str">
        <f t="shared" si="17"/>
        <v/>
      </c>
      <c r="AM303" s="268"/>
      <c r="AN303" s="268"/>
      <c r="AO303" s="268"/>
      <c r="AP303" s="268"/>
      <c r="AQ303" s="268"/>
      <c r="AR303" s="268"/>
      <c r="AS303" s="268"/>
      <c r="AT303" s="268"/>
      <c r="AU303" s="268"/>
    </row>
    <row r="304" spans="7:47">
      <c r="G304" s="268"/>
      <c r="H304" s="268"/>
      <c r="I304" s="268"/>
      <c r="J304" s="268"/>
      <c r="K304" s="268"/>
      <c r="L304" s="268"/>
      <c r="M304" s="268"/>
      <c r="N304" s="268"/>
      <c r="O304" s="268"/>
      <c r="P304" s="268"/>
      <c r="Q304" s="268"/>
      <c r="R304" s="268"/>
      <c r="S304" s="268"/>
      <c r="T304" s="268"/>
      <c r="U304" s="268"/>
      <c r="V304" s="268"/>
      <c r="AF304" s="268" t="str">
        <f t="shared" si="11"/>
        <v/>
      </c>
      <c r="AG304" s="268" t="str">
        <f t="shared" si="12"/>
        <v/>
      </c>
      <c r="AH304" s="268" t="str">
        <f t="shared" si="13"/>
        <v/>
      </c>
      <c r="AI304" s="268" t="str">
        <f t="shared" si="14"/>
        <v/>
      </c>
      <c r="AJ304" s="268" t="str">
        <f t="shared" si="15"/>
        <v/>
      </c>
      <c r="AK304" s="268" t="str">
        <f t="shared" si="16"/>
        <v/>
      </c>
      <c r="AL304" s="268" t="str">
        <f t="shared" si="17"/>
        <v/>
      </c>
      <c r="AM304" s="268"/>
      <c r="AN304" s="268"/>
      <c r="AO304" s="268"/>
      <c r="AP304" s="268"/>
      <c r="AQ304" s="268"/>
      <c r="AR304" s="268"/>
      <c r="AS304" s="268"/>
      <c r="AT304" s="268"/>
      <c r="AU304" s="268"/>
    </row>
    <row r="305" spans="7:47">
      <c r="G305" s="268"/>
      <c r="H305" s="268"/>
      <c r="I305" s="268" t="s">
        <v>1045</v>
      </c>
      <c r="J305" s="268"/>
      <c r="K305" s="268">
        <v>61215.625</v>
      </c>
      <c r="L305" s="268"/>
      <c r="M305" s="268"/>
      <c r="N305" s="268"/>
      <c r="O305" s="268"/>
      <c r="P305" s="268"/>
      <c r="Q305" s="268"/>
      <c r="R305" s="268"/>
      <c r="S305" s="268"/>
      <c r="T305" s="268"/>
      <c r="U305" s="268"/>
      <c r="V305" s="268"/>
      <c r="AF305" s="268" t="str">
        <f t="shared" si="11"/>
        <v/>
      </c>
      <c r="AG305" s="268" t="str">
        <f t="shared" si="12"/>
        <v>S_lt</v>
      </c>
      <c r="AH305" s="268" t="str">
        <f t="shared" si="13"/>
        <v/>
      </c>
      <c r="AI305" s="268">
        <f>IF(K305="","",K305)</f>
        <v>61215.625</v>
      </c>
      <c r="AJ305" s="268" t="str">
        <f t="shared" si="15"/>
        <v/>
      </c>
      <c r="AK305" s="268" t="str">
        <f t="shared" si="16"/>
        <v/>
      </c>
      <c r="AL305" s="268" t="str">
        <f t="shared" si="17"/>
        <v/>
      </c>
      <c r="AM305" s="268"/>
      <c r="AN305" s="268"/>
      <c r="AO305" s="268"/>
      <c r="AP305" s="268"/>
      <c r="AQ305" s="268"/>
      <c r="AR305" s="268"/>
      <c r="AS305" s="268"/>
      <c r="AT305" s="268"/>
      <c r="AU305" s="268"/>
    </row>
    <row r="306" spans="7:47">
      <c r="G306" s="268"/>
      <c r="H306" s="268"/>
      <c r="I306" s="268"/>
      <c r="J306" s="268"/>
      <c r="K306" s="268"/>
      <c r="L306" s="268"/>
      <c r="M306" s="268"/>
      <c r="N306" s="268"/>
      <c r="O306" s="268"/>
      <c r="P306" s="268"/>
      <c r="Q306" s="268"/>
      <c r="R306" s="268"/>
      <c r="S306" s="268"/>
      <c r="T306" s="268"/>
      <c r="U306" s="268"/>
      <c r="V306" s="268"/>
      <c r="AF306" s="268" t="str">
        <f t="shared" si="11"/>
        <v/>
      </c>
      <c r="AG306" s="268" t="str">
        <f t="shared" si="12"/>
        <v/>
      </c>
      <c r="AH306" s="268" t="str">
        <f t="shared" si="13"/>
        <v/>
      </c>
      <c r="AI306" s="268" t="str">
        <f t="shared" si="14"/>
        <v/>
      </c>
      <c r="AJ306" s="268" t="str">
        <f t="shared" si="15"/>
        <v/>
      </c>
      <c r="AK306" s="268" t="str">
        <f t="shared" si="16"/>
        <v/>
      </c>
      <c r="AL306" s="268" t="str">
        <f t="shared" si="17"/>
        <v/>
      </c>
      <c r="AM306" s="268"/>
      <c r="AN306" s="268"/>
      <c r="AO306" s="268"/>
      <c r="AP306" s="268"/>
      <c r="AQ306" s="268"/>
      <c r="AR306" s="268"/>
      <c r="AS306" s="268"/>
      <c r="AT306" s="268"/>
      <c r="AU306" s="268"/>
    </row>
    <row r="307" spans="7:47">
      <c r="G307" s="268"/>
      <c r="H307" s="268"/>
      <c r="I307" s="268" t="s">
        <v>1046</v>
      </c>
      <c r="J307" s="268"/>
      <c r="K307" s="913">
        <v>0.02</v>
      </c>
      <c r="L307" s="268" t="s">
        <v>362</v>
      </c>
      <c r="M307" s="268">
        <f>K307*$G$281</f>
        <v>0.50800000000000001</v>
      </c>
      <c r="N307" s="268" t="s">
        <v>73</v>
      </c>
      <c r="O307" s="268"/>
      <c r="P307" s="268"/>
      <c r="Q307" s="268"/>
      <c r="R307" s="268"/>
      <c r="S307" s="268"/>
      <c r="T307" s="268"/>
      <c r="U307" s="268"/>
      <c r="V307" s="268"/>
      <c r="AF307" s="268" t="str">
        <f t="shared" si="11"/>
        <v/>
      </c>
      <c r="AG307" s="268" t="str">
        <f t="shared" si="12"/>
        <v>t_ply</v>
      </c>
      <c r="AH307" s="268" t="str">
        <f t="shared" si="13"/>
        <v/>
      </c>
      <c r="AI307" s="268">
        <f t="shared" si="14"/>
        <v>0.02</v>
      </c>
      <c r="AJ307" s="268" t="str">
        <f t="shared" si="15"/>
        <v>inches</v>
      </c>
      <c r="AK307" s="268">
        <f t="shared" si="16"/>
        <v>0.50800000000000001</v>
      </c>
      <c r="AL307" s="268" t="str">
        <f t="shared" si="17"/>
        <v>mm</v>
      </c>
      <c r="AM307" s="268"/>
      <c r="AN307" s="268"/>
      <c r="AO307" s="268"/>
      <c r="AP307" s="268"/>
      <c r="AQ307" s="268"/>
      <c r="AR307" s="268"/>
      <c r="AS307" s="268"/>
      <c r="AT307" s="268"/>
      <c r="AU307" s="268"/>
    </row>
    <row r="308" spans="7:47">
      <c r="H308" s="268"/>
      <c r="I308" s="268"/>
      <c r="J308" s="268"/>
      <c r="K308" s="268"/>
      <c r="L308" s="268"/>
      <c r="AF308" s="268" t="str">
        <f t="shared" si="11"/>
        <v/>
      </c>
      <c r="AG308" s="268" t="str">
        <f t="shared" si="12"/>
        <v/>
      </c>
      <c r="AH308" s="268" t="str">
        <f t="shared" si="13"/>
        <v/>
      </c>
      <c r="AI308" s="268" t="str">
        <f t="shared" si="14"/>
        <v/>
      </c>
      <c r="AJ308" s="268" t="str">
        <f t="shared" si="15"/>
        <v/>
      </c>
      <c r="AK308" s="268" t="str">
        <f t="shared" si="16"/>
        <v/>
      </c>
      <c r="AL308" s="268" t="str">
        <f t="shared" si="17"/>
        <v/>
      </c>
      <c r="AM308" s="268"/>
      <c r="AN308" s="268"/>
      <c r="AO308" s="268"/>
      <c r="AP308" s="268"/>
      <c r="AQ308" s="268"/>
      <c r="AR308" s="268"/>
      <c r="AS308" s="268"/>
      <c r="AT308" s="268"/>
      <c r="AU308" s="268"/>
    </row>
    <row r="309" spans="7:47">
      <c r="H309" s="268"/>
      <c r="I309" s="268" t="s">
        <v>901</v>
      </c>
      <c r="J309" s="268"/>
      <c r="K309" s="268">
        <v>1.15E-5</v>
      </c>
      <c r="L309" s="268" t="s">
        <v>893</v>
      </c>
      <c r="AF309" s="268" t="str">
        <f t="shared" si="11"/>
        <v/>
      </c>
      <c r="AG309" s="268" t="str">
        <f t="shared" si="12"/>
        <v>as</v>
      </c>
      <c r="AH309" s="268" t="str">
        <f t="shared" si="13"/>
        <v/>
      </c>
      <c r="AI309" s="268">
        <f t="shared" si="14"/>
        <v>1.15E-5</v>
      </c>
      <c r="AJ309" s="268" t="str">
        <f t="shared" si="15"/>
        <v>1/C</v>
      </c>
      <c r="AK309" s="268" t="str">
        <f t="shared" si="16"/>
        <v/>
      </c>
      <c r="AL309" s="268" t="str">
        <f t="shared" si="17"/>
        <v/>
      </c>
      <c r="AM309" s="268"/>
      <c r="AN309" s="268"/>
      <c r="AO309" s="268"/>
      <c r="AP309" s="268"/>
      <c r="AQ309" s="268"/>
      <c r="AR309" s="268"/>
      <c r="AS309" s="268"/>
      <c r="AT309" s="268"/>
      <c r="AU309" s="268"/>
    </row>
    <row r="310" spans="7:47">
      <c r="H310" s="268"/>
      <c r="I310" s="268"/>
      <c r="J310" s="268"/>
      <c r="K310" s="268"/>
      <c r="L310" s="268"/>
      <c r="AF310" s="268" t="str">
        <f t="shared" si="11"/>
        <v/>
      </c>
      <c r="AG310" s="268" t="str">
        <f t="shared" si="12"/>
        <v/>
      </c>
      <c r="AH310" s="268" t="str">
        <f t="shared" si="13"/>
        <v/>
      </c>
      <c r="AI310" s="268" t="str">
        <f t="shared" si="14"/>
        <v/>
      </c>
      <c r="AJ310" s="268" t="str">
        <f t="shared" si="15"/>
        <v/>
      </c>
      <c r="AK310" s="268" t="str">
        <f t="shared" si="16"/>
        <v/>
      </c>
      <c r="AL310" s="268" t="str">
        <f t="shared" si="17"/>
        <v/>
      </c>
      <c r="AM310" s="268"/>
      <c r="AN310" s="268"/>
      <c r="AO310" s="268"/>
      <c r="AP310" s="268"/>
      <c r="AQ310" s="268"/>
      <c r="AR310" s="268"/>
      <c r="AS310" s="268"/>
      <c r="AT310" s="268"/>
      <c r="AU310" s="268"/>
    </row>
    <row r="311" spans="7:47">
      <c r="H311" s="268"/>
      <c r="I311" s="268" t="s">
        <v>896</v>
      </c>
      <c r="J311" s="268"/>
      <c r="K311" s="268">
        <v>1.0000000000000001E-5</v>
      </c>
      <c r="L311" s="268" t="s">
        <v>893</v>
      </c>
      <c r="AF311" s="268" t="str">
        <f t="shared" si="11"/>
        <v/>
      </c>
      <c r="AG311" s="268" t="str">
        <f t="shared" si="12"/>
        <v>ac</v>
      </c>
      <c r="AH311" s="268" t="str">
        <f t="shared" si="13"/>
        <v/>
      </c>
      <c r="AI311" s="268">
        <f t="shared" si="14"/>
        <v>1.0000000000000001E-5</v>
      </c>
      <c r="AJ311" s="268" t="str">
        <f t="shared" si="15"/>
        <v>1/C</v>
      </c>
      <c r="AK311" s="268" t="str">
        <f t="shared" si="16"/>
        <v/>
      </c>
      <c r="AL311" s="268" t="str">
        <f t="shared" si="17"/>
        <v/>
      </c>
      <c r="AM311" s="268"/>
      <c r="AN311" s="268"/>
      <c r="AO311" s="268"/>
      <c r="AP311" s="268"/>
      <c r="AQ311" s="268"/>
      <c r="AR311" s="268"/>
      <c r="AS311" s="268"/>
      <c r="AT311" s="268"/>
      <c r="AU311" s="268"/>
    </row>
    <row r="312" spans="7:47">
      <c r="H312" s="268"/>
      <c r="I312" s="268"/>
      <c r="J312" s="268"/>
      <c r="K312" s="268"/>
      <c r="L312" s="268"/>
      <c r="AF312" s="268" t="str">
        <f t="shared" si="11"/>
        <v/>
      </c>
      <c r="AG312" s="268" t="str">
        <f t="shared" si="12"/>
        <v/>
      </c>
      <c r="AH312" s="268" t="str">
        <f t="shared" si="13"/>
        <v/>
      </c>
      <c r="AI312" s="268" t="str">
        <f t="shared" si="14"/>
        <v/>
      </c>
      <c r="AJ312" s="268" t="str">
        <f t="shared" si="15"/>
        <v/>
      </c>
      <c r="AK312" s="268" t="str">
        <f t="shared" si="16"/>
        <v/>
      </c>
      <c r="AL312" s="268" t="str">
        <f t="shared" si="17"/>
        <v/>
      </c>
      <c r="AM312" s="268"/>
      <c r="AN312" s="268"/>
      <c r="AO312" s="268"/>
      <c r="AP312" s="268"/>
      <c r="AQ312" s="268"/>
      <c r="AR312" s="268"/>
      <c r="AS312" s="268"/>
      <c r="AT312" s="268"/>
      <c r="AU312" s="268"/>
    </row>
    <row r="313" spans="7:47">
      <c r="I313" s="268" t="s">
        <v>883</v>
      </c>
      <c r="J313" s="268" t="s">
        <v>1047</v>
      </c>
      <c r="K313" s="268">
        <v>38</v>
      </c>
      <c r="L313" s="268" t="s">
        <v>779</v>
      </c>
      <c r="AF313" s="268" t="str">
        <f t="shared" si="11"/>
        <v/>
      </c>
      <c r="AG313" s="268" t="str">
        <f t="shared" si="12"/>
        <v>Td</v>
      </c>
      <c r="AH313" s="268" t="str">
        <f t="shared" si="13"/>
        <v>maximum operating/test temperature</v>
      </c>
      <c r="AI313" s="268">
        <f t="shared" si="14"/>
        <v>38</v>
      </c>
      <c r="AJ313" s="268" t="str">
        <f t="shared" si="15"/>
        <v>C</v>
      </c>
      <c r="AK313" s="268" t="str">
        <f t="shared" si="16"/>
        <v/>
      </c>
      <c r="AL313" s="268" t="str">
        <f t="shared" si="17"/>
        <v/>
      </c>
      <c r="AM313" s="268"/>
      <c r="AN313" s="268"/>
      <c r="AO313" s="268"/>
      <c r="AP313" s="268"/>
      <c r="AQ313" s="268"/>
      <c r="AR313" s="268"/>
      <c r="AS313" s="268"/>
      <c r="AT313" s="268"/>
      <c r="AU313" s="268"/>
    </row>
    <row r="314" spans="7:47">
      <c r="H314" s="268"/>
      <c r="I314" s="268"/>
      <c r="J314" s="268"/>
      <c r="K314" s="268"/>
      <c r="L314" s="268"/>
      <c r="AF314" s="268" t="str">
        <f t="shared" si="11"/>
        <v/>
      </c>
      <c r="AG314" s="268" t="str">
        <f t="shared" si="12"/>
        <v/>
      </c>
      <c r="AH314" s="268" t="str">
        <f t="shared" si="13"/>
        <v/>
      </c>
      <c r="AI314" s="268" t="str">
        <f t="shared" si="14"/>
        <v/>
      </c>
      <c r="AJ314" s="268" t="str">
        <f t="shared" si="15"/>
        <v/>
      </c>
      <c r="AK314" s="268" t="str">
        <f t="shared" si="16"/>
        <v/>
      </c>
      <c r="AL314" s="268" t="str">
        <f t="shared" si="17"/>
        <v/>
      </c>
      <c r="AM314" s="268"/>
      <c r="AN314" s="268"/>
      <c r="AO314" s="268"/>
      <c r="AP314" s="268"/>
      <c r="AQ314" s="268"/>
      <c r="AR314" s="268"/>
      <c r="AS314" s="268"/>
      <c r="AT314" s="268"/>
      <c r="AU314" s="268"/>
    </row>
    <row r="315" spans="7:47">
      <c r="H315" s="268"/>
      <c r="I315" s="268" t="s">
        <v>1048</v>
      </c>
      <c r="J315" s="940" t="s">
        <v>1049</v>
      </c>
      <c r="K315" s="268">
        <v>10</v>
      </c>
      <c r="L315" s="268" t="s">
        <v>779</v>
      </c>
      <c r="AF315" s="268" t="str">
        <f t="shared" si="11"/>
        <v/>
      </c>
      <c r="AG315" s="268" t="str">
        <f t="shared" si="12"/>
        <v>ChangeT</v>
      </c>
      <c r="AH315" s="268" t="str">
        <f t="shared" si="13"/>
        <v>maximum temperature change during test</v>
      </c>
      <c r="AI315" s="268">
        <f t="shared" si="14"/>
        <v>10</v>
      </c>
      <c r="AJ315" s="268" t="str">
        <f t="shared" si="15"/>
        <v>C</v>
      </c>
      <c r="AK315" s="268" t="str">
        <f t="shared" si="16"/>
        <v/>
      </c>
      <c r="AL315" s="268" t="str">
        <f t="shared" si="17"/>
        <v/>
      </c>
      <c r="AM315" s="268"/>
      <c r="AN315" s="268"/>
      <c r="AO315" s="268"/>
      <c r="AP315" s="268"/>
      <c r="AQ315" s="268"/>
      <c r="AR315" s="268"/>
      <c r="AS315" s="268"/>
      <c r="AT315" s="268"/>
      <c r="AU315" s="268"/>
    </row>
    <row r="316" spans="7:47">
      <c r="H316" s="268"/>
      <c r="I316" s="268"/>
      <c r="J316" s="940"/>
      <c r="K316" s="268"/>
      <c r="L316" s="268"/>
      <c r="AF316" s="268" t="str">
        <f t="shared" ref="AF316:AF318" si="18">IF(H316="","",H316)</f>
        <v/>
      </c>
      <c r="AG316" s="268" t="str">
        <f t="shared" ref="AG316:AG318" si="19">IF(I316="","",I316)</f>
        <v/>
      </c>
      <c r="AH316" s="268" t="str">
        <f t="shared" ref="AH316:AH318" si="20">IF(J316="","",J316)</f>
        <v/>
      </c>
      <c r="AI316" s="268" t="str">
        <f t="shared" ref="AI316:AI318" si="21">IF(K316="","",K316)</f>
        <v/>
      </c>
      <c r="AJ316" s="268" t="str">
        <f t="shared" ref="AJ316:AJ318" si="22">IF(L316="","",L316)</f>
        <v/>
      </c>
      <c r="AK316" s="268" t="str">
        <f t="shared" ref="AK316:AK318" si="23">IF(M316="","",M316)</f>
        <v/>
      </c>
      <c r="AL316" s="268" t="str">
        <f t="shared" ref="AL316:AL318" si="24">IF(N316="","",N316)</f>
        <v/>
      </c>
      <c r="AM316" s="268"/>
      <c r="AN316" s="268"/>
      <c r="AO316" s="268"/>
      <c r="AP316" s="268"/>
      <c r="AQ316" s="268"/>
      <c r="AR316" s="268"/>
      <c r="AS316" s="268"/>
      <c r="AT316" s="268"/>
      <c r="AU316" s="268"/>
    </row>
    <row r="317" spans="7:47">
      <c r="H317" s="268"/>
      <c r="I317" s="268" t="s">
        <v>833</v>
      </c>
      <c r="J317" s="940"/>
      <c r="K317" s="268">
        <v>0.5</v>
      </c>
      <c r="L317" s="268"/>
      <c r="AF317" s="268" t="str">
        <f t="shared" si="18"/>
        <v/>
      </c>
      <c r="AG317" s="268" t="str">
        <f t="shared" si="19"/>
        <v>f</v>
      </c>
      <c r="AH317" s="268" t="str">
        <f t="shared" si="20"/>
        <v/>
      </c>
      <c r="AI317" s="268">
        <f t="shared" si="21"/>
        <v>0.5</v>
      </c>
      <c r="AJ317" s="268" t="str">
        <f t="shared" si="22"/>
        <v/>
      </c>
      <c r="AK317" s="268" t="str">
        <f t="shared" si="23"/>
        <v/>
      </c>
      <c r="AL317" s="268" t="str">
        <f t="shared" si="24"/>
        <v/>
      </c>
      <c r="AM317" s="268"/>
      <c r="AN317" s="268"/>
      <c r="AO317" s="268"/>
      <c r="AP317" s="268"/>
      <c r="AQ317" s="268"/>
      <c r="AR317" s="268"/>
      <c r="AS317" s="268"/>
      <c r="AT317" s="268"/>
      <c r="AU317" s="268"/>
    </row>
    <row r="318" spans="7:47">
      <c r="H318" s="268"/>
      <c r="I318" s="268"/>
      <c r="J318" s="268"/>
      <c r="K318" s="268"/>
      <c r="L318" s="268"/>
      <c r="AF318" s="268" t="str">
        <f t="shared" si="18"/>
        <v/>
      </c>
      <c r="AG318" s="268" t="str">
        <f t="shared" si="19"/>
        <v/>
      </c>
      <c r="AH318" s="268" t="str">
        <f t="shared" si="20"/>
        <v/>
      </c>
      <c r="AI318" s="268" t="str">
        <f t="shared" si="21"/>
        <v/>
      </c>
      <c r="AJ318" s="268" t="str">
        <f t="shared" si="22"/>
        <v/>
      </c>
      <c r="AK318" s="268" t="str">
        <f t="shared" si="23"/>
        <v/>
      </c>
      <c r="AL318" s="268" t="str">
        <f t="shared" si="24"/>
        <v/>
      </c>
      <c r="AM318" s="268"/>
      <c r="AN318" s="268"/>
      <c r="AO318" s="268"/>
      <c r="AP318" s="268"/>
      <c r="AQ318" s="268"/>
      <c r="AR318" s="268"/>
      <c r="AS318" s="268"/>
      <c r="AT318" s="268"/>
      <c r="AU318" s="268"/>
    </row>
    <row r="319" spans="7:47">
      <c r="H319" s="268" t="s">
        <v>1050</v>
      </c>
      <c r="I319" s="268" t="s">
        <v>1051</v>
      </c>
      <c r="J319" s="268"/>
      <c r="K319" s="268">
        <v>26.715170000000001</v>
      </c>
      <c r="L319" s="268" t="s">
        <v>779</v>
      </c>
      <c r="AF319" s="268" t="str">
        <f t="shared" si="11"/>
        <v>1000 hour data</v>
      </c>
      <c r="AG319" s="268" t="str">
        <f t="shared" si="12"/>
        <v>max temp</v>
      </c>
      <c r="AH319" s="268" t="str">
        <f t="shared" si="13"/>
        <v/>
      </c>
      <c r="AI319" s="268">
        <f t="shared" si="14"/>
        <v>26.715170000000001</v>
      </c>
      <c r="AJ319" s="268" t="str">
        <f t="shared" si="15"/>
        <v>C</v>
      </c>
      <c r="AK319" s="268" t="str">
        <f t="shared" si="16"/>
        <v/>
      </c>
      <c r="AL319" s="268" t="str">
        <f t="shared" si="17"/>
        <v/>
      </c>
      <c r="AM319" s="268"/>
      <c r="AN319" s="268"/>
      <c r="AO319" s="268"/>
      <c r="AP319" s="268"/>
      <c r="AQ319" s="268"/>
      <c r="AR319" s="268"/>
      <c r="AS319" s="268"/>
      <c r="AT319" s="268"/>
      <c r="AU319" s="268"/>
    </row>
    <row r="320" spans="7:47">
      <c r="H320" s="268"/>
      <c r="I320" s="268"/>
      <c r="J320" s="268"/>
      <c r="K320" s="268"/>
      <c r="L320" s="268"/>
      <c r="AF320" s="268" t="str">
        <f t="shared" si="11"/>
        <v/>
      </c>
      <c r="AG320" s="268" t="str">
        <f t="shared" si="12"/>
        <v/>
      </c>
      <c r="AH320" s="268" t="str">
        <f t="shared" si="13"/>
        <v/>
      </c>
      <c r="AI320" s="268" t="str">
        <f t="shared" si="14"/>
        <v/>
      </c>
      <c r="AJ320" s="268" t="str">
        <f t="shared" si="15"/>
        <v/>
      </c>
      <c r="AK320" s="268" t="str">
        <f t="shared" si="16"/>
        <v/>
      </c>
      <c r="AL320" s="268" t="str">
        <f t="shared" si="17"/>
        <v/>
      </c>
      <c r="AM320" s="268"/>
      <c r="AN320" s="268"/>
      <c r="AO320" s="268"/>
      <c r="AP320" s="268"/>
      <c r="AQ320" s="268"/>
      <c r="AR320" s="268"/>
      <c r="AS320" s="268"/>
      <c r="AT320" s="268"/>
      <c r="AU320" s="268"/>
    </row>
    <row r="321" spans="8:47">
      <c r="H321" s="268" t="s">
        <v>1050</v>
      </c>
      <c r="I321" s="268" t="s">
        <v>1052</v>
      </c>
      <c r="J321" s="268"/>
      <c r="K321" s="268">
        <v>2878</v>
      </c>
      <c r="L321" s="268" t="s">
        <v>45</v>
      </c>
      <c r="M321" s="268">
        <f>K321*$G$280</f>
        <v>19.848275862068967</v>
      </c>
      <c r="N321" s="268" t="s">
        <v>1042</v>
      </c>
      <c r="O321" s="268"/>
      <c r="P321" s="268"/>
      <c r="Q321" s="268"/>
      <c r="R321" s="268"/>
      <c r="S321" s="268"/>
      <c r="T321" s="268"/>
      <c r="U321" s="268"/>
      <c r="V321" s="268"/>
      <c r="AF321" s="268" t="str">
        <f t="shared" si="11"/>
        <v>1000 hour data</v>
      </c>
      <c r="AG321" s="268" t="str">
        <f t="shared" si="12"/>
        <v>Target Pressure</v>
      </c>
      <c r="AH321" s="268" t="str">
        <f t="shared" si="13"/>
        <v/>
      </c>
      <c r="AI321" s="268">
        <f t="shared" si="14"/>
        <v>2878</v>
      </c>
      <c r="AJ321" s="268" t="str">
        <f t="shared" si="15"/>
        <v>psi</v>
      </c>
      <c r="AK321" s="268">
        <f t="shared" si="16"/>
        <v>19.848275862068967</v>
      </c>
      <c r="AL321" s="268" t="str">
        <f t="shared" si="17"/>
        <v>MPa</v>
      </c>
      <c r="AM321" s="268"/>
      <c r="AN321" s="268"/>
      <c r="AO321" s="268"/>
      <c r="AP321" s="268"/>
      <c r="AQ321" s="268"/>
      <c r="AR321" s="268"/>
      <c r="AS321" s="268"/>
      <c r="AT321" s="268"/>
      <c r="AU321" s="268"/>
    </row>
    <row r="322" spans="8:47">
      <c r="H322" s="268"/>
      <c r="I322" s="268"/>
      <c r="J322" s="268"/>
      <c r="K322" s="268"/>
      <c r="L322" s="268"/>
      <c r="M322" s="268"/>
      <c r="N322" s="268"/>
      <c r="O322" s="268"/>
      <c r="P322" s="268"/>
      <c r="Q322" s="268"/>
      <c r="R322" s="268"/>
      <c r="S322" s="268"/>
      <c r="T322" s="268"/>
      <c r="U322" s="268"/>
      <c r="V322" s="268"/>
      <c r="AF322" s="268" t="str">
        <f t="shared" si="11"/>
        <v/>
      </c>
      <c r="AG322" s="268" t="str">
        <f t="shared" si="12"/>
        <v/>
      </c>
      <c r="AH322" s="268" t="str">
        <f t="shared" si="13"/>
        <v/>
      </c>
      <c r="AI322" s="268" t="str">
        <f t="shared" si="14"/>
        <v/>
      </c>
      <c r="AJ322" s="268" t="str">
        <f t="shared" si="15"/>
        <v/>
      </c>
      <c r="AK322" s="268" t="str">
        <f t="shared" si="16"/>
        <v/>
      </c>
      <c r="AL322" s="268" t="str">
        <f t="shared" si="17"/>
        <v/>
      </c>
      <c r="AM322" s="268"/>
      <c r="AN322" s="268"/>
      <c r="AO322" s="268"/>
      <c r="AP322" s="268"/>
      <c r="AQ322" s="268"/>
      <c r="AR322" s="268"/>
      <c r="AS322" s="268"/>
      <c r="AT322" s="268"/>
      <c r="AU322" s="268"/>
    </row>
    <row r="323" spans="8:47">
      <c r="H323" s="268" t="s">
        <v>1050</v>
      </c>
      <c r="I323" s="268" t="s">
        <v>830</v>
      </c>
      <c r="J323" s="268"/>
      <c r="K323" s="268">
        <v>0.104381666666666</v>
      </c>
      <c r="L323" s="268" t="s">
        <v>362</v>
      </c>
      <c r="M323" s="268">
        <f>K323*$G$281</f>
        <v>2.6512943333333161</v>
      </c>
      <c r="N323" s="268" t="s">
        <v>73</v>
      </c>
      <c r="O323" s="268"/>
      <c r="P323" s="268"/>
      <c r="Q323" s="268"/>
      <c r="R323" s="268"/>
      <c r="S323" s="268"/>
      <c r="T323" s="268"/>
      <c r="U323" s="268"/>
      <c r="V323" s="268"/>
      <c r="AF323" s="268" t="str">
        <f t="shared" si="11"/>
        <v>1000 hour data</v>
      </c>
      <c r="AG323" s="268" t="str">
        <f t="shared" si="12"/>
        <v>tmin</v>
      </c>
      <c r="AH323" s="268" t="str">
        <f t="shared" si="13"/>
        <v/>
      </c>
      <c r="AI323" s="268">
        <f t="shared" si="14"/>
        <v>0.104381666666666</v>
      </c>
      <c r="AJ323" s="268" t="str">
        <f t="shared" si="15"/>
        <v>inches</v>
      </c>
      <c r="AK323" s="268">
        <f t="shared" si="16"/>
        <v>2.6512943333333161</v>
      </c>
      <c r="AL323" s="268" t="str">
        <f t="shared" si="17"/>
        <v>mm</v>
      </c>
      <c r="AM323" s="268"/>
      <c r="AN323" s="268"/>
      <c r="AO323" s="268"/>
      <c r="AP323" s="268"/>
      <c r="AQ323" s="268"/>
      <c r="AR323" s="268"/>
      <c r="AS323" s="268"/>
      <c r="AT323" s="268"/>
      <c r="AU323" s="268"/>
    </row>
    <row r="324" spans="8:47">
      <c r="H324" s="268"/>
      <c r="I324" s="268"/>
      <c r="J324" s="268"/>
      <c r="K324" s="268"/>
      <c r="L324" s="268"/>
      <c r="M324" s="268"/>
      <c r="N324" s="268"/>
      <c r="O324" s="268"/>
      <c r="P324" s="268"/>
      <c r="Q324" s="268"/>
      <c r="R324" s="268"/>
      <c r="S324" s="268"/>
      <c r="T324" s="268"/>
      <c r="U324" s="268"/>
      <c r="V324" s="268"/>
      <c r="AF324" s="268" t="str">
        <f t="shared" si="11"/>
        <v/>
      </c>
      <c r="AG324" s="268" t="str">
        <f t="shared" si="12"/>
        <v/>
      </c>
      <c r="AH324" s="268" t="str">
        <f t="shared" si="13"/>
        <v/>
      </c>
      <c r="AI324" s="268" t="str">
        <f t="shared" si="14"/>
        <v/>
      </c>
      <c r="AJ324" s="268" t="str">
        <f t="shared" si="15"/>
        <v/>
      </c>
      <c r="AK324" s="268" t="str">
        <f t="shared" si="16"/>
        <v/>
      </c>
      <c r="AL324" s="268" t="str">
        <f t="shared" si="17"/>
        <v/>
      </c>
      <c r="AM324" s="268"/>
      <c r="AN324" s="268"/>
      <c r="AO324" s="268"/>
      <c r="AP324" s="268"/>
      <c r="AQ324" s="268"/>
      <c r="AR324" s="268"/>
      <c r="AS324" s="268"/>
      <c r="AT324" s="268"/>
      <c r="AU324" s="268"/>
    </row>
    <row r="325" spans="8:47">
      <c r="H325" s="268" t="s">
        <v>1050</v>
      </c>
      <c r="I325" s="268" t="s">
        <v>847</v>
      </c>
      <c r="J325" s="268"/>
      <c r="K325" s="268">
        <v>0.25</v>
      </c>
      <c r="L325" s="268" t="s">
        <v>362</v>
      </c>
      <c r="M325" s="268">
        <f>K325*$G$281</f>
        <v>6.35</v>
      </c>
      <c r="N325" s="268" t="s">
        <v>73</v>
      </c>
      <c r="O325" s="268"/>
      <c r="P325" s="268"/>
      <c r="Q325" s="268"/>
      <c r="R325" s="268"/>
      <c r="S325" s="268"/>
      <c r="T325" s="268"/>
      <c r="U325" s="268"/>
      <c r="V325" s="268"/>
      <c r="AF325" s="268" t="str">
        <f t="shared" si="11"/>
        <v>1000 hour data</v>
      </c>
      <c r="AG325" s="268" t="str">
        <f t="shared" si="12"/>
        <v>ts</v>
      </c>
      <c r="AH325" s="268" t="str">
        <f t="shared" si="13"/>
        <v/>
      </c>
      <c r="AI325" s="268">
        <f t="shared" si="14"/>
        <v>0.25</v>
      </c>
      <c r="AJ325" s="268" t="str">
        <f t="shared" si="15"/>
        <v>inches</v>
      </c>
      <c r="AK325" s="268">
        <f t="shared" si="16"/>
        <v>6.35</v>
      </c>
      <c r="AL325" s="268" t="str">
        <f t="shared" si="17"/>
        <v>mm</v>
      </c>
      <c r="AM325" s="268"/>
      <c r="AN325" s="268"/>
      <c r="AO325" s="268"/>
      <c r="AP325" s="268"/>
      <c r="AQ325" s="268"/>
      <c r="AR325" s="268"/>
      <c r="AS325" s="268"/>
      <c r="AT325" s="268"/>
      <c r="AU325" s="268"/>
    </row>
    <row r="326" spans="8:47">
      <c r="H326" s="268"/>
      <c r="I326" s="268"/>
      <c r="J326" s="268"/>
      <c r="K326" s="268"/>
      <c r="L326" s="268"/>
      <c r="M326" s="268"/>
      <c r="N326" s="268"/>
      <c r="O326" s="268"/>
      <c r="P326" s="268"/>
      <c r="Q326" s="268"/>
      <c r="R326" s="268"/>
      <c r="S326" s="268"/>
      <c r="T326" s="268"/>
      <c r="U326" s="268"/>
      <c r="V326" s="268"/>
      <c r="AF326" s="268" t="str">
        <f t="shared" si="11"/>
        <v/>
      </c>
      <c r="AG326" s="268" t="str">
        <f t="shared" si="12"/>
        <v/>
      </c>
      <c r="AH326" s="268" t="str">
        <f t="shared" si="13"/>
        <v/>
      </c>
      <c r="AI326" s="268" t="str">
        <f t="shared" si="14"/>
        <v/>
      </c>
      <c r="AJ326" s="268" t="str">
        <f t="shared" si="15"/>
        <v/>
      </c>
      <c r="AK326" s="268" t="str">
        <f t="shared" si="16"/>
        <v/>
      </c>
      <c r="AL326" s="268" t="str">
        <f t="shared" si="17"/>
        <v/>
      </c>
      <c r="AM326" s="268"/>
      <c r="AN326" s="268"/>
      <c r="AO326" s="268"/>
      <c r="AP326" s="268"/>
      <c r="AQ326" s="268"/>
      <c r="AR326" s="268"/>
      <c r="AS326" s="268"/>
      <c r="AT326" s="268"/>
      <c r="AU326" s="268"/>
    </row>
    <row r="327" spans="8:47">
      <c r="H327" s="268" t="s">
        <v>1050</v>
      </c>
      <c r="I327" s="268" t="s">
        <v>1053</v>
      </c>
      <c r="J327" s="268"/>
      <c r="K327" s="268">
        <v>53800</v>
      </c>
      <c r="L327" s="268" t="s">
        <v>45</v>
      </c>
      <c r="M327" s="268">
        <f>K327*$G$280</f>
        <v>371.0344827586207</v>
      </c>
      <c r="N327" s="268" t="s">
        <v>1042</v>
      </c>
      <c r="O327" s="268"/>
      <c r="P327" s="268"/>
      <c r="Q327" s="268"/>
      <c r="R327" s="268"/>
      <c r="S327" s="268"/>
      <c r="T327" s="268"/>
      <c r="U327" s="268"/>
      <c r="V327" s="268"/>
      <c r="AF327" s="268" t="str">
        <f t="shared" si="11"/>
        <v>1000 hour data</v>
      </c>
      <c r="AG327" s="268" t="str">
        <f t="shared" si="12"/>
        <v>Sa</v>
      </c>
      <c r="AH327" s="268" t="str">
        <f t="shared" si="13"/>
        <v/>
      </c>
      <c r="AI327" s="268">
        <f t="shared" si="14"/>
        <v>53800</v>
      </c>
      <c r="AJ327" s="268" t="str">
        <f t="shared" si="15"/>
        <v>psi</v>
      </c>
      <c r="AK327" s="268">
        <f t="shared" si="16"/>
        <v>371.0344827586207</v>
      </c>
      <c r="AL327" s="268" t="str">
        <f t="shared" si="17"/>
        <v>MPa</v>
      </c>
      <c r="AM327" s="268"/>
      <c r="AN327" s="268"/>
      <c r="AO327" s="268"/>
      <c r="AP327" s="268"/>
      <c r="AQ327" s="268"/>
      <c r="AR327" s="268"/>
      <c r="AS327" s="268"/>
      <c r="AT327" s="268"/>
      <c r="AU327" s="268"/>
    </row>
    <row r="328" spans="8:47">
      <c r="H328" s="268"/>
      <c r="I328" s="268"/>
      <c r="J328" s="268"/>
      <c r="K328" s="268"/>
      <c r="L328" s="268"/>
      <c r="M328" s="268"/>
      <c r="N328" s="268"/>
      <c r="O328" s="268"/>
      <c r="P328" s="268"/>
      <c r="Q328" s="268"/>
      <c r="R328" s="268"/>
      <c r="S328" s="268"/>
      <c r="T328" s="268"/>
      <c r="U328" s="268"/>
      <c r="V328" s="268"/>
      <c r="AF328" s="268" t="str">
        <f t="shared" si="11"/>
        <v/>
      </c>
      <c r="AG328" s="268" t="str">
        <f t="shared" si="12"/>
        <v/>
      </c>
      <c r="AH328" s="268" t="str">
        <f t="shared" si="13"/>
        <v/>
      </c>
      <c r="AI328" s="268" t="str">
        <f t="shared" si="14"/>
        <v/>
      </c>
      <c r="AJ328" s="268" t="str">
        <f t="shared" si="15"/>
        <v/>
      </c>
      <c r="AK328" s="268" t="str">
        <f t="shared" si="16"/>
        <v/>
      </c>
      <c r="AL328" s="268" t="str">
        <f t="shared" si="17"/>
        <v/>
      </c>
      <c r="AM328" s="268"/>
      <c r="AN328" s="268"/>
      <c r="AO328" s="268"/>
      <c r="AP328" s="268"/>
      <c r="AQ328" s="268"/>
      <c r="AR328" s="268"/>
      <c r="AS328" s="268"/>
      <c r="AT328" s="268"/>
      <c r="AU328" s="268"/>
    </row>
    <row r="329" spans="8:47">
      <c r="H329" s="268" t="s">
        <v>1050</v>
      </c>
      <c r="I329" s="268"/>
      <c r="J329" s="268"/>
      <c r="K329" s="268"/>
      <c r="L329" s="268"/>
      <c r="M329" s="268"/>
      <c r="N329" s="268"/>
      <c r="O329" s="268"/>
      <c r="P329" s="268"/>
      <c r="Q329" s="268"/>
      <c r="R329" s="268"/>
      <c r="S329" s="268"/>
      <c r="T329" s="268"/>
      <c r="U329" s="268"/>
      <c r="V329" s="268"/>
      <c r="AF329" s="268" t="str">
        <f t="shared" si="11"/>
        <v>1000 hour data</v>
      </c>
      <c r="AG329" s="268" t="str">
        <f t="shared" si="12"/>
        <v/>
      </c>
      <c r="AH329" s="268" t="str">
        <f t="shared" si="13"/>
        <v/>
      </c>
      <c r="AI329" s="268" t="str">
        <f t="shared" si="14"/>
        <v/>
      </c>
      <c r="AJ329" s="268" t="str">
        <f t="shared" si="15"/>
        <v/>
      </c>
      <c r="AK329" s="268" t="str">
        <f t="shared" si="16"/>
        <v/>
      </c>
      <c r="AL329" s="268" t="str">
        <f t="shared" si="17"/>
        <v/>
      </c>
      <c r="AM329" s="268"/>
      <c r="AN329" s="268"/>
      <c r="AO329" s="268"/>
      <c r="AP329" s="268"/>
      <c r="AQ329" s="268"/>
      <c r="AR329" s="268"/>
      <c r="AS329" s="268"/>
      <c r="AT329" s="268"/>
      <c r="AU329" s="268"/>
    </row>
    <row r="330" spans="8:47">
      <c r="H330" s="268"/>
      <c r="I330" s="268"/>
      <c r="J330" s="268"/>
      <c r="K330" s="268"/>
      <c r="L330" s="268"/>
      <c r="M330" s="268"/>
      <c r="N330" s="268"/>
      <c r="O330" s="268"/>
      <c r="P330" s="268"/>
      <c r="Q330" s="268"/>
      <c r="R330" s="268"/>
      <c r="S330" s="268"/>
      <c r="T330" s="268"/>
      <c r="U330" s="268"/>
      <c r="V330" s="268"/>
      <c r="AF330" s="268" t="str">
        <f t="shared" si="11"/>
        <v/>
      </c>
      <c r="AG330" s="268" t="str">
        <f t="shared" si="12"/>
        <v/>
      </c>
      <c r="AH330" s="268" t="str">
        <f t="shared" si="13"/>
        <v/>
      </c>
      <c r="AI330" s="268" t="str">
        <f t="shared" si="14"/>
        <v/>
      </c>
      <c r="AJ330" s="268" t="str">
        <f t="shared" si="15"/>
        <v/>
      </c>
      <c r="AK330" s="268" t="str">
        <f t="shared" si="16"/>
        <v/>
      </c>
      <c r="AL330" s="268" t="str">
        <f t="shared" si="17"/>
        <v/>
      </c>
      <c r="AM330" s="268"/>
      <c r="AN330" s="268"/>
      <c r="AO330" s="268"/>
      <c r="AP330" s="268"/>
      <c r="AQ330" s="268"/>
      <c r="AR330" s="268"/>
      <c r="AS330" s="268"/>
      <c r="AT330" s="268"/>
      <c r="AU330" s="268"/>
    </row>
    <row r="331" spans="8:47">
      <c r="H331" s="268"/>
      <c r="I331" s="268"/>
      <c r="J331" s="268"/>
      <c r="K331" s="268"/>
      <c r="L331" s="268"/>
      <c r="M331" s="268"/>
      <c r="N331" s="268"/>
      <c r="O331" s="268"/>
      <c r="P331" s="268"/>
      <c r="Q331" s="268"/>
      <c r="R331" s="268"/>
      <c r="S331" s="268"/>
      <c r="T331" s="268"/>
      <c r="U331" s="268"/>
      <c r="V331" s="268"/>
      <c r="AF331" s="268" t="str">
        <f t="shared" si="11"/>
        <v/>
      </c>
      <c r="AG331" s="268" t="str">
        <f t="shared" si="12"/>
        <v/>
      </c>
      <c r="AH331" s="268" t="str">
        <f t="shared" si="13"/>
        <v/>
      </c>
      <c r="AI331" s="268" t="str">
        <f t="shared" si="14"/>
        <v/>
      </c>
      <c r="AJ331" s="268" t="str">
        <f t="shared" si="15"/>
        <v/>
      </c>
      <c r="AK331" s="268" t="str">
        <f t="shared" si="16"/>
        <v/>
      </c>
      <c r="AL331" s="268" t="str">
        <f t="shared" si="17"/>
        <v/>
      </c>
      <c r="AM331" s="268"/>
      <c r="AN331" s="268"/>
      <c r="AO331" s="268"/>
      <c r="AP331" s="268"/>
      <c r="AQ331" s="268"/>
      <c r="AR331" s="268"/>
      <c r="AS331" s="268"/>
      <c r="AT331" s="268"/>
      <c r="AU331" s="268"/>
    </row>
    <row r="332" spans="8:47">
      <c r="H332" s="268"/>
      <c r="I332" s="268"/>
      <c r="J332" s="268"/>
      <c r="K332" s="268"/>
      <c r="L332" s="268"/>
      <c r="M332" s="268"/>
      <c r="N332" s="268"/>
      <c r="O332" s="268"/>
      <c r="P332" s="268"/>
      <c r="Q332" s="268"/>
      <c r="R332" s="268"/>
      <c r="S332" s="268"/>
      <c r="T332" s="268"/>
      <c r="U332" s="268"/>
      <c r="V332" s="268"/>
      <c r="AF332" s="268" t="str">
        <f t="shared" si="11"/>
        <v/>
      </c>
      <c r="AG332" s="268" t="str">
        <f t="shared" si="12"/>
        <v/>
      </c>
      <c r="AH332" s="268" t="str">
        <f t="shared" si="13"/>
        <v/>
      </c>
      <c r="AI332" s="268" t="str">
        <f t="shared" si="14"/>
        <v/>
      </c>
      <c r="AJ332" s="268" t="str">
        <f t="shared" si="15"/>
        <v/>
      </c>
      <c r="AK332" s="268" t="str">
        <f t="shared" si="16"/>
        <v/>
      </c>
      <c r="AL332" s="268" t="str">
        <f t="shared" si="17"/>
        <v/>
      </c>
      <c r="AM332" s="268"/>
      <c r="AN332" s="268"/>
      <c r="AO332" s="268"/>
      <c r="AP332" s="268"/>
      <c r="AQ332" s="268"/>
      <c r="AR332" s="268"/>
      <c r="AS332" s="268"/>
      <c r="AT332" s="268"/>
      <c r="AU332" s="268"/>
    </row>
    <row r="333" spans="8:47">
      <c r="H333" s="268"/>
      <c r="I333" s="268"/>
      <c r="J333" s="268"/>
      <c r="K333" s="268"/>
      <c r="L333" s="268"/>
      <c r="AF333" s="268" t="str">
        <f t="shared" si="11"/>
        <v/>
      </c>
      <c r="AG333" s="268" t="str">
        <f t="shared" si="12"/>
        <v/>
      </c>
      <c r="AH333" s="268" t="str">
        <f t="shared" si="13"/>
        <v/>
      </c>
      <c r="AI333" s="268" t="str">
        <f t="shared" si="14"/>
        <v/>
      </c>
      <c r="AJ333" s="268" t="str">
        <f t="shared" si="15"/>
        <v/>
      </c>
      <c r="AK333" s="268" t="str">
        <f t="shared" si="16"/>
        <v/>
      </c>
      <c r="AL333" s="268" t="str">
        <f t="shared" si="17"/>
        <v/>
      </c>
      <c r="AM333" s="268"/>
      <c r="AN333" s="268"/>
      <c r="AO333" s="268"/>
      <c r="AP333" s="268"/>
      <c r="AQ333" s="268"/>
      <c r="AR333" s="268"/>
      <c r="AS333" s="268"/>
      <c r="AT333" s="268"/>
      <c r="AU333" s="268"/>
    </row>
    <row r="334" spans="8:47">
      <c r="H334" s="1283" t="s">
        <v>1054</v>
      </c>
      <c r="I334" s="1381"/>
      <c r="J334" s="1381"/>
      <c r="K334" s="1381"/>
      <c r="L334" s="1381"/>
      <c r="M334" s="1284"/>
      <c r="O334" s="1283" t="s">
        <v>810</v>
      </c>
      <c r="P334" s="1381"/>
      <c r="Q334" s="1381"/>
      <c r="R334" s="1381"/>
      <c r="S334" s="1381"/>
      <c r="T334" s="1284"/>
      <c r="W334" s="1283" t="s">
        <v>365</v>
      </c>
      <c r="X334" s="1381"/>
      <c r="Y334" s="1381"/>
      <c r="Z334" s="1284"/>
    </row>
    <row r="335" spans="8:47">
      <c r="H335" s="834"/>
      <c r="I335" s="936" t="s">
        <v>1055</v>
      </c>
      <c r="J335" s="900" t="s">
        <v>1056</v>
      </c>
      <c r="K335" s="936">
        <v>200</v>
      </c>
      <c r="L335" s="932" t="s">
        <v>1057</v>
      </c>
      <c r="M335" s="834"/>
      <c r="O335" s="834" t="str">
        <f>BF348</f>
        <v>PCC-2</v>
      </c>
      <c r="P335" s="834" t="str">
        <f>BG348</f>
        <v>Layers,slt,PCC-2</v>
      </c>
      <c r="Q335" s="959">
        <f t="shared" ref="Q335:R335" si="25">BH348</f>
        <v>0</v>
      </c>
      <c r="R335" s="959">
        <f t="shared" si="25"/>
        <v>11</v>
      </c>
      <c r="S335" s="834"/>
      <c r="T335" s="834"/>
      <c r="W335" s="1386" t="s">
        <v>1058</v>
      </c>
      <c r="X335" s="1386"/>
      <c r="Y335" s="1386"/>
      <c r="Z335" s="1386"/>
      <c r="AC335" t="s">
        <v>1059</v>
      </c>
    </row>
    <row r="336" spans="8:47">
      <c r="J336" s="268"/>
      <c r="W336" s="325"/>
      <c r="X336" s="325" t="str">
        <f>I341</f>
        <v>N_Test</v>
      </c>
      <c r="Y336" s="944">
        <f>K341</f>
        <v>276000</v>
      </c>
      <c r="Z336" s="325" t="str">
        <f>L341</f>
        <v>cycles</v>
      </c>
      <c r="AC336" s="268" t="s">
        <v>442</v>
      </c>
    </row>
    <row r="337" spans="8:63">
      <c r="H337" s="325"/>
      <c r="I337" s="931" t="s">
        <v>1060</v>
      </c>
      <c r="J337" s="594" t="s">
        <v>1061</v>
      </c>
      <c r="K337" s="931">
        <v>5</v>
      </c>
      <c r="L337" s="824" t="s">
        <v>1062</v>
      </c>
      <c r="M337" s="325"/>
      <c r="O337" s="325" t="str">
        <f>BF350</f>
        <v>PCC-2</v>
      </c>
      <c r="P337" s="325" t="str">
        <f>BG350</f>
        <v>1/ec,cyclic</v>
      </c>
      <c r="Q337" s="657">
        <f>BH350</f>
        <v>29</v>
      </c>
      <c r="R337" s="657">
        <f>BI350</f>
        <v>0</v>
      </c>
      <c r="S337" s="866"/>
      <c r="T337" s="325"/>
      <c r="AC337" s="268"/>
    </row>
    <row r="338" spans="8:63">
      <c r="J338" s="268"/>
      <c r="W338" s="999" t="s">
        <v>1063</v>
      </c>
      <c r="X338" s="999"/>
      <c r="Y338" s="999"/>
      <c r="Z338" s="999"/>
      <c r="AC338" s="268"/>
    </row>
    <row r="339" spans="8:63">
      <c r="H339" s="325"/>
      <c r="I339" s="931" t="s">
        <v>1064</v>
      </c>
      <c r="J339" s="594" t="s">
        <v>1065</v>
      </c>
      <c r="K339" s="935">
        <v>276</v>
      </c>
      <c r="L339" s="594" t="s">
        <v>1066</v>
      </c>
      <c r="M339" s="325"/>
      <c r="O339" s="325" t="str">
        <f>BF352</f>
        <v>ISO</v>
      </c>
      <c r="P339" s="325" t="str">
        <f>BG352</f>
        <v>1/ec,cyclic</v>
      </c>
      <c r="Q339" s="657">
        <f>BH352</f>
        <v>113</v>
      </c>
      <c r="R339" s="657">
        <f>BI352</f>
        <v>0</v>
      </c>
      <c r="S339" s="866"/>
      <c r="T339" s="325"/>
      <c r="W339" s="827" t="s">
        <v>819</v>
      </c>
      <c r="X339" s="827" t="str">
        <f>I391</f>
        <v>ec noncyclic</v>
      </c>
      <c r="Y339" s="945">
        <f>K391</f>
        <v>2.4850000000000002E-3</v>
      </c>
      <c r="Z339" s="948" t="s">
        <v>1067</v>
      </c>
      <c r="AA339" s="828">
        <f>Y339*POWER(10,6)</f>
        <v>2485.0000000000005</v>
      </c>
      <c r="AB339" s="827" t="s">
        <v>1068</v>
      </c>
      <c r="AC339" s="268"/>
    </row>
    <row r="340" spans="8:63">
      <c r="J340" s="268"/>
      <c r="W340" s="325" t="s">
        <v>1069</v>
      </c>
      <c r="X340" s="325" t="str">
        <f>I450</f>
        <v>ec,non-cyclic</v>
      </c>
      <c r="Y340" s="946">
        <f>K450</f>
        <v>4.7840210852608005E-4</v>
      </c>
      <c r="Z340" s="325" t="s">
        <v>1067</v>
      </c>
      <c r="AA340" s="657">
        <f t="shared" ref="AA340" si="26">Y340*POWER(10,6)</f>
        <v>478.40210852608004</v>
      </c>
      <c r="AB340" s="325" t="s">
        <v>1068</v>
      </c>
      <c r="AC340" s="268"/>
    </row>
    <row r="341" spans="8:63">
      <c r="H341" s="325" t="s">
        <v>1070</v>
      </c>
      <c r="I341" s="931" t="s">
        <v>1071</v>
      </c>
      <c r="J341" s="933" t="s">
        <v>1072</v>
      </c>
      <c r="K341" s="934">
        <f>ROUNDUP(K335*K339*K337,0)</f>
        <v>276000</v>
      </c>
      <c r="L341" s="594" t="s">
        <v>1073</v>
      </c>
      <c r="M341" s="325"/>
      <c r="N341">
        <f>(K341/K337)/K339</f>
        <v>200</v>
      </c>
      <c r="O341" s="325" t="str">
        <f>BF358</f>
        <v>ISO</v>
      </c>
      <c r="P341" s="325" t="str">
        <f>BG358</f>
        <v>1/ec,perf,ISO, not yielded, cyclic</v>
      </c>
      <c r="Q341" s="657">
        <f>BH358</f>
        <v>282</v>
      </c>
      <c r="R341" s="657">
        <f>BI358</f>
        <v>0</v>
      </c>
      <c r="S341" s="866"/>
      <c r="T341" s="325"/>
      <c r="AC341" s="268"/>
    </row>
    <row r="342" spans="8:63">
      <c r="W342" s="999" t="s">
        <v>1074</v>
      </c>
      <c r="X342" s="999"/>
      <c r="Y342" s="999"/>
      <c r="Z342" s="999"/>
      <c r="AC342" s="268"/>
    </row>
    <row r="343" spans="8:63">
      <c r="H343" s="1283" t="s">
        <v>1075</v>
      </c>
      <c r="I343" s="1381"/>
      <c r="J343" s="1381"/>
      <c r="K343" s="1381"/>
      <c r="L343" s="1381"/>
      <c r="M343" s="1284"/>
      <c r="O343" s="325" t="str">
        <f>BF360</f>
        <v>ISO</v>
      </c>
      <c r="P343" s="325" t="str">
        <f>BG360</f>
        <v>1/ec,perf,ISO, yielded, cyclic</v>
      </c>
      <c r="Q343" s="657">
        <f>BH360</f>
        <v>101</v>
      </c>
      <c r="R343" s="657">
        <f>BI360</f>
        <v>0</v>
      </c>
      <c r="S343" s="866"/>
      <c r="T343" s="325"/>
      <c r="W343" s="827" t="s">
        <v>819</v>
      </c>
      <c r="X343" s="827" t="str">
        <f>I363</f>
        <v>ec0</v>
      </c>
      <c r="Y343" s="945">
        <f>K363</f>
        <v>2.5000000000000001E-3</v>
      </c>
      <c r="Z343" s="827"/>
      <c r="AA343" s="828">
        <f>Y343*POWER(10,6)</f>
        <v>2500</v>
      </c>
      <c r="AB343" s="827" t="s">
        <v>1068</v>
      </c>
      <c r="AC343" s="268"/>
    </row>
    <row r="344" spans="8:63">
      <c r="H344" s="900" t="s">
        <v>1076</v>
      </c>
      <c r="I344" s="900" t="s">
        <v>921</v>
      </c>
      <c r="J344" s="900"/>
      <c r="K344" s="939">
        <f>K303-20</f>
        <v>120</v>
      </c>
      <c r="L344" s="932" t="s">
        <v>779</v>
      </c>
      <c r="M344" s="834"/>
      <c r="W344" s="325" t="s">
        <v>1069</v>
      </c>
      <c r="X344" s="325" t="str">
        <f>I418</f>
        <v>ec0_ISO</v>
      </c>
      <c r="Y344" s="946">
        <f>K418</f>
        <v>4.0351838767211615E-4</v>
      </c>
      <c r="Z344" s="325"/>
      <c r="AA344" s="657">
        <f t="shared" ref="AA344" si="27">Y344*POWER(10,6)</f>
        <v>403.51838767211615</v>
      </c>
      <c r="AB344" s="325" t="s">
        <v>1068</v>
      </c>
      <c r="AC344" s="268"/>
    </row>
    <row r="345" spans="8:63">
      <c r="AC345" s="268"/>
    </row>
    <row r="346" spans="8:63">
      <c r="H346" s="594"/>
      <c r="I346" s="897"/>
      <c r="J346" s="594" t="s">
        <v>924</v>
      </c>
      <c r="K346" s="938">
        <f>K344-K313</f>
        <v>82</v>
      </c>
      <c r="L346" s="594"/>
      <c r="M346" s="325"/>
      <c r="AC346" s="268"/>
    </row>
    <row r="347" spans="8:63">
      <c r="I347" s="268"/>
      <c r="J347" s="268"/>
      <c r="K347" s="268"/>
      <c r="L347" s="268"/>
      <c r="AC347" s="268"/>
      <c r="AN347" s="1283" t="s">
        <v>1077</v>
      </c>
      <c r="AO347" s="1381"/>
      <c r="AP347" s="1381"/>
      <c r="AQ347" s="1381"/>
      <c r="AR347" s="1381"/>
      <c r="AS347" s="1284"/>
      <c r="AT347" s="268"/>
      <c r="AY347" s="1283" t="s">
        <v>810</v>
      </c>
      <c r="AZ347" s="1381"/>
      <c r="BA347" s="1381"/>
      <c r="BB347" s="1381"/>
      <c r="BC347" s="1381"/>
      <c r="BD347" s="1284"/>
      <c r="BF347" s="1283" t="s">
        <v>810</v>
      </c>
      <c r="BG347" s="1381"/>
      <c r="BH347" s="1381"/>
      <c r="BI347" s="1381"/>
      <c r="BJ347" s="1381"/>
      <c r="BK347" s="1284"/>
    </row>
    <row r="348" spans="8:63">
      <c r="H348" s="594"/>
      <c r="I348" s="897"/>
      <c r="J348" s="594" t="s">
        <v>925</v>
      </c>
      <c r="K348" s="903">
        <f>POWER(K346,2)</f>
        <v>6724</v>
      </c>
      <c r="L348" s="594"/>
      <c r="M348" s="325"/>
      <c r="AC348" s="268"/>
      <c r="AN348" s="325" t="s">
        <v>1078</v>
      </c>
      <c r="AO348" s="900"/>
      <c r="AP348" s="900" t="s">
        <v>1079</v>
      </c>
      <c r="AQ348" s="939">
        <f>1/(AI317*AI305)</f>
        <v>3.2671397212721427E-5</v>
      </c>
      <c r="AR348" s="900"/>
      <c r="AS348" s="900"/>
      <c r="AT348" s="268"/>
      <c r="AY348" s="834" t="s">
        <v>819</v>
      </c>
      <c r="AZ348" s="834" t="s">
        <v>1080</v>
      </c>
      <c r="BA348" s="959">
        <f>AV354</f>
        <v>0</v>
      </c>
      <c r="BB348" s="959">
        <f>AW354</f>
        <v>11</v>
      </c>
      <c r="BC348" s="834"/>
      <c r="BD348" s="834"/>
      <c r="BF348" s="834" t="str">
        <f>AY348</f>
        <v>PCC-2</v>
      </c>
      <c r="BG348" s="834" t="str">
        <f>AZ348</f>
        <v>Layers,slt,PCC-2</v>
      </c>
      <c r="BH348" s="959">
        <f>BA348</f>
        <v>0</v>
      </c>
      <c r="BI348" s="959">
        <f>BB348</f>
        <v>11</v>
      </c>
      <c r="BJ348" s="834"/>
      <c r="BK348" s="834"/>
    </row>
    <row r="349" spans="8:63">
      <c r="H349" s="268"/>
      <c r="I349" s="268"/>
      <c r="J349" s="268"/>
      <c r="K349" s="268"/>
      <c r="L349" s="268"/>
      <c r="AC349" s="268"/>
      <c r="AN349" s="268"/>
      <c r="AO349" s="268"/>
      <c r="AP349" s="268"/>
      <c r="AQ349" s="268"/>
      <c r="AR349" s="268"/>
      <c r="AS349" s="268"/>
      <c r="AT349" s="268"/>
    </row>
    <row r="350" spans="8:63">
      <c r="H350" s="594" t="s">
        <v>908</v>
      </c>
      <c r="I350" s="897" t="s">
        <v>1081</v>
      </c>
      <c r="J350" s="594"/>
      <c r="K350" s="903">
        <f>K292*((2*(K297*K282))/K280)</f>
        <v>1519.0588235294119</v>
      </c>
      <c r="L350" s="897"/>
      <c r="M350" s="897" t="s">
        <v>1081</v>
      </c>
      <c r="AC350" s="268"/>
      <c r="AN350" s="594"/>
      <c r="AO350" s="594" t="s">
        <v>1082</v>
      </c>
      <c r="AP350" s="594"/>
      <c r="AQ350" s="903">
        <f>AQ348*AI369</f>
        <v>0.20653223748021857</v>
      </c>
      <c r="AR350" s="594"/>
      <c r="AS350" s="594" t="s">
        <v>1082</v>
      </c>
      <c r="AT350" s="268"/>
      <c r="AY350" s="492" t="s">
        <v>819</v>
      </c>
      <c r="AZ350" s="960" t="str">
        <f>AU382</f>
        <v>1/ec,noncyclic</v>
      </c>
      <c r="BA350" s="657">
        <f>AV382</f>
        <v>17</v>
      </c>
      <c r="BB350" s="657">
        <f>AW382</f>
        <v>0</v>
      </c>
      <c r="BC350" s="866"/>
      <c r="BD350" s="325"/>
      <c r="BF350" s="325" t="str">
        <f>AY354</f>
        <v>PCC-2</v>
      </c>
      <c r="BG350" s="325" t="str">
        <f>AZ354</f>
        <v>1/ec,cyclic</v>
      </c>
      <c r="BH350" s="657">
        <f>BA354</f>
        <v>29</v>
      </c>
      <c r="BI350" s="657">
        <f>BB354</f>
        <v>0</v>
      </c>
      <c r="BJ350" s="325"/>
      <c r="BK350" s="325"/>
    </row>
    <row r="351" spans="8:63">
      <c r="H351" s="594" t="s">
        <v>910</v>
      </c>
      <c r="I351" s="897" t="s">
        <v>1083</v>
      </c>
      <c r="J351" s="594"/>
      <c r="K351" s="903">
        <f>K295*((2*(K297*K282))/K280)</f>
        <v>759.52941176470597</v>
      </c>
      <c r="L351" s="897"/>
      <c r="M351" s="897" t="s">
        <v>1083</v>
      </c>
      <c r="W351" s="999" t="s">
        <v>1084</v>
      </c>
      <c r="X351" s="999"/>
      <c r="Y351" s="999"/>
      <c r="Z351" s="999"/>
      <c r="AC351" s="268"/>
      <c r="AN351" s="268"/>
      <c r="AO351" s="268"/>
      <c r="AP351" s="268"/>
      <c r="AQ351" s="268"/>
      <c r="AR351" s="268"/>
      <c r="AS351" s="268"/>
      <c r="AT351" s="268"/>
    </row>
    <row r="352" spans="8:63">
      <c r="H352" s="268"/>
      <c r="I352" s="268"/>
      <c r="J352" s="268"/>
      <c r="K352" s="268"/>
      <c r="L352" s="268"/>
      <c r="M352" s="268"/>
      <c r="W352" s="325" t="s">
        <v>819</v>
      </c>
      <c r="X352" s="325" t="str">
        <f>I393</f>
        <v>ec cyclic allowable strain</v>
      </c>
      <c r="Y352" s="946">
        <f>K393</f>
        <v>1.4429167640477927E-3</v>
      </c>
      <c r="Z352" s="948" t="s">
        <v>1067</v>
      </c>
      <c r="AA352" s="952">
        <f>Y352*POWER(10,6)</f>
        <v>1442.9167640477926</v>
      </c>
      <c r="AB352" s="325" t="s">
        <v>1068</v>
      </c>
      <c r="AC352" s="268" t="s">
        <v>442</v>
      </c>
      <c r="AN352" s="594" t="s">
        <v>810</v>
      </c>
      <c r="AO352" s="594"/>
      <c r="AP352" s="594"/>
      <c r="AQ352" s="903">
        <f>AQ350/$AI$307</f>
        <v>10.326611874010927</v>
      </c>
      <c r="AR352" s="594"/>
      <c r="AS352" s="594" t="s">
        <v>810</v>
      </c>
      <c r="AT352" s="268"/>
      <c r="AY352" s="492" t="s">
        <v>819</v>
      </c>
      <c r="AZ352" s="866" t="str">
        <f>AU392</f>
        <v>1/ec_0</v>
      </c>
      <c r="BA352" s="657">
        <f t="shared" ref="BA352:BB352" si="28">AV392</f>
        <v>17</v>
      </c>
      <c r="BB352" s="657">
        <f t="shared" si="28"/>
        <v>0</v>
      </c>
      <c r="BC352" s="325"/>
      <c r="BD352" s="325"/>
      <c r="BF352" s="325" t="str">
        <f>AY360</f>
        <v>ISO</v>
      </c>
      <c r="BG352" s="325" t="str">
        <f>AZ360</f>
        <v>1/ec,cyclic</v>
      </c>
      <c r="BH352" s="657">
        <f>BA360</f>
        <v>113</v>
      </c>
      <c r="BI352" s="657">
        <f>BB360</f>
        <v>0</v>
      </c>
      <c r="BJ352" s="325"/>
      <c r="BK352" s="325"/>
    </row>
    <row r="353" spans="8:63">
      <c r="H353" s="594"/>
      <c r="I353" s="594" t="s">
        <v>912</v>
      </c>
      <c r="J353" s="594"/>
      <c r="K353" s="903">
        <f>K351/K350</f>
        <v>0.5</v>
      </c>
      <c r="L353" s="594"/>
      <c r="M353" s="594" t="s">
        <v>912</v>
      </c>
      <c r="W353" s="325" t="s">
        <v>1069</v>
      </c>
      <c r="X353" s="325" t="str">
        <f>I452</f>
        <v>ec cyclic allowable strain</v>
      </c>
      <c r="Y353" s="947">
        <f>K452</f>
        <v>3.7008935549041617E-4</v>
      </c>
      <c r="Z353" s="325" t="s">
        <v>1067</v>
      </c>
      <c r="AA353" s="958">
        <f t="shared" ref="AA353" si="29">Y353*POWER(10,6)</f>
        <v>370.08935549041615</v>
      </c>
      <c r="AB353" s="325" t="s">
        <v>1068</v>
      </c>
      <c r="AC353" s="268" t="s">
        <v>442</v>
      </c>
      <c r="AN353" s="268"/>
      <c r="AO353" s="268"/>
      <c r="AP353" s="268"/>
      <c r="AQ353" s="268"/>
      <c r="AR353" s="268"/>
      <c r="AS353" s="268"/>
      <c r="AT353" s="268"/>
    </row>
    <row r="354" spans="8:63">
      <c r="H354" s="268"/>
      <c r="I354" s="268"/>
      <c r="J354" s="268"/>
      <c r="K354" s="268"/>
      <c r="L354" s="268"/>
      <c r="AC354" s="268"/>
      <c r="AN354" s="594" t="s">
        <v>1085</v>
      </c>
      <c r="AO354" s="594"/>
      <c r="AP354" s="594"/>
      <c r="AQ354" s="903">
        <f>ROUNDUP(AQ352,0)</f>
        <v>11</v>
      </c>
      <c r="AR354" s="594"/>
      <c r="AS354" s="594" t="s">
        <v>1085</v>
      </c>
      <c r="AT354" s="268"/>
      <c r="AV354" s="903">
        <f>AI354</f>
        <v>0</v>
      </c>
      <c r="AW354" s="903">
        <f>AQ354</f>
        <v>11</v>
      </c>
      <c r="AY354" s="492" t="s">
        <v>819</v>
      </c>
      <c r="AZ354" s="866" t="str">
        <f>AU402</f>
        <v>1/ec,cyclic</v>
      </c>
      <c r="BA354" s="657">
        <f t="shared" ref="BA354:BB354" si="30">AV402</f>
        <v>29</v>
      </c>
      <c r="BB354" s="657">
        <f t="shared" si="30"/>
        <v>0</v>
      </c>
      <c r="BC354" s="325"/>
      <c r="BD354" s="325"/>
      <c r="BF354" s="325" t="str">
        <f>AY364</f>
        <v>ISO</v>
      </c>
      <c r="BG354" s="325" t="str">
        <f>AZ364</f>
        <v>1/elt,notyielded</v>
      </c>
      <c r="BH354" s="325">
        <f>BA364</f>
        <v>19</v>
      </c>
      <c r="BI354" s="325">
        <f>BB364</f>
        <v>38</v>
      </c>
      <c r="BJ354" s="325"/>
      <c r="BK354" s="325"/>
    </row>
    <row r="355" spans="8:63">
      <c r="H355" s="594"/>
      <c r="I355" s="897"/>
      <c r="J355" s="594" t="s">
        <v>930</v>
      </c>
      <c r="K355" s="903">
        <f>K309-K311</f>
        <v>1.4999999999999992E-6</v>
      </c>
      <c r="L355" s="594"/>
      <c r="M355" s="594"/>
      <c r="AC355" s="268"/>
    </row>
    <row r="356" spans="8:63">
      <c r="I356" s="268"/>
      <c r="J356" s="268"/>
      <c r="K356" s="268"/>
      <c r="L356" s="268"/>
      <c r="M356" s="268"/>
      <c r="AC356" s="268"/>
      <c r="AY356" s="492" t="s">
        <v>1069</v>
      </c>
      <c r="AZ356" s="866" t="str">
        <f>AU422</f>
        <v>1/ec,noncyclic</v>
      </c>
      <c r="BA356" s="657">
        <f>AV422</f>
        <v>88</v>
      </c>
      <c r="BB356" s="657">
        <f t="shared" ref="BB356" si="31">AW422</f>
        <v>0</v>
      </c>
      <c r="BC356" s="325"/>
      <c r="BD356" s="325"/>
      <c r="BF356" s="325" t="str">
        <f>AY366</f>
        <v>ISO</v>
      </c>
      <c r="BG356" s="325" t="str">
        <f>AZ366</f>
        <v>1/elt,yielded</v>
      </c>
      <c r="BH356" s="325">
        <f>BA366</f>
        <v>7</v>
      </c>
      <c r="BI356" s="325">
        <f>BB366</f>
        <v>14</v>
      </c>
      <c r="BJ356" s="325"/>
      <c r="BK356" s="325"/>
    </row>
    <row r="357" spans="8:63">
      <c r="H357" s="594"/>
      <c r="I357" s="897"/>
      <c r="J357" s="594" t="s">
        <v>932</v>
      </c>
      <c r="K357" s="903">
        <f>K355*K315</f>
        <v>1.4999999999999992E-5</v>
      </c>
      <c r="L357" s="594"/>
      <c r="M357" s="594"/>
      <c r="W357" s="997" t="s">
        <v>1086</v>
      </c>
      <c r="X357" s="997"/>
      <c r="Y357" s="997"/>
      <c r="Z357" s="997"/>
      <c r="AC357" s="268"/>
    </row>
    <row r="358" spans="8:63">
      <c r="H358" s="268"/>
      <c r="I358" s="268"/>
      <c r="J358" s="268"/>
      <c r="K358" s="268"/>
      <c r="L358" s="268"/>
      <c r="W358" s="834" t="s">
        <v>1087</v>
      </c>
      <c r="X358" s="834" t="str">
        <f>I490</f>
        <v>ec,perf,ISO, not yielded</v>
      </c>
      <c r="Y358" s="949">
        <f>K490</f>
        <v>1.9194624285036446E-4</v>
      </c>
      <c r="Z358" s="950" t="s">
        <v>1067</v>
      </c>
      <c r="AA358" s="952">
        <f>Y358*POWER(10,6)</f>
        <v>191.94624285036446</v>
      </c>
      <c r="AB358" s="325" t="s">
        <v>1068</v>
      </c>
      <c r="AC358" s="268"/>
      <c r="AY358" s="492" t="s">
        <v>1069</v>
      </c>
      <c r="AZ358" s="325" t="str">
        <f>AU432</f>
        <v>1/ec_0</v>
      </c>
      <c r="BA358" s="657">
        <f t="shared" ref="BA358:BB358" si="32">AV432</f>
        <v>104</v>
      </c>
      <c r="BB358" s="657">
        <f t="shared" si="32"/>
        <v>0</v>
      </c>
      <c r="BC358" s="325"/>
      <c r="BD358" s="325"/>
      <c r="BF358" s="325" t="str">
        <f>AY368</f>
        <v>ISO</v>
      </c>
      <c r="BG358" s="325" t="str">
        <f>AZ368</f>
        <v>1/ec,perf,ISO, not yielded, cyclic</v>
      </c>
      <c r="BH358" s="657">
        <f>BA368</f>
        <v>282</v>
      </c>
      <c r="BI358" s="657">
        <f>BB368</f>
        <v>0</v>
      </c>
      <c r="BJ358" s="325"/>
      <c r="BK358" s="325"/>
    </row>
    <row r="359" spans="8:63">
      <c r="H359" s="594"/>
      <c r="I359" s="897"/>
      <c r="J359" s="594" t="s">
        <v>914</v>
      </c>
      <c r="K359" s="938">
        <f>LOG10(K341)</f>
        <v>5.4409090820652173</v>
      </c>
      <c r="L359" s="594"/>
      <c r="M359" s="594"/>
      <c r="W359" s="325" t="s">
        <v>1088</v>
      </c>
      <c r="X359" s="325" t="str">
        <f>I494</f>
        <v>ec,perf,ISO, not yielded, cyclic</v>
      </c>
      <c r="Y359" s="947">
        <f>K494</f>
        <v>1.4848860412459007E-4</v>
      </c>
      <c r="Z359" s="689" t="s">
        <v>1067</v>
      </c>
      <c r="AA359" s="951">
        <f>Y359*POWER(10,6)</f>
        <v>148.48860412459007</v>
      </c>
      <c r="AB359" s="325" t="s">
        <v>1068</v>
      </c>
      <c r="AC359" s="268" t="s">
        <v>442</v>
      </c>
    </row>
    <row r="360" spans="8:63">
      <c r="H360" s="268"/>
      <c r="I360" s="268"/>
      <c r="J360" s="268"/>
      <c r="K360" s="268"/>
      <c r="L360" s="268"/>
      <c r="W360" s="325"/>
      <c r="X360" s="325" t="str">
        <f>I464</f>
        <v>e_lt, not yielded</v>
      </c>
      <c r="Y360" s="946">
        <f>K464</f>
        <v>2.2131333535525973E-3</v>
      </c>
      <c r="Z360" s="689"/>
      <c r="AA360" s="952">
        <f>Y360*POWER(10,6)</f>
        <v>2213.1333535525973</v>
      </c>
      <c r="AB360" s="866"/>
      <c r="AY360" s="492" t="s">
        <v>1069</v>
      </c>
      <c r="AZ360" s="325" t="str">
        <f>AU442</f>
        <v>1/ec,cyclic</v>
      </c>
      <c r="BA360" s="657">
        <f t="shared" ref="BA360:BB360" si="33">AV442</f>
        <v>113</v>
      </c>
      <c r="BB360" s="657">
        <f t="shared" si="33"/>
        <v>0</v>
      </c>
      <c r="BC360" s="325"/>
      <c r="BD360" s="325"/>
      <c r="BF360" s="325" t="str">
        <f>AY370</f>
        <v>ISO</v>
      </c>
      <c r="BG360" s="325" t="str">
        <f>AZ370</f>
        <v>1/ec,perf,ISO, yielded, cyclic</v>
      </c>
      <c r="BH360" s="657">
        <f>BA370</f>
        <v>101</v>
      </c>
      <c r="BI360" s="657">
        <f>BB370</f>
        <v>0</v>
      </c>
      <c r="BJ360" s="325"/>
      <c r="BK360" s="325"/>
    </row>
    <row r="361" spans="8:63">
      <c r="AF361" s="268" t="s">
        <v>1089</v>
      </c>
      <c r="AG361" s="268" t="s">
        <v>1090</v>
      </c>
      <c r="AH361" s="268"/>
      <c r="AI361" s="268"/>
      <c r="AJ361" s="268" t="s">
        <v>1091</v>
      </c>
      <c r="AK361" s="268" t="s">
        <v>1092</v>
      </c>
    </row>
    <row r="362" spans="8:63">
      <c r="H362" s="1283" t="s">
        <v>819</v>
      </c>
      <c r="I362" s="1381"/>
      <c r="J362" s="1381"/>
      <c r="K362" s="1381"/>
      <c r="L362" s="1381"/>
      <c r="M362" s="1284"/>
      <c r="W362" s="997" t="s">
        <v>1093</v>
      </c>
      <c r="X362" s="997"/>
      <c r="Y362" s="997"/>
      <c r="Z362" s="997"/>
      <c r="AC362" s="268"/>
      <c r="AF362" s="1283" t="s">
        <v>1094</v>
      </c>
      <c r="AG362" s="1381"/>
      <c r="AH362" s="1381"/>
      <c r="AI362" s="1381"/>
      <c r="AJ362" s="1381"/>
      <c r="AK362" s="1284"/>
      <c r="AY362" s="492" t="s">
        <v>1069</v>
      </c>
      <c r="AZ362" s="325" t="str">
        <f>AU474</f>
        <v>1/ec,perf,yielded</v>
      </c>
      <c r="BA362" s="657">
        <f t="shared" ref="BA362:BB362" si="34">AV474</f>
        <v>78</v>
      </c>
      <c r="BB362" s="657">
        <f t="shared" si="34"/>
        <v>0</v>
      </c>
      <c r="BC362" s="325"/>
      <c r="BD362" s="325"/>
    </row>
    <row r="363" spans="8:63">
      <c r="H363" s="900"/>
      <c r="I363" s="900" t="s">
        <v>905</v>
      </c>
      <c r="J363" s="900"/>
      <c r="K363" s="937">
        <v>2.5000000000000001E-3</v>
      </c>
      <c r="L363" s="900"/>
      <c r="M363" s="900" t="s">
        <v>905</v>
      </c>
      <c r="W363" s="325" t="s">
        <v>1087</v>
      </c>
      <c r="X363" s="325" t="str">
        <f>I492</f>
        <v>ec,perf,ISO, yielded</v>
      </c>
      <c r="Y363" s="947">
        <f>K492</f>
        <v>5.3753184807015636E-4</v>
      </c>
      <c r="Z363" s="689" t="s">
        <v>1067</v>
      </c>
      <c r="AA363" s="952">
        <f>Y363*POWER(10,6)</f>
        <v>537.53184807015634</v>
      </c>
      <c r="AB363" s="325" t="s">
        <v>1068</v>
      </c>
      <c r="AC363" s="268"/>
      <c r="AF363" s="900"/>
      <c r="AG363" s="900"/>
      <c r="AH363" s="900" t="s">
        <v>852</v>
      </c>
      <c r="AI363" s="939">
        <f>(K350*AI280)/2</f>
        <v>9684.0000000000018</v>
      </c>
      <c r="AJ363" s="900"/>
      <c r="AK363" s="900"/>
    </row>
    <row r="364" spans="8:63">
      <c r="H364" s="268"/>
      <c r="I364" s="268"/>
      <c r="J364" s="268"/>
      <c r="K364" s="268"/>
      <c r="L364" s="268"/>
      <c r="W364" s="827" t="s">
        <v>1088</v>
      </c>
      <c r="X364" s="827" t="str">
        <f>I496</f>
        <v>ec,perf,ISO, yielded, cyclic</v>
      </c>
      <c r="Y364" s="953">
        <f>K496</f>
        <v>4.1583181106947723E-4</v>
      </c>
      <c r="Z364" s="948" t="s">
        <v>1067</v>
      </c>
      <c r="AA364" s="951">
        <f>Y364*POWER(10,6)</f>
        <v>415.83181106947723</v>
      </c>
      <c r="AB364" s="827" t="s">
        <v>1068</v>
      </c>
      <c r="AC364" s="268" t="s">
        <v>442</v>
      </c>
      <c r="AF364" s="268"/>
      <c r="AG364" s="268"/>
      <c r="AH364" s="268"/>
      <c r="AI364" s="268"/>
      <c r="AJ364" s="268"/>
      <c r="AK364" s="268"/>
      <c r="AY364" s="492" t="s">
        <v>1069</v>
      </c>
      <c r="AZ364" s="325" t="str">
        <f>AU484</f>
        <v>1/elt,notyielded</v>
      </c>
      <c r="BA364" s="657">
        <f t="shared" ref="BA364" si="35">AV484</f>
        <v>19</v>
      </c>
      <c r="BB364" s="657">
        <f>AW484</f>
        <v>38</v>
      </c>
      <c r="BC364" s="325"/>
      <c r="BD364" s="325"/>
    </row>
    <row r="365" spans="8:63">
      <c r="H365" s="594"/>
      <c r="I365" s="897"/>
      <c r="J365" s="594">
        <v>6.0000000000000002E-5</v>
      </c>
      <c r="K365" s="903">
        <f>J365*K348</f>
        <v>0.40344000000000002</v>
      </c>
      <c r="L365" s="594"/>
      <c r="M365" s="325"/>
      <c r="W365" s="325"/>
      <c r="X365" s="325" t="str">
        <f>I474</f>
        <v>e_lt, yielded</v>
      </c>
      <c r="Y365" s="946">
        <f>K474</f>
        <v>6.1977230910856117E-3</v>
      </c>
      <c r="Z365" s="689"/>
      <c r="AA365" s="952">
        <f>Y365*POWER(10,6)</f>
        <v>6197.7230910856115</v>
      </c>
      <c r="AB365" s="325" t="s">
        <v>1068</v>
      </c>
      <c r="AF365" s="594"/>
      <c r="AG365" s="594" t="s">
        <v>1095</v>
      </c>
      <c r="AH365" s="594"/>
      <c r="AI365" s="903">
        <f>AI282-AI289</f>
        <v>6.25E-2</v>
      </c>
      <c r="AJ365" s="594"/>
      <c r="AK365" s="594" t="s">
        <v>1095</v>
      </c>
    </row>
    <row r="366" spans="8:63">
      <c r="H366" s="268"/>
      <c r="I366" s="268"/>
      <c r="J366" s="268"/>
      <c r="K366" s="268"/>
      <c r="L366" s="268"/>
      <c r="AF366" s="268"/>
      <c r="AG366" s="268"/>
      <c r="AH366" s="268"/>
      <c r="AI366" s="268"/>
      <c r="AJ366" s="268"/>
      <c r="AK366" s="268"/>
      <c r="AY366" s="492" t="s">
        <v>1069</v>
      </c>
      <c r="AZ366" s="325" t="str">
        <f>AU494</f>
        <v>1/elt,yielded</v>
      </c>
      <c r="BA366" s="657">
        <f t="shared" ref="BA366:BB366" si="36">AV494</f>
        <v>7</v>
      </c>
      <c r="BB366" s="657">
        <f t="shared" si="36"/>
        <v>14</v>
      </c>
      <c r="BC366" s="325"/>
      <c r="BD366" s="325"/>
    </row>
    <row r="367" spans="8:63">
      <c r="H367" s="594"/>
      <c r="I367" s="897"/>
      <c r="J367" s="594">
        <v>1E-3</v>
      </c>
      <c r="K367" s="903">
        <f>J367*K346</f>
        <v>8.2000000000000003E-2</v>
      </c>
      <c r="L367" s="594"/>
      <c r="M367" s="325"/>
      <c r="AF367" s="594"/>
      <c r="AG367" s="594"/>
      <c r="AH367" s="594" t="s">
        <v>1096</v>
      </c>
      <c r="AI367" s="903">
        <f>AI297*AI365</f>
        <v>3362.5</v>
      </c>
      <c r="AJ367" s="594"/>
      <c r="AK367" s="594"/>
    </row>
    <row r="368" spans="8:63">
      <c r="H368" s="268"/>
      <c r="I368" s="268"/>
      <c r="J368" s="268"/>
      <c r="K368" s="268"/>
      <c r="L368" s="268"/>
      <c r="AF368" s="268"/>
      <c r="AG368" s="268"/>
      <c r="AH368" s="268"/>
      <c r="AI368" s="268"/>
      <c r="AJ368" s="268"/>
      <c r="AK368" s="268"/>
      <c r="AY368" s="492" t="s">
        <v>1069</v>
      </c>
      <c r="AZ368" s="325" t="str">
        <f>AU505</f>
        <v>1/ec,perf,ISO, not yielded, cyclic</v>
      </c>
      <c r="BA368" s="657">
        <f t="shared" ref="BA368:BB368" si="37">AV505</f>
        <v>282</v>
      </c>
      <c r="BB368" s="657">
        <f t="shared" si="37"/>
        <v>0</v>
      </c>
      <c r="BC368" s="325"/>
      <c r="BD368" s="325"/>
    </row>
    <row r="369" spans="8:56">
      <c r="H369" s="594" t="s">
        <v>926</v>
      </c>
      <c r="I369" s="897" t="s">
        <v>1097</v>
      </c>
      <c r="J369" s="594">
        <v>0.70140000000000002</v>
      </c>
      <c r="K369" s="903">
        <f>MIN(K365+K367+J369,1)</f>
        <v>1</v>
      </c>
      <c r="L369" s="594"/>
      <c r="M369" s="594" t="s">
        <v>1097</v>
      </c>
      <c r="AF369" s="594"/>
      <c r="AG369" s="824"/>
      <c r="AH369" s="594" t="s">
        <v>1098</v>
      </c>
      <c r="AI369" s="943">
        <f>AI363-AI367</f>
        <v>6321.5000000000018</v>
      </c>
      <c r="AJ369" s="594"/>
      <c r="AK369" s="594"/>
    </row>
    <row r="370" spans="8:56">
      <c r="H370" s="268"/>
      <c r="I370" s="268"/>
      <c r="J370" s="268"/>
      <c r="K370" s="268"/>
      <c r="L370" s="268"/>
      <c r="M370" s="268"/>
      <c r="AF370" s="268"/>
      <c r="AG370" s="268"/>
      <c r="AH370" s="268"/>
      <c r="AI370" s="268"/>
      <c r="AJ370" s="268"/>
      <c r="AK370" s="268"/>
      <c r="AY370" s="492" t="s">
        <v>1069</v>
      </c>
      <c r="AZ370" s="325" t="str">
        <f>AU515</f>
        <v>1/ec,perf,ISO, yielded, cyclic</v>
      </c>
      <c r="BA370" s="657">
        <f t="shared" ref="BA370:BB370" si="38">AV515</f>
        <v>101</v>
      </c>
      <c r="BB370" s="657">
        <f t="shared" si="38"/>
        <v>0</v>
      </c>
      <c r="BC370" s="325"/>
      <c r="BD370" s="325"/>
    </row>
    <row r="371" spans="8:56">
      <c r="H371" s="594"/>
      <c r="I371" s="594" t="s">
        <v>1099</v>
      </c>
      <c r="J371" s="594" t="s">
        <v>1100</v>
      </c>
      <c r="K371" s="657">
        <f>K350-K351</f>
        <v>759.52941176470597</v>
      </c>
      <c r="L371" s="594"/>
      <c r="M371" s="594" t="s">
        <v>1099</v>
      </c>
      <c r="N371" s="268"/>
      <c r="O371" s="268"/>
      <c r="P371" s="268"/>
      <c r="Q371" s="268"/>
      <c r="R371" s="268"/>
      <c r="S371" s="268"/>
      <c r="T371" s="268"/>
      <c r="U371" s="268"/>
      <c r="V371" s="268"/>
      <c r="W371" s="997" t="s">
        <v>1101</v>
      </c>
      <c r="X371" s="999"/>
      <c r="Y371" s="999"/>
      <c r="Z371" s="999"/>
      <c r="AF371" s="594"/>
      <c r="AG371" s="594"/>
      <c r="AH371" s="594" t="s">
        <v>826</v>
      </c>
      <c r="AI371" s="903">
        <f>1/(AI299)</f>
        <v>1.3210039630118891E-7</v>
      </c>
      <c r="AJ371" s="594"/>
      <c r="AK371" s="594"/>
    </row>
    <row r="372" spans="8:56">
      <c r="H372" s="268"/>
      <c r="I372" s="268"/>
      <c r="L372" s="268"/>
      <c r="M372" s="268"/>
      <c r="N372" s="268"/>
      <c r="O372" s="268"/>
      <c r="P372" s="268"/>
      <c r="Q372" s="268"/>
      <c r="R372" s="268"/>
      <c r="S372" s="268"/>
      <c r="T372" s="268"/>
      <c r="U372" s="268"/>
      <c r="V372" s="268"/>
      <c r="W372" s="689" t="s">
        <v>1102</v>
      </c>
      <c r="X372" s="325" t="str">
        <f>I350</f>
        <v>Pmax_test</v>
      </c>
      <c r="Y372" s="954">
        <f>K350</f>
        <v>1519.0588235294119</v>
      </c>
      <c r="Z372" s="325" t="s">
        <v>45</v>
      </c>
    </row>
    <row r="373" spans="8:56">
      <c r="H373" s="594"/>
      <c r="I373" s="897"/>
      <c r="J373" s="594" t="s">
        <v>913</v>
      </c>
      <c r="K373" s="938">
        <f>POWER(K353,2)</f>
        <v>0.25</v>
      </c>
      <c r="L373" s="594"/>
      <c r="M373" s="594"/>
      <c r="N373" s="268"/>
      <c r="O373" s="268"/>
      <c r="P373" s="268"/>
      <c r="Q373" s="268"/>
      <c r="R373" s="268"/>
      <c r="S373" s="268"/>
      <c r="T373" s="268"/>
      <c r="U373" s="268"/>
      <c r="V373" s="268"/>
      <c r="W373" s="689" t="s">
        <v>1102</v>
      </c>
      <c r="X373" s="325" t="str">
        <f>I351</f>
        <v>Pmin_test</v>
      </c>
      <c r="Y373" s="954">
        <f>K351</f>
        <v>759.52941176470597</v>
      </c>
      <c r="Z373" s="325" t="s">
        <v>45</v>
      </c>
      <c r="AF373" s="1378" t="s">
        <v>819</v>
      </c>
      <c r="AG373" s="1379"/>
      <c r="AH373" s="1379"/>
      <c r="AI373" s="1379"/>
      <c r="AJ373" s="1379"/>
      <c r="AK373" s="1380"/>
    </row>
    <row r="374" spans="8:56">
      <c r="H374" s="268"/>
      <c r="I374" s="268"/>
      <c r="J374" s="268"/>
      <c r="K374" s="268"/>
      <c r="L374" s="268"/>
      <c r="M374" s="268"/>
      <c r="N374" s="268"/>
      <c r="O374" s="268"/>
      <c r="P374" s="268"/>
      <c r="Q374" s="268"/>
      <c r="R374" s="268"/>
      <c r="S374" s="268"/>
      <c r="T374" s="268"/>
      <c r="U374" s="268"/>
      <c r="V374" s="268"/>
      <c r="AF374" s="325" t="s">
        <v>1103</v>
      </c>
      <c r="AG374" s="834"/>
      <c r="AH374" s="834" t="s">
        <v>1104</v>
      </c>
      <c r="AI374" s="959">
        <f>1/Y339</f>
        <v>402.41448692152915</v>
      </c>
      <c r="AJ374" s="834"/>
      <c r="AK374" s="834"/>
    </row>
    <row r="375" spans="8:56">
      <c r="H375" s="594"/>
      <c r="I375" s="897"/>
      <c r="J375" s="594" t="s">
        <v>915</v>
      </c>
      <c r="K375" s="938">
        <f>2.888*K359</f>
        <v>15.713345429004347</v>
      </c>
      <c r="L375" s="594"/>
      <c r="M375" s="594"/>
      <c r="N375" s="268"/>
      <c r="O375" s="268"/>
      <c r="P375" s="268"/>
      <c r="Q375" s="268"/>
      <c r="R375" s="268"/>
      <c r="S375" s="268"/>
      <c r="T375" s="268"/>
      <c r="U375" s="268"/>
      <c r="V375" s="268"/>
    </row>
    <row r="376" spans="8:56">
      <c r="H376" s="268"/>
      <c r="I376" s="268"/>
      <c r="J376" s="268"/>
      <c r="K376" s="268"/>
      <c r="L376" s="268"/>
      <c r="M376" s="268"/>
      <c r="N376" s="268"/>
      <c r="O376" s="268"/>
      <c r="P376" s="268"/>
      <c r="Q376" s="268"/>
      <c r="R376" s="268"/>
      <c r="S376" s="268"/>
      <c r="T376" s="268"/>
      <c r="U376" s="268"/>
      <c r="V376" s="268"/>
      <c r="W376" s="997" t="s">
        <v>1097</v>
      </c>
      <c r="X376" s="999"/>
      <c r="Y376" s="999"/>
      <c r="Z376" s="999"/>
      <c r="AF376" s="325"/>
      <c r="AG376" s="325"/>
      <c r="AH376" s="325" t="s">
        <v>1105</v>
      </c>
      <c r="AI376" s="657">
        <f>$AI$371*AI374</f>
        <v>5.3159113199673604E-5</v>
      </c>
      <c r="AJ376" s="325"/>
      <c r="AK376" s="325"/>
    </row>
    <row r="377" spans="8:56">
      <c r="H377" s="594"/>
      <c r="I377" s="594"/>
      <c r="J377" s="594">
        <v>-7.1079999999999997</v>
      </c>
      <c r="K377" s="938">
        <f>K375+J377</f>
        <v>8.6053454290043483</v>
      </c>
      <c r="L377" s="594"/>
      <c r="M377" s="594"/>
      <c r="N377" s="268"/>
      <c r="O377" s="268"/>
      <c r="P377" s="268"/>
      <c r="Q377" s="268"/>
      <c r="R377" s="268"/>
      <c r="S377" s="268"/>
      <c r="T377" s="268"/>
      <c r="U377" s="268"/>
      <c r="V377" s="268"/>
      <c r="W377" s="325" t="s">
        <v>819</v>
      </c>
      <c r="X377" s="325" t="str">
        <f>I369</f>
        <v>fT</v>
      </c>
      <c r="Y377" s="955">
        <f>K369</f>
        <v>1</v>
      </c>
      <c r="Z377" s="325"/>
    </row>
    <row r="378" spans="8:56">
      <c r="H378" s="268"/>
      <c r="I378" s="268"/>
      <c r="J378" s="268"/>
      <c r="K378" s="268"/>
      <c r="L378" s="268"/>
      <c r="M378" s="268"/>
      <c r="N378" s="268"/>
      <c r="O378" s="268"/>
      <c r="P378" s="268"/>
      <c r="Q378" s="268"/>
      <c r="R378" s="268"/>
      <c r="S378" s="268"/>
      <c r="T378" s="268"/>
      <c r="U378" s="268"/>
      <c r="V378" s="268"/>
      <c r="W378" s="948" t="s">
        <v>1069</v>
      </c>
      <c r="X378" s="827" t="str">
        <f>I422</f>
        <v>fT1</v>
      </c>
      <c r="Y378" s="956">
        <f>K422</f>
        <v>1.22275</v>
      </c>
      <c r="Z378" s="827"/>
      <c r="AF378" s="594"/>
      <c r="AG378" s="594" t="s">
        <v>1082</v>
      </c>
      <c r="AH378" s="594"/>
      <c r="AI378" s="903">
        <f>$AI$369*AI376</f>
        <v>0.33604533409173676</v>
      </c>
      <c r="AJ378" s="594"/>
      <c r="AK378" s="594" t="s">
        <v>1082</v>
      </c>
    </row>
    <row r="379" spans="8:56">
      <c r="H379" s="594"/>
      <c r="I379" s="897"/>
      <c r="J379" s="594" t="s">
        <v>916</v>
      </c>
      <c r="K379" s="938">
        <f>1/K377</f>
        <v>0.11620684006820881</v>
      </c>
      <c r="L379" s="594"/>
      <c r="M379" s="594"/>
      <c r="N379" s="268"/>
      <c r="O379" s="268"/>
      <c r="P379" s="268"/>
      <c r="Q379" s="268"/>
      <c r="R379" s="268"/>
      <c r="S379" s="268"/>
      <c r="T379" s="268"/>
      <c r="U379" s="268"/>
      <c r="V379" s="268"/>
      <c r="W379" s="325" t="s">
        <v>1106</v>
      </c>
      <c r="X379" s="325" t="str">
        <f>I488</f>
        <v>fT2</v>
      </c>
      <c r="Y379" s="955">
        <f>K488</f>
        <v>1.0266457417580561</v>
      </c>
      <c r="Z379" s="325"/>
      <c r="AF379" s="268"/>
      <c r="AG379" s="268"/>
      <c r="AH379" s="268"/>
      <c r="AI379" s="268"/>
      <c r="AJ379" s="268"/>
      <c r="AK379" s="268"/>
    </row>
    <row r="380" spans="8:56">
      <c r="H380" s="268"/>
      <c r="I380" s="268"/>
      <c r="J380" s="268"/>
      <c r="K380" s="268"/>
      <c r="L380" s="268"/>
      <c r="M380" s="268"/>
      <c r="N380" s="268"/>
      <c r="O380" s="268"/>
      <c r="P380" s="268"/>
      <c r="Q380" s="268"/>
      <c r="R380" s="268"/>
      <c r="S380" s="268"/>
      <c r="T380" s="268"/>
      <c r="U380" s="268"/>
      <c r="V380" s="268"/>
      <c r="AF380" s="594" t="s">
        <v>810</v>
      </c>
      <c r="AG380" s="594"/>
      <c r="AH380" s="594"/>
      <c r="AI380" s="903">
        <f>AI378/$AI$307</f>
        <v>16.802266704586838</v>
      </c>
      <c r="AJ380" s="594"/>
      <c r="AK380" s="594" t="s">
        <v>810</v>
      </c>
    </row>
    <row r="381" spans="8:56">
      <c r="H381" s="594"/>
      <c r="I381" s="897"/>
      <c r="J381" s="594" t="s">
        <v>917</v>
      </c>
      <c r="K381" s="938">
        <f>1-K373</f>
        <v>0.75</v>
      </c>
      <c r="L381" s="594"/>
      <c r="M381" s="594"/>
      <c r="N381" s="268"/>
      <c r="O381" s="268"/>
      <c r="P381" s="268"/>
      <c r="Q381" s="268"/>
      <c r="R381" s="268"/>
      <c r="S381" s="268"/>
      <c r="T381" s="268"/>
      <c r="U381" s="268"/>
      <c r="V381" s="268"/>
      <c r="AF381" s="268"/>
      <c r="AG381" s="268"/>
      <c r="AH381" s="268"/>
      <c r="AI381" s="268"/>
      <c r="AJ381" s="268"/>
      <c r="AK381" s="268"/>
    </row>
    <row r="382" spans="8:56">
      <c r="H382" s="268"/>
      <c r="I382" s="268"/>
      <c r="J382" s="268"/>
      <c r="K382" s="268"/>
      <c r="L382" s="268"/>
      <c r="M382" s="268"/>
      <c r="N382" s="268"/>
      <c r="O382" s="268"/>
      <c r="P382" s="268"/>
      <c r="Q382" s="268"/>
      <c r="R382" s="268"/>
      <c r="S382" s="268"/>
      <c r="T382" s="268"/>
      <c r="U382" s="268"/>
      <c r="V382" s="268"/>
      <c r="AF382" s="594" t="s">
        <v>1085</v>
      </c>
      <c r="AG382" s="594"/>
      <c r="AH382" s="594"/>
      <c r="AI382" s="903">
        <f>ROUNDUP(AI380,0)</f>
        <v>17</v>
      </c>
      <c r="AJ382" s="594"/>
      <c r="AK382" s="594" t="s">
        <v>1085</v>
      </c>
      <c r="AU382" t="str">
        <f>AH374</f>
        <v>1/ec,noncyclic</v>
      </c>
      <c r="AV382" s="903">
        <f>AI382</f>
        <v>17</v>
      </c>
      <c r="AW382" s="903">
        <f>AQ382</f>
        <v>0</v>
      </c>
    </row>
    <row r="383" spans="8:56">
      <c r="H383" s="594"/>
      <c r="I383" s="897"/>
      <c r="J383" s="594"/>
      <c r="K383" s="938">
        <f>K379*K381</f>
        <v>8.7155130051156604E-2</v>
      </c>
      <c r="L383" s="594"/>
      <c r="M383" s="594"/>
      <c r="N383" s="268"/>
      <c r="O383" s="268"/>
      <c r="P383" s="268"/>
      <c r="Q383" s="268"/>
      <c r="R383" s="268"/>
      <c r="S383" s="268"/>
      <c r="T383" s="268"/>
      <c r="U383" s="268"/>
      <c r="V383" s="268"/>
      <c r="W383" s="997" t="s">
        <v>919</v>
      </c>
      <c r="X383" s="999"/>
      <c r="Y383" s="999"/>
      <c r="Z383" s="999"/>
    </row>
    <row r="384" spans="8:56">
      <c r="H384" s="268"/>
      <c r="I384" s="268"/>
      <c r="J384" s="268"/>
      <c r="K384" s="268"/>
      <c r="L384" s="268"/>
      <c r="M384" s="268"/>
      <c r="N384" s="268"/>
      <c r="O384" s="268"/>
      <c r="P384" s="268"/>
      <c r="Q384" s="268"/>
      <c r="R384" s="268"/>
      <c r="S384" s="268"/>
      <c r="T384" s="268"/>
      <c r="U384" s="268"/>
      <c r="V384" s="268"/>
      <c r="W384" s="325" t="s">
        <v>819</v>
      </c>
      <c r="X384" s="325" t="str">
        <f>I387</f>
        <v>fc</v>
      </c>
      <c r="Y384" s="957">
        <f>K387</f>
        <v>0.58065060927476564</v>
      </c>
      <c r="Z384" s="325"/>
      <c r="AF384" s="325" t="s">
        <v>1103</v>
      </c>
      <c r="AG384" s="325"/>
      <c r="AH384" s="325" t="s">
        <v>1107</v>
      </c>
      <c r="AI384" s="657">
        <f>1/Y343</f>
        <v>400</v>
      </c>
      <c r="AJ384" s="325"/>
      <c r="AK384" s="325"/>
    </row>
    <row r="385" spans="8:49">
      <c r="H385" s="594"/>
      <c r="I385" s="897"/>
      <c r="J385" s="933" t="s">
        <v>918</v>
      </c>
      <c r="K385" s="938">
        <f>K383+K373</f>
        <v>0.3371551300511566</v>
      </c>
      <c r="L385" s="594"/>
      <c r="M385" s="594"/>
      <c r="N385" s="268"/>
      <c r="O385" s="268"/>
      <c r="P385" s="268"/>
      <c r="Q385" s="268"/>
      <c r="R385" s="268"/>
      <c r="S385" s="268"/>
      <c r="T385" s="268"/>
      <c r="U385" s="268"/>
      <c r="V385" s="268"/>
      <c r="W385" s="325" t="s">
        <v>1069</v>
      </c>
      <c r="X385" s="325" t="str">
        <f>I446</f>
        <v>fc_ISO</v>
      </c>
      <c r="Y385" s="957">
        <f>K446</f>
        <v>0.77359474152535168</v>
      </c>
      <c r="Z385" s="325"/>
    </row>
    <row r="386" spans="8:49">
      <c r="H386" s="268"/>
      <c r="I386" s="268"/>
      <c r="J386" s="268"/>
      <c r="K386" s="268"/>
      <c r="L386" s="268"/>
      <c r="M386" s="268"/>
      <c r="N386" s="268"/>
      <c r="O386" s="268"/>
      <c r="P386" s="268"/>
      <c r="Q386" s="268"/>
      <c r="R386" s="268"/>
      <c r="S386" s="268"/>
      <c r="T386" s="268"/>
      <c r="U386" s="268"/>
      <c r="V386" s="268"/>
      <c r="AF386" s="325"/>
      <c r="AG386" s="325"/>
      <c r="AH386" s="325" t="s">
        <v>1105</v>
      </c>
      <c r="AI386" s="657">
        <f>$AI$371*AI384</f>
        <v>5.2840158520475564E-5</v>
      </c>
      <c r="AJ386" s="325"/>
      <c r="AK386" s="325"/>
    </row>
    <row r="387" spans="8:49">
      <c r="H387" s="594"/>
      <c r="I387" s="897" t="s">
        <v>919</v>
      </c>
      <c r="J387" s="594" t="s">
        <v>1108</v>
      </c>
      <c r="K387" s="938">
        <f>SQRT(K385)</f>
        <v>0.58065060927476564</v>
      </c>
      <c r="L387" s="594"/>
      <c r="M387" s="594" t="s">
        <v>919</v>
      </c>
      <c r="N387" s="268"/>
      <c r="O387" s="268"/>
      <c r="P387" s="268"/>
      <c r="Q387" s="268"/>
      <c r="R387" s="268"/>
      <c r="S387" s="268"/>
      <c r="T387" s="268"/>
      <c r="U387" s="268"/>
      <c r="V387" s="268"/>
    </row>
    <row r="388" spans="8:49">
      <c r="H388" s="268"/>
      <c r="I388" s="268"/>
      <c r="L388" s="268"/>
      <c r="M388" s="268"/>
      <c r="N388" s="268"/>
      <c r="O388" s="268"/>
      <c r="P388" s="268"/>
      <c r="Q388" s="268"/>
      <c r="R388" s="268"/>
      <c r="S388" s="268"/>
      <c r="T388" s="268"/>
      <c r="U388" s="268"/>
      <c r="V388" s="268"/>
      <c r="W388" s="997" t="s">
        <v>1109</v>
      </c>
      <c r="X388" s="999"/>
      <c r="Y388" s="999"/>
      <c r="Z388" s="999"/>
      <c r="AF388" s="594"/>
      <c r="AG388" s="594" t="s">
        <v>1082</v>
      </c>
      <c r="AH388" s="594"/>
      <c r="AI388" s="903">
        <f>$AI$369*AI386</f>
        <v>0.33402906208718636</v>
      </c>
      <c r="AJ388" s="594"/>
      <c r="AK388" s="594" t="s">
        <v>1082</v>
      </c>
    </row>
    <row r="389" spans="8:49">
      <c r="H389" s="594"/>
      <c r="I389" s="897"/>
      <c r="J389" s="594" t="s">
        <v>928</v>
      </c>
      <c r="K389" s="903">
        <f>K369*K363</f>
        <v>2.5000000000000001E-3</v>
      </c>
      <c r="L389" s="594"/>
      <c r="M389" s="594"/>
      <c r="N389" s="268"/>
      <c r="O389" s="268"/>
      <c r="P389" s="268"/>
      <c r="Q389" s="268"/>
      <c r="R389" s="268"/>
      <c r="S389" s="268"/>
      <c r="T389" s="268"/>
      <c r="U389" s="268"/>
      <c r="V389" s="268"/>
      <c r="W389" s="325" t="s">
        <v>1110</v>
      </c>
      <c r="X389" s="325" t="str">
        <f>I476</f>
        <v>f_perf</v>
      </c>
      <c r="Y389" s="957">
        <f>K476</f>
        <v>8.4479516993696518E-2</v>
      </c>
      <c r="Z389" s="325"/>
      <c r="AF389" s="268"/>
      <c r="AG389" s="268"/>
      <c r="AH389" s="268"/>
      <c r="AI389" s="268"/>
      <c r="AJ389" s="268"/>
      <c r="AK389" s="268"/>
    </row>
    <row r="390" spans="8:49">
      <c r="I390" s="268"/>
      <c r="J390" s="268"/>
      <c r="K390" s="268"/>
      <c r="L390" s="268"/>
      <c r="M390" s="268"/>
      <c r="N390" s="268"/>
      <c r="O390" s="268"/>
      <c r="P390" s="268"/>
      <c r="Q390" s="268"/>
      <c r="R390" s="268"/>
      <c r="S390" s="268"/>
      <c r="T390" s="268"/>
      <c r="U390" s="268"/>
      <c r="V390" s="268"/>
      <c r="AF390" s="594" t="s">
        <v>810</v>
      </c>
      <c r="AG390" s="594"/>
      <c r="AH390" s="594"/>
      <c r="AI390" s="903">
        <f>AI388/$AI$307</f>
        <v>16.701453104359317</v>
      </c>
      <c r="AJ390" s="594"/>
      <c r="AK390" s="594" t="s">
        <v>810</v>
      </c>
    </row>
    <row r="391" spans="8:49">
      <c r="H391" s="594" t="s">
        <v>1111</v>
      </c>
      <c r="I391" s="897" t="s">
        <v>934</v>
      </c>
      <c r="J391" s="933" t="s">
        <v>1112</v>
      </c>
      <c r="K391" s="903">
        <f>K389-ABS(K357)</f>
        <v>2.4850000000000002E-3</v>
      </c>
      <c r="L391" s="594"/>
      <c r="M391" s="594"/>
      <c r="N391" s="268"/>
      <c r="O391" s="268"/>
      <c r="P391" s="268"/>
      <c r="Q391" s="268"/>
      <c r="R391" s="268"/>
      <c r="S391" s="268"/>
      <c r="T391" s="268"/>
      <c r="U391" s="268"/>
      <c r="V391" s="268"/>
      <c r="AF391" s="268"/>
      <c r="AG391" s="268"/>
      <c r="AH391" s="268"/>
      <c r="AI391" s="268"/>
      <c r="AJ391" s="268"/>
      <c r="AK391" s="268"/>
    </row>
    <row r="392" spans="8:49">
      <c r="I392" s="268"/>
      <c r="J392" s="268"/>
      <c r="K392" s="268"/>
      <c r="L392" s="268"/>
      <c r="M392" s="268"/>
      <c r="N392" s="268"/>
      <c r="O392" s="268"/>
      <c r="P392" s="268"/>
      <c r="Q392" s="268"/>
      <c r="R392" s="268"/>
      <c r="S392" s="268"/>
      <c r="T392" s="268"/>
      <c r="U392" s="268"/>
      <c r="V392" s="268"/>
      <c r="AF392" s="594" t="s">
        <v>1085</v>
      </c>
      <c r="AG392" s="594"/>
      <c r="AH392" s="594"/>
      <c r="AI392" s="903">
        <f>ROUNDUP(AI390,0)</f>
        <v>17</v>
      </c>
      <c r="AJ392" s="594"/>
      <c r="AK392" s="594" t="s">
        <v>1085</v>
      </c>
      <c r="AU392" t="str">
        <f>AH384</f>
        <v>1/ec_0</v>
      </c>
      <c r="AV392" s="903">
        <f>AI392</f>
        <v>17</v>
      </c>
      <c r="AW392" s="903">
        <f>AQ392</f>
        <v>0</v>
      </c>
    </row>
    <row r="393" spans="8:49">
      <c r="H393" s="594" t="s">
        <v>1113</v>
      </c>
      <c r="I393" s="897" t="s">
        <v>938</v>
      </c>
      <c r="J393" s="933" t="s">
        <v>1114</v>
      </c>
      <c r="K393" s="903">
        <f>K391*K387</f>
        <v>1.4429167640477927E-3</v>
      </c>
      <c r="L393" s="594"/>
      <c r="M393" s="897" t="s">
        <v>1115</v>
      </c>
      <c r="AF393" s="268"/>
      <c r="AG393" s="268"/>
      <c r="AH393" s="268"/>
      <c r="AI393" s="268"/>
      <c r="AJ393" s="268"/>
      <c r="AK393" s="268"/>
    </row>
    <row r="394" spans="8:49">
      <c r="I394" s="268"/>
      <c r="J394" s="268"/>
      <c r="K394" s="268"/>
      <c r="L394" s="268"/>
      <c r="M394" s="268"/>
      <c r="N394" s="268"/>
      <c r="O394" s="268"/>
      <c r="P394" s="268"/>
      <c r="Q394" s="268"/>
      <c r="R394" s="268"/>
      <c r="S394" s="268"/>
      <c r="T394" s="268"/>
      <c r="U394" s="268"/>
      <c r="V394" s="268"/>
      <c r="AF394" s="325" t="s">
        <v>1103</v>
      </c>
      <c r="AG394" s="325"/>
      <c r="AH394" s="325" t="s">
        <v>1116</v>
      </c>
      <c r="AI394" s="657">
        <f>1/Y352</f>
        <v>693.0406693693925</v>
      </c>
      <c r="AJ394" s="325"/>
      <c r="AK394" s="325"/>
    </row>
    <row r="395" spans="8:49">
      <c r="N395" s="268"/>
      <c r="O395" s="268"/>
      <c r="P395" s="268"/>
      <c r="Q395" s="268"/>
      <c r="R395" s="268"/>
      <c r="S395" s="268"/>
      <c r="T395" s="268"/>
      <c r="U395" s="268"/>
      <c r="V395" s="268"/>
    </row>
    <row r="396" spans="8:49">
      <c r="N396" s="268"/>
      <c r="O396" s="268"/>
      <c r="P396" s="268"/>
      <c r="Q396" s="268"/>
      <c r="R396" s="268"/>
      <c r="S396" s="268"/>
      <c r="T396" s="268"/>
      <c r="U396" s="268"/>
      <c r="V396" s="268"/>
      <c r="AF396" s="325"/>
      <c r="AG396" s="325"/>
      <c r="AH396" s="325" t="s">
        <v>1105</v>
      </c>
      <c r="AI396" s="657">
        <f>$AI$371*AI394</f>
        <v>9.1550947076537978E-5</v>
      </c>
      <c r="AJ396" s="325"/>
      <c r="AK396" s="325"/>
    </row>
    <row r="397" spans="8:49">
      <c r="N397" s="268"/>
      <c r="O397" s="268"/>
      <c r="P397" s="268"/>
      <c r="Q397" s="268"/>
      <c r="R397" s="268"/>
      <c r="S397" s="268"/>
      <c r="T397" s="268"/>
      <c r="U397" s="268"/>
      <c r="V397" s="268"/>
    </row>
    <row r="398" spans="8:49">
      <c r="N398" s="268"/>
      <c r="O398" s="268"/>
      <c r="P398" s="268"/>
      <c r="Q398" s="268"/>
      <c r="R398" s="268"/>
      <c r="S398" s="268"/>
      <c r="T398" s="268"/>
      <c r="U398" s="268"/>
      <c r="V398" s="268"/>
      <c r="AF398" s="594"/>
      <c r="AG398" s="594" t="s">
        <v>1082</v>
      </c>
      <c r="AH398" s="594"/>
      <c r="AI398" s="903">
        <f>$AI$369*AI396</f>
        <v>0.57873931194433503</v>
      </c>
      <c r="AJ398" s="594"/>
      <c r="AK398" s="594" t="s">
        <v>1082</v>
      </c>
    </row>
    <row r="399" spans="8:49">
      <c r="N399" s="268"/>
      <c r="O399" s="268"/>
      <c r="P399" s="268"/>
      <c r="Q399" s="268"/>
      <c r="R399" s="268"/>
      <c r="S399" s="268"/>
      <c r="T399" s="268"/>
      <c r="U399" s="268"/>
      <c r="V399" s="268"/>
      <c r="AF399" s="268"/>
      <c r="AG399" s="268"/>
      <c r="AH399" s="268"/>
      <c r="AI399" s="268"/>
      <c r="AJ399" s="268"/>
      <c r="AK399" s="268"/>
    </row>
    <row r="400" spans="8:49">
      <c r="N400" s="268"/>
      <c r="O400" s="268"/>
      <c r="P400" s="268"/>
      <c r="Q400" s="268"/>
      <c r="R400" s="268"/>
      <c r="S400" s="268"/>
      <c r="T400" s="268"/>
      <c r="U400" s="268"/>
      <c r="V400" s="268"/>
      <c r="AF400" s="594" t="s">
        <v>810</v>
      </c>
      <c r="AG400" s="594"/>
      <c r="AH400" s="594"/>
      <c r="AI400" s="903">
        <f>AI398/$AI$307</f>
        <v>28.936965597216751</v>
      </c>
      <c r="AJ400" s="594"/>
      <c r="AK400" s="594" t="s">
        <v>810</v>
      </c>
    </row>
    <row r="401" spans="8:49">
      <c r="N401" s="268"/>
      <c r="O401" s="268"/>
      <c r="P401" s="268"/>
      <c r="Q401" s="268"/>
      <c r="R401" s="268"/>
      <c r="S401" s="268"/>
      <c r="T401" s="268"/>
      <c r="U401" s="268"/>
      <c r="V401" s="268"/>
      <c r="AF401" s="268"/>
      <c r="AG401" s="268"/>
      <c r="AH401" s="268"/>
      <c r="AI401" s="268"/>
      <c r="AJ401" s="268"/>
      <c r="AK401" s="268"/>
    </row>
    <row r="402" spans="8:49">
      <c r="N402" s="268"/>
      <c r="O402" s="268"/>
      <c r="P402" s="268"/>
      <c r="Q402" s="268"/>
      <c r="R402" s="268"/>
      <c r="S402" s="268"/>
      <c r="T402" s="268"/>
      <c r="U402" s="268"/>
      <c r="V402" s="268"/>
      <c r="AF402" s="594" t="s">
        <v>1085</v>
      </c>
      <c r="AG402" s="594"/>
      <c r="AH402" s="594"/>
      <c r="AI402" s="903">
        <f>ROUNDUP(AI400,0)</f>
        <v>29</v>
      </c>
      <c r="AJ402" s="594"/>
      <c r="AK402" s="594" t="s">
        <v>1085</v>
      </c>
      <c r="AU402" t="str">
        <f>AH394</f>
        <v>1/ec,cyclic</v>
      </c>
      <c r="AV402" s="903">
        <f>AI402</f>
        <v>29</v>
      </c>
      <c r="AW402" s="903">
        <f>AQ402</f>
        <v>0</v>
      </c>
    </row>
    <row r="403" spans="8:49">
      <c r="N403" s="268"/>
      <c r="O403" s="268"/>
      <c r="P403" s="268"/>
      <c r="Q403" s="268"/>
      <c r="R403" s="268"/>
      <c r="S403" s="268"/>
      <c r="T403" s="268"/>
      <c r="U403" s="268"/>
      <c r="V403" s="268"/>
      <c r="AF403" s="268"/>
      <c r="AG403" s="268"/>
      <c r="AH403" s="268"/>
      <c r="AI403" s="268"/>
      <c r="AJ403" s="268"/>
      <c r="AK403" s="268"/>
    </row>
    <row r="404" spans="8:49">
      <c r="N404" s="268"/>
      <c r="O404" s="268"/>
      <c r="P404" s="268"/>
      <c r="Q404" s="268"/>
      <c r="R404" s="268"/>
      <c r="S404" s="268"/>
      <c r="T404" s="268"/>
      <c r="U404" s="268"/>
      <c r="V404" s="268"/>
    </row>
    <row r="405" spans="8:49">
      <c r="N405" s="268"/>
      <c r="O405" s="268"/>
      <c r="P405" s="268"/>
      <c r="Q405" s="268"/>
      <c r="R405" s="268"/>
      <c r="S405" s="268"/>
      <c r="T405" s="268"/>
      <c r="U405" s="268"/>
      <c r="V405" s="268"/>
    </row>
    <row r="406" spans="8:49">
      <c r="N406" s="268"/>
      <c r="O406" s="268"/>
      <c r="P406" s="268"/>
      <c r="Q406" s="268"/>
      <c r="R406" s="268"/>
      <c r="S406" s="268"/>
      <c r="T406" s="268"/>
      <c r="U406" s="268"/>
      <c r="V406" s="268"/>
    </row>
    <row r="407" spans="8:49">
      <c r="N407" s="268"/>
      <c r="O407" s="268"/>
      <c r="P407" s="268"/>
      <c r="Q407" s="268"/>
      <c r="R407" s="268"/>
      <c r="S407" s="268"/>
      <c r="T407" s="268"/>
      <c r="U407" s="268"/>
      <c r="V407" s="268"/>
    </row>
    <row r="408" spans="8:49">
      <c r="N408" s="268"/>
      <c r="O408" s="268"/>
      <c r="P408" s="268"/>
      <c r="Q408" s="268"/>
      <c r="R408" s="268"/>
      <c r="S408" s="268"/>
      <c r="T408" s="268"/>
      <c r="U408" s="268"/>
      <c r="V408" s="268"/>
    </row>
    <row r="409" spans="8:49">
      <c r="N409" s="268"/>
      <c r="O409" s="268"/>
      <c r="P409" s="268"/>
      <c r="Q409" s="268"/>
      <c r="R409" s="268"/>
      <c r="S409" s="268"/>
      <c r="T409" s="268"/>
      <c r="U409" s="268"/>
      <c r="V409" s="268"/>
    </row>
    <row r="410" spans="8:49">
      <c r="N410" s="268"/>
      <c r="O410" s="268"/>
      <c r="P410" s="268"/>
      <c r="Q410" s="268"/>
      <c r="R410" s="268"/>
      <c r="S410" s="268"/>
      <c r="T410" s="268"/>
      <c r="U410" s="268"/>
      <c r="V410" s="268"/>
    </row>
    <row r="411" spans="8:49">
      <c r="N411" s="268"/>
      <c r="O411" s="268"/>
      <c r="P411" s="268"/>
      <c r="Q411" s="268"/>
      <c r="R411" s="268"/>
      <c r="S411" s="268"/>
      <c r="T411" s="268"/>
      <c r="U411" s="268"/>
      <c r="V411" s="268"/>
    </row>
    <row r="412" spans="8:49">
      <c r="N412" s="268"/>
      <c r="O412" s="268"/>
      <c r="P412" s="268"/>
      <c r="Q412" s="268"/>
      <c r="R412" s="268"/>
      <c r="S412" s="268"/>
      <c r="T412" s="268"/>
      <c r="U412" s="268"/>
      <c r="V412" s="268"/>
      <c r="AF412" s="268"/>
      <c r="AG412" s="268"/>
      <c r="AH412" s="268"/>
      <c r="AI412" s="268"/>
      <c r="AJ412" s="268"/>
      <c r="AK412" s="268"/>
    </row>
    <row r="413" spans="8:49">
      <c r="H413" s="1283" t="s">
        <v>840</v>
      </c>
      <c r="I413" s="1381"/>
      <c r="J413" s="1381"/>
      <c r="K413" s="1381"/>
      <c r="L413" s="1381"/>
      <c r="M413" s="1284"/>
      <c r="N413" s="268"/>
      <c r="O413" s="268"/>
      <c r="P413" s="268"/>
      <c r="Q413" s="268"/>
      <c r="R413" s="268"/>
      <c r="S413" s="268"/>
      <c r="T413" s="268"/>
      <c r="U413" s="268"/>
      <c r="V413" s="268"/>
      <c r="AF413" s="1283" t="str">
        <f>H413</f>
        <v>ISO 24817</v>
      </c>
      <c r="AG413" s="1381"/>
      <c r="AH413" s="1381"/>
      <c r="AI413" s="1381"/>
      <c r="AJ413" s="1381"/>
      <c r="AK413" s="1284"/>
    </row>
    <row r="414" spans="8:49">
      <c r="H414" s="900"/>
      <c r="I414" s="900"/>
      <c r="J414" s="941" t="s">
        <v>1117</v>
      </c>
      <c r="K414" s="900"/>
      <c r="L414" s="900"/>
      <c r="M414" s="900"/>
      <c r="N414" s="268"/>
      <c r="O414" s="268"/>
      <c r="P414" s="268"/>
      <c r="Q414" s="268"/>
      <c r="R414" s="268"/>
      <c r="S414" s="268"/>
      <c r="T414" s="268"/>
      <c r="U414" s="268"/>
      <c r="V414" s="268"/>
      <c r="AF414" s="325" t="s">
        <v>1103</v>
      </c>
      <c r="AG414" s="834"/>
      <c r="AH414" s="834" t="s">
        <v>1104</v>
      </c>
      <c r="AI414" s="959">
        <f>1/Y340</f>
        <v>2090.2917904791907</v>
      </c>
      <c r="AJ414" s="834"/>
      <c r="AK414" s="834"/>
    </row>
    <row r="415" spans="8:49">
      <c r="H415" s="268"/>
      <c r="I415" s="268"/>
      <c r="J415" s="268"/>
      <c r="K415" s="268"/>
      <c r="L415" s="268"/>
      <c r="M415" s="268"/>
      <c r="N415" s="268"/>
      <c r="O415" s="268"/>
      <c r="P415" s="268"/>
      <c r="Q415" s="268"/>
      <c r="R415" s="268"/>
      <c r="S415" s="268"/>
      <c r="T415" s="268"/>
      <c r="U415" s="268"/>
      <c r="V415" s="268"/>
    </row>
    <row r="416" spans="8:49">
      <c r="H416" s="594" t="s">
        <v>957</v>
      </c>
      <c r="I416" s="897" t="s">
        <v>1118</v>
      </c>
      <c r="J416" s="933" t="s">
        <v>1119</v>
      </c>
      <c r="K416" s="903">
        <f>K335</f>
        <v>200</v>
      </c>
      <c r="L416" s="594" t="s">
        <v>1057</v>
      </c>
      <c r="M416" s="594" t="s">
        <v>1118</v>
      </c>
      <c r="N416" s="268"/>
      <c r="O416" s="268"/>
      <c r="P416" s="268"/>
      <c r="Q416" s="268"/>
      <c r="R416" s="268"/>
      <c r="S416" s="268"/>
      <c r="T416" s="268"/>
      <c r="U416" s="268"/>
      <c r="V416" s="268"/>
      <c r="AF416" s="325"/>
      <c r="AG416" s="325"/>
      <c r="AH416" s="325" t="s">
        <v>1105</v>
      </c>
      <c r="AI416" s="657">
        <f>$AI$371*AI414</f>
        <v>2.7612837390742282E-4</v>
      </c>
      <c r="AJ416" s="325"/>
      <c r="AK416" s="325"/>
    </row>
    <row r="417" spans="8:49">
      <c r="H417" s="268"/>
      <c r="I417" s="268"/>
      <c r="J417" s="268"/>
      <c r="K417" s="268"/>
      <c r="L417" s="268"/>
      <c r="M417" s="268"/>
      <c r="N417" s="268"/>
      <c r="O417" s="268"/>
      <c r="P417" s="268"/>
      <c r="Q417" s="268"/>
      <c r="R417" s="268"/>
      <c r="S417" s="268"/>
      <c r="T417" s="268"/>
      <c r="U417" s="268"/>
      <c r="V417" s="268"/>
    </row>
    <row r="418" spans="8:49">
      <c r="H418" s="594" t="s">
        <v>964</v>
      </c>
      <c r="I418" s="594" t="s">
        <v>1120</v>
      </c>
      <c r="J418" s="594" t="s">
        <v>965</v>
      </c>
      <c r="K418" s="938">
        <f>0.003061*POWER(10,-0.0044*K416)</f>
        <v>4.0351838767211615E-4</v>
      </c>
      <c r="L418" s="594"/>
      <c r="M418" s="594" t="s">
        <v>1120</v>
      </c>
      <c r="AF418" s="594"/>
      <c r="AG418" s="594" t="s">
        <v>1082</v>
      </c>
      <c r="AH418" s="594"/>
      <c r="AI418" s="903">
        <f>$AI$369*AI416</f>
        <v>1.7455455156557738</v>
      </c>
      <c r="AJ418" s="594"/>
      <c r="AK418" s="594" t="s">
        <v>1082</v>
      </c>
    </row>
    <row r="419" spans="8:49">
      <c r="H419" s="268"/>
      <c r="I419" s="268"/>
      <c r="J419" s="268"/>
      <c r="K419" s="268"/>
      <c r="L419" s="268"/>
      <c r="M419" s="268"/>
      <c r="AF419" s="268"/>
      <c r="AG419" s="268"/>
      <c r="AH419" s="268"/>
      <c r="AI419" s="268"/>
      <c r="AJ419" s="268"/>
      <c r="AK419" s="268"/>
    </row>
    <row r="420" spans="8:49">
      <c r="H420" s="594"/>
      <c r="I420" s="594"/>
      <c r="J420" s="594">
        <v>6.2500000000000001E-5</v>
      </c>
      <c r="K420" s="903">
        <f>J420*K348</f>
        <v>0.42025000000000001</v>
      </c>
      <c r="L420" s="594"/>
      <c r="M420" s="594"/>
      <c r="N420" s="268"/>
      <c r="O420" s="268"/>
      <c r="P420" s="268"/>
      <c r="Q420" s="268"/>
      <c r="R420" s="268"/>
      <c r="S420" s="268"/>
      <c r="T420" s="268"/>
      <c r="U420" s="268"/>
      <c r="V420" s="268"/>
      <c r="AF420" s="594" t="s">
        <v>810</v>
      </c>
      <c r="AG420" s="594"/>
      <c r="AH420" s="594"/>
      <c r="AI420" s="903">
        <f>AI418/$AI$307</f>
        <v>87.277275782788692</v>
      </c>
      <c r="AJ420" s="594"/>
      <c r="AK420" s="594" t="s">
        <v>810</v>
      </c>
    </row>
    <row r="421" spans="8:49">
      <c r="H421" s="594"/>
      <c r="I421" s="594"/>
      <c r="J421" s="594">
        <v>1.25E-3</v>
      </c>
      <c r="K421" s="903">
        <f>J421*K346</f>
        <v>0.10250000000000001</v>
      </c>
      <c r="L421" s="594"/>
      <c r="M421" s="594"/>
      <c r="N421" s="268"/>
      <c r="O421" s="268"/>
      <c r="P421" s="268"/>
      <c r="Q421" s="268"/>
      <c r="R421" s="268"/>
      <c r="S421" s="268"/>
      <c r="T421" s="268"/>
      <c r="U421" s="268"/>
      <c r="V421" s="268"/>
      <c r="AF421" s="268"/>
      <c r="AG421" s="268"/>
      <c r="AH421" s="268"/>
      <c r="AI421" s="268"/>
      <c r="AJ421" s="268"/>
      <c r="AK421" s="268"/>
    </row>
    <row r="422" spans="8:49">
      <c r="H422" s="594" t="s">
        <v>970</v>
      </c>
      <c r="I422" s="594" t="s">
        <v>971</v>
      </c>
      <c r="J422" s="594">
        <v>0.7</v>
      </c>
      <c r="K422" s="903">
        <f>K420+K421+J422</f>
        <v>1.22275</v>
      </c>
      <c r="L422" s="594"/>
      <c r="M422" s="594" t="s">
        <v>971</v>
      </c>
      <c r="N422" s="268"/>
      <c r="O422" s="268"/>
      <c r="P422" s="268"/>
      <c r="Q422" s="268"/>
      <c r="R422" s="268"/>
      <c r="S422" s="268"/>
      <c r="T422" s="268"/>
      <c r="U422" s="268"/>
      <c r="V422" s="268"/>
      <c r="AF422" s="594" t="s">
        <v>1085</v>
      </c>
      <c r="AG422" s="594"/>
      <c r="AH422" s="594"/>
      <c r="AI422" s="903">
        <f>ROUNDUP(AI420,0)</f>
        <v>88</v>
      </c>
      <c r="AJ422" s="594"/>
      <c r="AK422" s="594" t="s">
        <v>1085</v>
      </c>
      <c r="AU422" t="str">
        <f>AH414</f>
        <v>1/ec,noncyclic</v>
      </c>
      <c r="AV422" s="903">
        <f>AI422</f>
        <v>88</v>
      </c>
      <c r="AW422" s="903">
        <f>AQ422</f>
        <v>0</v>
      </c>
    </row>
    <row r="423" spans="8:49">
      <c r="H423" s="268"/>
      <c r="I423" s="268"/>
      <c r="J423" s="268"/>
      <c r="K423" s="268"/>
      <c r="L423" s="268"/>
      <c r="M423" s="268"/>
      <c r="N423" s="268"/>
      <c r="O423" s="268"/>
      <c r="P423" s="268"/>
      <c r="Q423" s="268"/>
      <c r="R423" s="268"/>
      <c r="S423" s="268"/>
      <c r="T423" s="268"/>
      <c r="U423" s="268"/>
      <c r="V423" s="268"/>
      <c r="AF423" s="268"/>
      <c r="AG423" s="268"/>
      <c r="AH423" s="268"/>
      <c r="AI423" s="268"/>
      <c r="AJ423" s="268"/>
      <c r="AK423" s="268"/>
    </row>
    <row r="424" spans="8:49">
      <c r="H424" s="594"/>
      <c r="I424" s="594"/>
      <c r="J424" s="594" t="s">
        <v>995</v>
      </c>
      <c r="K424" s="903">
        <f>K353-1</f>
        <v>-0.5</v>
      </c>
      <c r="L424" s="594"/>
      <c r="M424" s="594"/>
      <c r="N424" s="268"/>
      <c r="O424" s="268"/>
      <c r="P424" s="268"/>
      <c r="Q424" s="268"/>
      <c r="R424" s="268"/>
      <c r="S424" s="268"/>
      <c r="T424" s="268"/>
      <c r="U424" s="268"/>
      <c r="V424" s="268"/>
      <c r="AF424" s="325" t="s">
        <v>1103</v>
      </c>
      <c r="AG424" s="325"/>
      <c r="AH424" s="325" t="s">
        <v>1107</v>
      </c>
      <c r="AI424" s="657">
        <f>1/Y344</f>
        <v>2478.2018132283042</v>
      </c>
      <c r="AJ424" s="325"/>
      <c r="AK424" s="325"/>
    </row>
    <row r="425" spans="8:49">
      <c r="H425" s="268"/>
      <c r="I425" s="268"/>
      <c r="J425" s="268"/>
      <c r="K425" s="268"/>
      <c r="L425" s="268"/>
      <c r="M425" s="268"/>
      <c r="N425" s="268"/>
      <c r="O425" s="268"/>
      <c r="P425" s="268"/>
      <c r="Q425" s="268"/>
      <c r="R425" s="268"/>
      <c r="S425" s="268"/>
      <c r="T425" s="268"/>
      <c r="U425" s="268"/>
      <c r="V425" s="268"/>
    </row>
    <row r="426" spans="8:49">
      <c r="H426" s="594"/>
      <c r="I426" s="594"/>
      <c r="J426" s="594" t="s">
        <v>996</v>
      </c>
      <c r="K426" s="903">
        <f>150*POWER(10,6)</f>
        <v>150000000</v>
      </c>
      <c r="L426" s="594"/>
      <c r="M426" s="594"/>
      <c r="N426" s="268"/>
      <c r="O426" s="268"/>
      <c r="P426" s="268"/>
      <c r="Q426" s="268"/>
      <c r="R426" s="268"/>
      <c r="S426" s="268"/>
      <c r="T426" s="268"/>
      <c r="U426" s="268"/>
      <c r="V426" s="268"/>
      <c r="AF426" s="325"/>
      <c r="AG426" s="325"/>
      <c r="AH426" s="325" t="s">
        <v>1105</v>
      </c>
      <c r="AI426" s="657">
        <f>$AI$371*AI424</f>
        <v>3.2737144164178393E-4</v>
      </c>
      <c r="AJ426" s="325"/>
      <c r="AK426" s="325"/>
    </row>
    <row r="427" spans="8:49">
      <c r="H427" s="268"/>
      <c r="I427" s="268"/>
      <c r="J427" s="268"/>
      <c r="K427" s="268"/>
      <c r="L427" s="268"/>
      <c r="M427" s="268"/>
      <c r="N427" s="268"/>
      <c r="O427" s="268"/>
      <c r="P427" s="268"/>
      <c r="Q427" s="268"/>
      <c r="R427" s="268"/>
      <c r="S427" s="268"/>
      <c r="T427" s="268"/>
      <c r="U427" s="268"/>
      <c r="V427" s="268"/>
    </row>
    <row r="428" spans="8:49">
      <c r="H428" s="594"/>
      <c r="I428" s="594"/>
      <c r="J428" s="594" t="s">
        <v>997</v>
      </c>
      <c r="K428" s="903">
        <f>LOG10(K426)</f>
        <v>8.1760912590556813</v>
      </c>
      <c r="L428" s="594"/>
      <c r="M428" s="594"/>
      <c r="N428" s="268"/>
      <c r="O428" s="268"/>
      <c r="P428" s="268"/>
      <c r="Q428" s="268"/>
      <c r="R428" s="268"/>
      <c r="S428" s="268"/>
      <c r="T428" s="268"/>
      <c r="U428" s="268"/>
      <c r="V428" s="268"/>
      <c r="AF428" s="594"/>
      <c r="AG428" s="594" t="s">
        <v>1082</v>
      </c>
      <c r="AH428" s="594"/>
      <c r="AI428" s="903">
        <f>$AI$369*AI426</f>
        <v>2.0694785683385377</v>
      </c>
      <c r="AJ428" s="594"/>
      <c r="AK428" s="594" t="s">
        <v>1082</v>
      </c>
    </row>
    <row r="429" spans="8:49">
      <c r="H429" s="268"/>
      <c r="I429" s="268"/>
      <c r="J429" s="268"/>
      <c r="K429" s="268"/>
      <c r="L429" s="268"/>
      <c r="M429" s="268"/>
      <c r="N429" s="268"/>
      <c r="O429" s="268"/>
      <c r="P429" s="268"/>
      <c r="Q429" s="268"/>
      <c r="R429" s="268"/>
      <c r="S429" s="268"/>
      <c r="T429" s="268"/>
      <c r="U429" s="268"/>
      <c r="V429" s="268"/>
      <c r="AF429" s="268"/>
      <c r="AG429" s="268"/>
      <c r="AH429" s="268"/>
      <c r="AI429" s="268"/>
      <c r="AJ429" s="268"/>
      <c r="AK429" s="268"/>
    </row>
    <row r="430" spans="8:49">
      <c r="H430" s="594"/>
      <c r="I430" s="594"/>
      <c r="J430" s="594" t="s">
        <v>998</v>
      </c>
      <c r="K430" s="903">
        <f>LOG10(7000)</f>
        <v>3.8450980400142569</v>
      </c>
      <c r="L430" s="594"/>
      <c r="M430" s="594"/>
      <c r="N430" s="268"/>
      <c r="O430" s="268"/>
      <c r="P430" s="268"/>
      <c r="Q430" s="268"/>
      <c r="R430" s="268"/>
      <c r="S430" s="268"/>
      <c r="T430" s="268"/>
      <c r="U430" s="268"/>
      <c r="V430" s="268"/>
      <c r="AF430" s="594" t="s">
        <v>810</v>
      </c>
      <c r="AG430" s="594"/>
      <c r="AH430" s="594"/>
      <c r="AI430" s="903">
        <f>AI428/$AI$307</f>
        <v>103.47392841692688</v>
      </c>
      <c r="AJ430" s="594"/>
      <c r="AK430" s="594" t="s">
        <v>810</v>
      </c>
    </row>
    <row r="431" spans="8:49">
      <c r="H431" s="268"/>
      <c r="I431" s="268"/>
      <c r="J431" s="268"/>
      <c r="K431" s="268"/>
      <c r="L431" s="268"/>
      <c r="M431" s="268"/>
      <c r="N431" s="268"/>
      <c r="O431" s="268"/>
      <c r="P431" s="268"/>
      <c r="Q431" s="268"/>
      <c r="R431" s="268"/>
      <c r="S431" s="268"/>
      <c r="T431" s="268"/>
      <c r="U431" s="268"/>
      <c r="V431" s="268"/>
      <c r="AF431" s="268"/>
      <c r="AG431" s="268"/>
      <c r="AH431" s="268"/>
      <c r="AI431" s="268"/>
      <c r="AJ431" s="268"/>
      <c r="AK431" s="268"/>
    </row>
    <row r="432" spans="8:49">
      <c r="H432" s="594"/>
      <c r="I432" s="594"/>
      <c r="J432" s="594" t="s">
        <v>999</v>
      </c>
      <c r="K432" s="903">
        <f>K428-K430</f>
        <v>4.3309932190414244</v>
      </c>
      <c r="L432" s="594"/>
      <c r="M432" s="594"/>
      <c r="N432" s="268"/>
      <c r="O432" s="268"/>
      <c r="P432" s="268"/>
      <c r="Q432" s="268"/>
      <c r="R432" s="268"/>
      <c r="S432" s="268"/>
      <c r="T432" s="268"/>
      <c r="U432" s="268"/>
      <c r="V432" s="268"/>
      <c r="AF432" s="594" t="s">
        <v>1085</v>
      </c>
      <c r="AG432" s="594"/>
      <c r="AH432" s="594"/>
      <c r="AI432" s="903">
        <f>ROUNDUP(AI430,0)</f>
        <v>104</v>
      </c>
      <c r="AJ432" s="594"/>
      <c r="AK432" s="594" t="s">
        <v>1085</v>
      </c>
      <c r="AU432" t="str">
        <f>AH424</f>
        <v>1/ec_0</v>
      </c>
      <c r="AV432" s="903">
        <f>AI432</f>
        <v>104</v>
      </c>
      <c r="AW432" s="903">
        <f>AQ432</f>
        <v>0</v>
      </c>
    </row>
    <row r="433" spans="7:49">
      <c r="H433" s="268"/>
      <c r="I433" s="268"/>
      <c r="J433" s="268"/>
      <c r="K433" s="268"/>
      <c r="L433" s="268"/>
      <c r="M433" s="268"/>
      <c r="N433" s="268"/>
      <c r="O433" s="268"/>
      <c r="P433" s="268"/>
      <c r="Q433" s="268"/>
      <c r="R433" s="268"/>
      <c r="S433" s="268"/>
      <c r="T433" s="268"/>
      <c r="U433" s="268"/>
      <c r="V433" s="268"/>
    </row>
    <row r="434" spans="7:49">
      <c r="H434" s="594"/>
      <c r="I434" s="594" t="s">
        <v>195</v>
      </c>
      <c r="J434" s="594" t="s">
        <v>1000</v>
      </c>
      <c r="K434" s="903">
        <f>K424/K432</f>
        <v>-0.11544695978782082</v>
      </c>
      <c r="L434" s="594"/>
      <c r="M434" s="594" t="s">
        <v>195</v>
      </c>
      <c r="N434" s="268"/>
      <c r="O434" s="268"/>
      <c r="P434" s="268"/>
      <c r="Q434" s="268"/>
      <c r="R434" s="268"/>
      <c r="S434" s="268"/>
      <c r="T434" s="268"/>
      <c r="U434" s="268"/>
      <c r="V434" s="268"/>
      <c r="AF434" s="325" t="s">
        <v>1103</v>
      </c>
      <c r="AG434" s="325"/>
      <c r="AH434" s="325" t="s">
        <v>1116</v>
      </c>
      <c r="AI434" s="657">
        <f>1/Y353</f>
        <v>2702.0501540090795</v>
      </c>
      <c r="AJ434" s="325"/>
      <c r="AK434" s="325"/>
    </row>
    <row r="435" spans="7:49">
      <c r="N435" s="268"/>
      <c r="O435" s="268"/>
      <c r="P435" s="268"/>
      <c r="Q435" s="268"/>
      <c r="R435" s="268"/>
      <c r="S435" s="268"/>
      <c r="T435" s="268"/>
      <c r="U435" s="268"/>
      <c r="V435" s="268"/>
    </row>
    <row r="436" spans="7:49">
      <c r="G436" s="903">
        <f>IF(K353&lt;=0.4,"NO",K353)</f>
        <v>0.5</v>
      </c>
      <c r="H436" s="897" t="s">
        <v>1121</v>
      </c>
      <c r="I436" s="594"/>
      <c r="J436" s="594" t="s">
        <v>1001</v>
      </c>
      <c r="K436" s="903">
        <f>K434*1.25</f>
        <v>-0.14430869973477603</v>
      </c>
      <c r="L436" s="594"/>
      <c r="M436" s="594"/>
      <c r="N436" s="268"/>
      <c r="O436" s="268"/>
      <c r="P436" s="268"/>
      <c r="Q436" s="268"/>
      <c r="R436" s="268"/>
      <c r="S436" s="268"/>
      <c r="T436" s="268"/>
      <c r="U436" s="268"/>
      <c r="V436" s="268"/>
      <c r="AF436" s="325"/>
      <c r="AG436" s="325"/>
      <c r="AH436" s="325" t="s">
        <v>1105</v>
      </c>
      <c r="AI436" s="657">
        <f>$AI$371*AI434</f>
        <v>3.5694189617028793E-4</v>
      </c>
      <c r="AJ436" s="325"/>
      <c r="AK436" s="325"/>
    </row>
    <row r="437" spans="7:49">
      <c r="N437" s="268"/>
      <c r="O437" s="268"/>
      <c r="P437" s="268"/>
      <c r="Q437" s="268"/>
      <c r="R437" s="268"/>
      <c r="S437" s="268"/>
      <c r="T437" s="268"/>
      <c r="U437" s="268"/>
      <c r="V437" s="268"/>
    </row>
    <row r="438" spans="7:49">
      <c r="H438" s="594"/>
      <c r="I438" s="594"/>
      <c r="J438" s="594" t="s">
        <v>1003</v>
      </c>
      <c r="K438" s="903">
        <f>K436*K359</f>
        <v>-0.78517051500796531</v>
      </c>
      <c r="L438" s="594"/>
      <c r="M438" s="594"/>
      <c r="N438" s="268"/>
      <c r="O438" s="268"/>
      <c r="P438" s="268"/>
      <c r="Q438" s="268"/>
      <c r="R438" s="268"/>
      <c r="S438" s="268"/>
      <c r="T438" s="268"/>
      <c r="U438" s="268"/>
      <c r="V438" s="268"/>
      <c r="AF438" s="594"/>
      <c r="AG438" s="594" t="s">
        <v>1082</v>
      </c>
      <c r="AH438" s="594"/>
      <c r="AI438" s="903">
        <f>$AI$369*AI436</f>
        <v>2.2564081966404759</v>
      </c>
      <c r="AJ438" s="594"/>
      <c r="AK438" s="594" t="s">
        <v>1082</v>
      </c>
    </row>
    <row r="439" spans="7:49">
      <c r="H439" s="268"/>
      <c r="I439" s="268"/>
      <c r="J439" s="268"/>
      <c r="K439" s="268"/>
      <c r="L439" s="268"/>
      <c r="M439" s="268"/>
      <c r="N439" s="268"/>
      <c r="O439" s="268"/>
      <c r="P439" s="268"/>
      <c r="Q439" s="268"/>
      <c r="R439" s="268"/>
      <c r="S439" s="268"/>
      <c r="T439" s="268"/>
      <c r="U439" s="268"/>
      <c r="V439" s="268"/>
      <c r="AF439" s="268"/>
      <c r="AG439" s="268"/>
      <c r="AH439" s="268"/>
      <c r="AI439" s="268"/>
      <c r="AJ439" s="268"/>
      <c r="AK439" s="268"/>
    </row>
    <row r="440" spans="7:49">
      <c r="H440" s="594"/>
      <c r="I440" s="594"/>
      <c r="J440" s="594">
        <v>1</v>
      </c>
      <c r="K440" s="903">
        <f>K438+J440</f>
        <v>0.21482948499203469</v>
      </c>
      <c r="L440" s="594"/>
      <c r="M440" s="594"/>
      <c r="N440" s="268"/>
      <c r="O440" s="268"/>
      <c r="P440" s="268"/>
      <c r="Q440" s="268"/>
      <c r="R440" s="268"/>
      <c r="S440" s="268"/>
      <c r="T440" s="268"/>
      <c r="U440" s="268"/>
      <c r="V440" s="268"/>
      <c r="AF440" s="594" t="s">
        <v>810</v>
      </c>
      <c r="AG440" s="594"/>
      <c r="AH440" s="594"/>
      <c r="AI440" s="903">
        <f>AI438/$AI$307</f>
        <v>112.82040983202378</v>
      </c>
      <c r="AJ440" s="594"/>
      <c r="AK440" s="594" t="s">
        <v>810</v>
      </c>
    </row>
    <row r="441" spans="7:49">
      <c r="H441" s="268"/>
      <c r="I441" s="268"/>
      <c r="J441" s="268"/>
      <c r="K441" s="268"/>
      <c r="L441" s="268"/>
      <c r="M441" s="268"/>
      <c r="N441" s="268"/>
      <c r="O441" s="268"/>
      <c r="P441" s="268"/>
      <c r="Q441" s="268"/>
      <c r="R441" s="268"/>
      <c r="S441" s="268"/>
      <c r="T441" s="268"/>
      <c r="U441" s="268"/>
      <c r="V441" s="268"/>
      <c r="AF441" s="268"/>
      <c r="AG441" s="268"/>
      <c r="AH441" s="268"/>
      <c r="AI441" s="268"/>
      <c r="AJ441" s="268"/>
      <c r="AK441" s="268"/>
    </row>
    <row r="442" spans="7:49">
      <c r="H442" s="594"/>
      <c r="I442" s="594"/>
      <c r="J442" s="594" t="s">
        <v>1004</v>
      </c>
      <c r="K442" s="903">
        <f>TAN(K436)</f>
        <v>-0.14531885811973866</v>
      </c>
      <c r="L442" s="594"/>
      <c r="M442" s="594"/>
      <c r="N442" s="268"/>
      <c r="O442" s="268"/>
      <c r="P442" s="268"/>
      <c r="Q442" s="268"/>
      <c r="R442" s="268"/>
      <c r="S442" s="268"/>
      <c r="T442" s="268"/>
      <c r="U442" s="268"/>
      <c r="V442" s="268"/>
      <c r="AF442" s="594" t="s">
        <v>1085</v>
      </c>
      <c r="AG442" s="594"/>
      <c r="AH442" s="594"/>
      <c r="AI442" s="903">
        <f>ROUNDUP(AI440,0)</f>
        <v>113</v>
      </c>
      <c r="AJ442" s="594"/>
      <c r="AK442" s="594" t="s">
        <v>1085</v>
      </c>
      <c r="AU442" t="str">
        <f>AH434</f>
        <v>1/ec,cyclic</v>
      </c>
      <c r="AV442" s="903">
        <f>AI442</f>
        <v>113</v>
      </c>
      <c r="AW442" s="903">
        <f>AQ442</f>
        <v>0</v>
      </c>
    </row>
    <row r="443" spans="7:49">
      <c r="H443" s="268"/>
      <c r="I443" s="268"/>
      <c r="J443" s="268"/>
      <c r="K443" s="268"/>
      <c r="L443" s="268"/>
      <c r="M443" s="268"/>
      <c r="N443" s="268"/>
      <c r="O443" s="268"/>
      <c r="P443" s="268"/>
      <c r="Q443" s="268"/>
      <c r="R443" s="268"/>
      <c r="S443" s="268"/>
      <c r="T443" s="268"/>
      <c r="U443" s="268"/>
      <c r="V443" s="268"/>
    </row>
    <row r="444" spans="7:49">
      <c r="H444" s="594"/>
      <c r="I444" s="594"/>
      <c r="J444" s="594" t="s">
        <v>1005</v>
      </c>
      <c r="K444" s="903">
        <f>K442*K430</f>
        <v>-0.55876525653331699</v>
      </c>
      <c r="L444" s="594"/>
      <c r="M444" s="594"/>
      <c r="N444" s="268"/>
      <c r="O444" s="268"/>
      <c r="P444" s="268"/>
      <c r="Q444" s="268"/>
      <c r="R444" s="268"/>
      <c r="S444" s="268"/>
      <c r="T444" s="268"/>
      <c r="U444" s="268"/>
      <c r="V444" s="268"/>
    </row>
    <row r="445" spans="7:49">
      <c r="H445" s="268"/>
      <c r="I445" s="268"/>
      <c r="J445" s="268"/>
      <c r="K445" s="268"/>
      <c r="L445" s="268"/>
      <c r="M445" s="268"/>
      <c r="N445" s="268"/>
      <c r="O445" s="268"/>
      <c r="P445" s="268"/>
      <c r="Q445" s="268"/>
      <c r="R445" s="268"/>
      <c r="S445" s="268"/>
      <c r="T445" s="268"/>
      <c r="U445" s="268"/>
      <c r="V445" s="268"/>
    </row>
    <row r="446" spans="7:49">
      <c r="H446" s="594"/>
      <c r="I446" s="594" t="s">
        <v>1122</v>
      </c>
      <c r="J446" s="594" t="s">
        <v>1123</v>
      </c>
      <c r="K446" s="903">
        <f>K440-K444</f>
        <v>0.77359474152535168</v>
      </c>
      <c r="L446" s="594"/>
      <c r="M446" s="594" t="s">
        <v>1122</v>
      </c>
      <c r="N446" s="268"/>
      <c r="O446" s="268"/>
      <c r="P446" s="268"/>
      <c r="Q446" s="268"/>
      <c r="R446" s="268"/>
      <c r="S446" s="268"/>
      <c r="T446" s="268"/>
      <c r="U446" s="268"/>
      <c r="V446" s="268"/>
    </row>
    <row r="447" spans="7:49">
      <c r="N447" s="268"/>
      <c r="O447" s="268"/>
      <c r="P447" s="268"/>
      <c r="Q447" s="268"/>
      <c r="R447" s="268"/>
      <c r="S447" s="268"/>
      <c r="T447" s="268"/>
      <c r="U447" s="268"/>
      <c r="V447" s="268"/>
    </row>
    <row r="448" spans="7:49">
      <c r="H448" s="594"/>
      <c r="I448" s="594"/>
      <c r="J448" s="594" t="s">
        <v>976</v>
      </c>
      <c r="K448" s="903">
        <f>K422*K418</f>
        <v>4.9340210852608004E-4</v>
      </c>
      <c r="L448" s="594"/>
      <c r="M448" s="594"/>
      <c r="N448" s="268"/>
      <c r="O448" s="268"/>
      <c r="P448" s="268"/>
      <c r="Q448" s="268"/>
      <c r="R448" s="268"/>
      <c r="S448" s="268"/>
      <c r="T448" s="268"/>
      <c r="U448" s="268"/>
      <c r="V448" s="268"/>
    </row>
    <row r="449" spans="8:37">
      <c r="H449" s="268"/>
      <c r="I449" s="268"/>
      <c r="J449" s="268"/>
      <c r="K449" s="268"/>
      <c r="L449" s="268"/>
      <c r="M449" s="268"/>
      <c r="N449" s="268"/>
      <c r="O449" s="268"/>
      <c r="P449" s="268"/>
      <c r="Q449" s="268"/>
      <c r="R449" s="268"/>
      <c r="S449" s="268"/>
      <c r="T449" s="268"/>
      <c r="U449" s="268"/>
      <c r="V449" s="268"/>
    </row>
    <row r="450" spans="8:37">
      <c r="H450" s="594" t="s">
        <v>985</v>
      </c>
      <c r="I450" s="594" t="s">
        <v>981</v>
      </c>
      <c r="J450" s="933" t="s">
        <v>1112</v>
      </c>
      <c r="K450" s="903">
        <f>(K448-ABS(K357))</f>
        <v>4.7840210852608005E-4</v>
      </c>
      <c r="L450" s="594"/>
      <c r="M450" s="594" t="s">
        <v>981</v>
      </c>
      <c r="N450" s="268"/>
      <c r="O450" s="268"/>
      <c r="P450" s="268"/>
      <c r="Q450" s="268"/>
      <c r="R450" s="268"/>
      <c r="S450" s="268"/>
      <c r="T450" s="268"/>
      <c r="U450" s="268"/>
      <c r="V450" s="268"/>
    </row>
    <row r="451" spans="8:37">
      <c r="N451" s="268"/>
      <c r="O451" s="268"/>
      <c r="P451" s="268"/>
      <c r="Q451" s="268"/>
      <c r="R451" s="268"/>
      <c r="S451" s="268"/>
      <c r="T451" s="268"/>
      <c r="U451" s="268"/>
      <c r="V451" s="268"/>
    </row>
    <row r="452" spans="8:37">
      <c r="H452" s="594" t="s">
        <v>1113</v>
      </c>
      <c r="I452" s="897" t="s">
        <v>938</v>
      </c>
      <c r="J452" s="594" t="s">
        <v>986</v>
      </c>
      <c r="K452" s="903">
        <f>K446*K450</f>
        <v>3.7008935549041617E-4</v>
      </c>
      <c r="L452" s="594"/>
      <c r="M452" s="897" t="s">
        <v>1115</v>
      </c>
      <c r="N452" s="268"/>
      <c r="O452" s="268"/>
      <c r="P452" s="268"/>
      <c r="Q452" s="268"/>
      <c r="R452" s="268"/>
      <c r="S452" s="268"/>
      <c r="T452" s="268"/>
      <c r="U452" s="268"/>
      <c r="V452" s="268"/>
    </row>
    <row r="453" spans="8:37">
      <c r="N453" s="268"/>
      <c r="O453" s="268"/>
      <c r="P453" s="268"/>
      <c r="Q453" s="268"/>
      <c r="R453" s="268"/>
      <c r="S453" s="268"/>
      <c r="T453" s="268"/>
      <c r="U453" s="268"/>
      <c r="V453" s="268"/>
    </row>
    <row r="454" spans="8:37">
      <c r="N454" s="268"/>
      <c r="O454" s="268"/>
      <c r="P454" s="268"/>
      <c r="Q454" s="268"/>
      <c r="R454" s="268"/>
      <c r="S454" s="268"/>
      <c r="T454" s="268"/>
      <c r="U454" s="268"/>
      <c r="V454" s="268"/>
    </row>
    <row r="455" spans="8:37">
      <c r="H455" s="1283" t="s">
        <v>1124</v>
      </c>
      <c r="I455" s="1381"/>
      <c r="J455" s="1381"/>
      <c r="K455" s="1381"/>
      <c r="L455" s="1381"/>
      <c r="M455" s="1284"/>
      <c r="N455" s="268"/>
      <c r="O455" s="268"/>
      <c r="P455" s="268"/>
      <c r="Q455" s="268"/>
      <c r="R455" s="268"/>
      <c r="S455" s="268"/>
      <c r="T455" s="268"/>
      <c r="U455" s="268"/>
      <c r="V455" s="268"/>
      <c r="AF455" s="1283" t="str">
        <f>H455</f>
        <v>ISO 24817 Performance Testing</v>
      </c>
      <c r="AG455" s="1381"/>
      <c r="AH455" s="1381"/>
      <c r="AI455" s="1381"/>
      <c r="AJ455" s="1381"/>
      <c r="AK455" s="1284"/>
    </row>
    <row r="456" spans="8:37">
      <c r="H456" s="900" t="s">
        <v>1125</v>
      </c>
      <c r="I456" s="900"/>
      <c r="J456" s="900" t="s">
        <v>1126</v>
      </c>
      <c r="K456" s="939">
        <f>M321*M280</f>
        <v>6427.8641379310338</v>
      </c>
      <c r="L456" s="900"/>
      <c r="M456" s="900"/>
      <c r="N456" s="268"/>
      <c r="O456" s="268"/>
      <c r="P456" s="268"/>
      <c r="Q456" s="268"/>
      <c r="R456" s="268"/>
      <c r="S456" s="268"/>
      <c r="T456" s="268"/>
      <c r="U456" s="268"/>
      <c r="V456" s="268"/>
      <c r="AF456" s="325" t="s">
        <v>1103</v>
      </c>
      <c r="AG456" s="325"/>
      <c r="AH456" s="325" t="s">
        <v>1127</v>
      </c>
      <c r="AI456" s="657">
        <f>1/Y358</f>
        <v>5209.7919977499641</v>
      </c>
      <c r="AJ456" s="325"/>
      <c r="AK456" s="325"/>
    </row>
    <row r="457" spans="8:37">
      <c r="H457" s="268"/>
      <c r="I457" s="268"/>
      <c r="J457" s="268"/>
      <c r="K457" s="268"/>
      <c r="L457" s="268"/>
      <c r="M457" s="268"/>
      <c r="N457" s="268"/>
      <c r="O457" s="268"/>
      <c r="P457" s="268"/>
      <c r="Q457" s="268"/>
      <c r="R457" s="268"/>
      <c r="S457" s="268"/>
      <c r="T457" s="268"/>
      <c r="U457" s="268"/>
      <c r="V457" s="268"/>
    </row>
    <row r="458" spans="8:37">
      <c r="H458" s="594"/>
      <c r="I458" s="594"/>
      <c r="J458" s="594" t="s">
        <v>1128</v>
      </c>
      <c r="K458" s="903">
        <f>M299*M323</f>
        <v>138415.84898850485</v>
      </c>
      <c r="L458" s="594"/>
      <c r="M458" s="594"/>
      <c r="N458" s="268"/>
      <c r="O458" s="268"/>
      <c r="P458" s="268"/>
      <c r="Q458" s="268"/>
      <c r="R458" s="268"/>
      <c r="S458" s="268"/>
      <c r="T458" s="268"/>
      <c r="U458" s="268"/>
      <c r="V458" s="268"/>
      <c r="AF458" s="325"/>
      <c r="AG458" s="325"/>
      <c r="AH458" s="325" t="s">
        <v>1105</v>
      </c>
      <c r="AI458" s="657">
        <f>$AI$371*AI456</f>
        <v>6.8821558754953295E-4</v>
      </c>
      <c r="AJ458" s="325"/>
      <c r="AK458" s="325"/>
    </row>
    <row r="459" spans="8:37">
      <c r="H459" s="268"/>
      <c r="I459" s="268"/>
      <c r="J459" s="268"/>
      <c r="K459" s="268"/>
      <c r="L459" s="268"/>
      <c r="M459" s="268"/>
      <c r="N459" s="268"/>
      <c r="O459" s="268"/>
      <c r="P459" s="268"/>
      <c r="Q459" s="268"/>
      <c r="R459" s="268"/>
      <c r="S459" s="268"/>
      <c r="T459" s="268"/>
      <c r="U459" s="268"/>
      <c r="V459" s="268"/>
    </row>
    <row r="460" spans="8:37">
      <c r="H460" s="594"/>
      <c r="I460" s="594"/>
      <c r="J460" s="594" t="s">
        <v>1129</v>
      </c>
      <c r="K460" s="903">
        <f>M301*M325</f>
        <v>1313793.1034482759</v>
      </c>
      <c r="L460" s="594"/>
      <c r="M460" s="594"/>
      <c r="N460" s="268"/>
      <c r="O460" s="268"/>
      <c r="P460" s="268"/>
      <c r="Q460" s="268"/>
      <c r="R460" s="268"/>
      <c r="S460" s="268"/>
      <c r="T460" s="268"/>
      <c r="U460" s="268"/>
      <c r="V460" s="268"/>
      <c r="AF460" s="594"/>
      <c r="AG460" s="594" t="s">
        <v>1082</v>
      </c>
      <c r="AH460" s="594"/>
      <c r="AI460" s="903">
        <f>$AI$369*AI458</f>
        <v>4.350554836694374</v>
      </c>
      <c r="AJ460" s="594"/>
      <c r="AK460" s="594" t="s">
        <v>1082</v>
      </c>
    </row>
    <row r="461" spans="8:37">
      <c r="H461" s="268"/>
      <c r="I461" s="268"/>
      <c r="J461" s="268"/>
      <c r="K461" s="268"/>
      <c r="L461" s="268"/>
      <c r="M461" s="268"/>
      <c r="N461" s="268"/>
      <c r="O461" s="268"/>
      <c r="P461" s="268"/>
      <c r="Q461" s="268"/>
      <c r="R461" s="268"/>
      <c r="S461" s="268"/>
      <c r="T461" s="268"/>
      <c r="U461" s="268"/>
      <c r="V461" s="268"/>
      <c r="AF461" s="268"/>
      <c r="AG461" s="268"/>
      <c r="AH461" s="268"/>
      <c r="AI461" s="268"/>
      <c r="AJ461" s="268"/>
      <c r="AK461" s="268"/>
    </row>
    <row r="462" spans="8:37">
      <c r="H462" s="594"/>
      <c r="I462" s="594"/>
      <c r="J462" s="594" t="s">
        <v>1130</v>
      </c>
      <c r="K462" s="903">
        <f>(K458+K460)*2</f>
        <v>2904417.9048735616</v>
      </c>
      <c r="L462" s="594"/>
      <c r="M462" s="594"/>
      <c r="N462" s="268"/>
      <c r="O462" s="268"/>
      <c r="P462" s="268"/>
      <c r="Q462" s="268"/>
      <c r="R462" s="268"/>
      <c r="S462" s="268"/>
      <c r="T462" s="268"/>
      <c r="U462" s="268"/>
      <c r="V462" s="268"/>
      <c r="AF462" s="594" t="s">
        <v>810</v>
      </c>
      <c r="AG462" s="594"/>
      <c r="AH462" s="594"/>
      <c r="AI462" s="903">
        <f>AI460/$AI$307</f>
        <v>217.52774183471871</v>
      </c>
      <c r="AJ462" s="594"/>
      <c r="AK462" s="594" t="s">
        <v>810</v>
      </c>
    </row>
    <row r="463" spans="8:37">
      <c r="H463" s="268"/>
      <c r="I463" s="268"/>
      <c r="J463" s="268"/>
      <c r="K463" s="268"/>
      <c r="L463" s="268"/>
      <c r="M463" s="268"/>
      <c r="N463" s="268"/>
      <c r="O463" s="268"/>
      <c r="P463" s="268"/>
      <c r="Q463" s="268"/>
      <c r="R463" s="268"/>
      <c r="S463" s="268"/>
      <c r="T463" s="268"/>
      <c r="U463" s="268"/>
      <c r="V463" s="268"/>
      <c r="AF463" s="268"/>
      <c r="AG463" s="268"/>
      <c r="AH463" s="268"/>
      <c r="AI463" s="268"/>
      <c r="AJ463" s="268"/>
      <c r="AK463" s="268"/>
    </row>
    <row r="464" spans="8:37">
      <c r="H464" s="594" t="s">
        <v>1131</v>
      </c>
      <c r="I464" s="594" t="s">
        <v>1132</v>
      </c>
      <c r="J464" s="594"/>
      <c r="K464" s="903">
        <f>K456/K462</f>
        <v>2.2131333535525973E-3</v>
      </c>
      <c r="L464" s="594"/>
      <c r="M464" s="594" t="s">
        <v>1132</v>
      </c>
      <c r="N464" s="268"/>
      <c r="O464" s="268"/>
      <c r="P464" s="268"/>
      <c r="Q464" s="268"/>
      <c r="R464" s="268"/>
      <c r="S464" s="268"/>
      <c r="T464" s="268"/>
      <c r="U464" s="268"/>
      <c r="V464" s="268"/>
      <c r="AF464" s="594" t="s">
        <v>1085</v>
      </c>
      <c r="AG464" s="594"/>
      <c r="AH464" s="594"/>
      <c r="AI464" s="903">
        <f>ROUNDUP(AI462,0)</f>
        <v>218</v>
      </c>
      <c r="AJ464" s="594"/>
      <c r="AK464" s="594" t="s">
        <v>1085</v>
      </c>
    </row>
    <row r="465" spans="8:49">
      <c r="H465" s="268"/>
      <c r="I465" s="268"/>
      <c r="J465" s="268"/>
      <c r="K465" s="268"/>
      <c r="L465" s="268"/>
      <c r="M465" s="268"/>
      <c r="N465" s="268"/>
      <c r="O465" s="268"/>
      <c r="P465" s="268"/>
      <c r="Q465" s="268"/>
      <c r="R465" s="268"/>
      <c r="S465" s="268"/>
      <c r="T465" s="268"/>
      <c r="U465" s="268"/>
      <c r="V465" s="268"/>
    </row>
    <row r="466" spans="8:49">
      <c r="H466" s="594" t="s">
        <v>1133</v>
      </c>
      <c r="I466" s="594"/>
      <c r="J466" s="594" t="s">
        <v>1134</v>
      </c>
      <c r="K466" s="903">
        <f>(M321*M280)/2</f>
        <v>3213.9320689655169</v>
      </c>
      <c r="L466" s="594"/>
      <c r="M466" s="594"/>
      <c r="N466" s="268"/>
      <c r="O466" s="268"/>
      <c r="P466" s="268"/>
      <c r="Q466" s="268"/>
      <c r="R466" s="268"/>
      <c r="S466" s="268"/>
      <c r="T466" s="268"/>
      <c r="U466" s="268"/>
      <c r="V466" s="268"/>
      <c r="AF466" s="325" t="s">
        <v>1103</v>
      </c>
      <c r="AG466" s="325"/>
      <c r="AH466" s="325" t="s">
        <v>1135</v>
      </c>
      <c r="AI466" s="657">
        <f>1/Y363</f>
        <v>1860.3548861154813</v>
      </c>
      <c r="AJ466" s="325"/>
      <c r="AK466" s="325"/>
    </row>
    <row r="467" spans="8:49">
      <c r="H467" s="268"/>
      <c r="I467" s="268"/>
      <c r="J467" s="268"/>
      <c r="K467" s="268"/>
      <c r="L467" s="268"/>
      <c r="M467" s="268"/>
    </row>
    <row r="468" spans="8:49">
      <c r="H468" s="594"/>
      <c r="I468" s="594"/>
      <c r="J468" s="594" t="s">
        <v>1128</v>
      </c>
      <c r="K468" s="903">
        <f>M299*M323</f>
        <v>138415.84898850485</v>
      </c>
      <c r="L468" s="594"/>
      <c r="M468" s="594"/>
      <c r="AF468" s="325"/>
      <c r="AG468" s="325"/>
      <c r="AH468" s="325" t="s">
        <v>1105</v>
      </c>
      <c r="AI468" s="657">
        <f>$AI$371*AI466</f>
        <v>2.4575361771670822E-4</v>
      </c>
      <c r="AJ468" s="325"/>
      <c r="AK468" s="325"/>
    </row>
    <row r="469" spans="8:49">
      <c r="H469" s="268"/>
      <c r="I469" s="268"/>
      <c r="J469" s="268"/>
      <c r="K469" s="268"/>
      <c r="L469" s="268"/>
      <c r="M469" s="268"/>
    </row>
    <row r="470" spans="8:49">
      <c r="H470" s="594"/>
      <c r="I470" s="594"/>
      <c r="J470" s="594" t="s">
        <v>1136</v>
      </c>
      <c r="K470" s="903">
        <f>M327*M325</f>
        <v>2356.0689655172414</v>
      </c>
      <c r="L470" s="594"/>
      <c r="M470" s="594"/>
      <c r="AF470" s="594"/>
      <c r="AG470" s="594" t="s">
        <v>1082</v>
      </c>
      <c r="AH470" s="594"/>
      <c r="AI470" s="903">
        <f>$AI$369*AI468</f>
        <v>1.5535314943961716</v>
      </c>
      <c r="AJ470" s="594"/>
      <c r="AK470" s="594" t="s">
        <v>1082</v>
      </c>
    </row>
    <row r="471" spans="8:49">
      <c r="H471" s="268"/>
      <c r="I471" s="268"/>
      <c r="J471" s="268"/>
      <c r="K471" s="268"/>
      <c r="L471" s="268"/>
      <c r="M471" s="268"/>
      <c r="AF471" s="268"/>
      <c r="AG471" s="268"/>
      <c r="AH471" s="268"/>
      <c r="AI471" s="268"/>
      <c r="AJ471" s="268"/>
      <c r="AK471" s="268"/>
    </row>
    <row r="472" spans="8:49">
      <c r="H472" s="594"/>
      <c r="I472" s="594"/>
      <c r="J472" s="594" t="s">
        <v>370</v>
      </c>
      <c r="K472" s="903">
        <f>(K466-K470)</f>
        <v>857.86310344827552</v>
      </c>
      <c r="L472" s="594"/>
      <c r="M472" s="594"/>
      <c r="AF472" s="594" t="s">
        <v>810</v>
      </c>
      <c r="AG472" s="594"/>
      <c r="AH472" s="594"/>
      <c r="AI472" s="903">
        <f>AI470/$AI$307</f>
        <v>77.676574719808571</v>
      </c>
      <c r="AJ472" s="594"/>
      <c r="AK472" s="594" t="s">
        <v>810</v>
      </c>
    </row>
    <row r="473" spans="8:49">
      <c r="H473" s="268"/>
      <c r="I473" s="268"/>
      <c r="J473" s="268"/>
      <c r="K473" s="268"/>
      <c r="L473" s="268"/>
      <c r="M473" s="268"/>
      <c r="AF473" s="268"/>
      <c r="AG473" s="268"/>
      <c r="AH473" s="268"/>
      <c r="AI473" s="268"/>
      <c r="AJ473" s="268"/>
      <c r="AK473" s="268"/>
    </row>
    <row r="474" spans="8:49">
      <c r="H474" s="594" t="s">
        <v>1131</v>
      </c>
      <c r="I474" s="594" t="s">
        <v>1137</v>
      </c>
      <c r="J474" s="594"/>
      <c r="K474" s="903">
        <f>K472/K468</f>
        <v>6.1977230910856117E-3</v>
      </c>
      <c r="L474" s="594"/>
      <c r="M474" s="594" t="s">
        <v>1137</v>
      </c>
      <c r="AF474" s="594" t="s">
        <v>1085</v>
      </c>
      <c r="AG474" s="594"/>
      <c r="AH474" s="594"/>
      <c r="AI474" s="903">
        <f>ROUNDUP(AI472,0)</f>
        <v>78</v>
      </c>
      <c r="AJ474" s="594"/>
      <c r="AK474" s="594" t="s">
        <v>1085</v>
      </c>
      <c r="AU474" t="str">
        <f>AH466</f>
        <v>1/ec,perf,yielded</v>
      </c>
      <c r="AV474" s="903">
        <f>AI474</f>
        <v>78</v>
      </c>
      <c r="AW474" s="903">
        <f>AQ474</f>
        <v>0</v>
      </c>
    </row>
    <row r="476" spans="8:49">
      <c r="H476" s="594" t="s">
        <v>1138</v>
      </c>
      <c r="I476" s="594" t="s">
        <v>1139</v>
      </c>
      <c r="J476" s="594"/>
      <c r="K476" s="903">
        <f>0.612*POWER(10,(-0.0043*K416))</f>
        <v>8.4479516993696518E-2</v>
      </c>
      <c r="L476" s="594"/>
      <c r="M476" s="594" t="s">
        <v>1139</v>
      </c>
      <c r="AF476" s="325" t="s">
        <v>1103</v>
      </c>
      <c r="AG476" s="325"/>
      <c r="AH476" s="325" t="s">
        <v>1140</v>
      </c>
      <c r="AI476" s="657">
        <f>1/Y360</f>
        <v>451.84805443140868</v>
      </c>
      <c r="AJ476" s="325"/>
      <c r="AK476" s="325"/>
      <c r="AN476" s="325" t="s">
        <v>1078</v>
      </c>
      <c r="AO476" s="325"/>
      <c r="AP476" s="325" t="s">
        <v>1141</v>
      </c>
      <c r="AQ476" s="657">
        <f>Y360*$AI$299</f>
        <v>16753.419486393163</v>
      </c>
      <c r="AR476" s="325"/>
      <c r="AS476" s="325"/>
    </row>
    <row r="477" spans="8:49">
      <c r="H477" s="268"/>
      <c r="I477" s="268"/>
      <c r="J477" s="268"/>
      <c r="K477" s="268"/>
      <c r="L477" s="268"/>
      <c r="M477" s="268"/>
    </row>
    <row r="478" spans="8:49">
      <c r="H478" s="594"/>
      <c r="I478" s="594"/>
      <c r="J478" s="594" t="s">
        <v>1142</v>
      </c>
      <c r="K478" s="903">
        <f>K313-K319</f>
        <v>11.284829999999999</v>
      </c>
      <c r="L478" s="594" t="s">
        <v>779</v>
      </c>
      <c r="M478" s="594"/>
      <c r="AF478" s="325"/>
      <c r="AG478" s="325"/>
      <c r="AH478" s="325" t="s">
        <v>1143</v>
      </c>
      <c r="AI478" s="657">
        <f>$AI$371*AI476</f>
        <v>5.9689307058310267E-5</v>
      </c>
      <c r="AJ478" s="325"/>
      <c r="AK478" s="325"/>
      <c r="AN478" s="325"/>
      <c r="AO478" s="325"/>
      <c r="AP478" s="325" t="s">
        <v>1144</v>
      </c>
      <c r="AQ478" s="657">
        <f>1/($AI$317*AQ476)</f>
        <v>1.1937861411662052E-4</v>
      </c>
      <c r="AR478" s="325"/>
      <c r="AS478" s="325"/>
    </row>
    <row r="480" spans="8:49">
      <c r="H480" s="689" t="s">
        <v>1145</v>
      </c>
      <c r="I480" s="325"/>
      <c r="J480" s="325" t="s">
        <v>1146</v>
      </c>
      <c r="K480" s="942">
        <f>K346-K478</f>
        <v>70.715170000000001</v>
      </c>
      <c r="L480" s="325"/>
      <c r="M480" s="325"/>
      <c r="AF480" s="594"/>
      <c r="AG480" s="594" t="s">
        <v>1082</v>
      </c>
      <c r="AH480" s="594"/>
      <c r="AI480" s="903">
        <f>$AI$369*AI478</f>
        <v>0.37732595456910845</v>
      </c>
      <c r="AJ480" s="594"/>
      <c r="AK480" s="594" t="s">
        <v>1082</v>
      </c>
      <c r="AN480" s="594"/>
      <c r="AO480" s="594" t="s">
        <v>1082</v>
      </c>
      <c r="AP480" s="594"/>
      <c r="AQ480" s="903">
        <f>$AI$369*AQ478</f>
        <v>0.75465190913821678</v>
      </c>
      <c r="AR480" s="594"/>
      <c r="AS480" s="594" t="s">
        <v>1082</v>
      </c>
      <c r="AT480" s="268"/>
    </row>
    <row r="481" spans="8:49">
      <c r="H481" s="268"/>
      <c r="I481" s="268"/>
      <c r="J481" s="268"/>
      <c r="K481" s="268"/>
      <c r="L481" s="268"/>
      <c r="M481" s="268"/>
      <c r="AF481" s="268"/>
      <c r="AG481" s="268"/>
      <c r="AH481" s="268"/>
      <c r="AI481" s="268"/>
      <c r="AJ481" s="268"/>
      <c r="AK481" s="268"/>
      <c r="AN481" s="268"/>
      <c r="AO481" s="268"/>
      <c r="AP481" s="268"/>
      <c r="AQ481" s="268"/>
      <c r="AR481" s="268"/>
      <c r="AS481" s="268"/>
      <c r="AT481" s="268"/>
    </row>
    <row r="482" spans="8:49">
      <c r="H482" s="594"/>
      <c r="I482" s="594"/>
      <c r="J482" s="594"/>
      <c r="K482" s="903">
        <f>POWER(K480,2)</f>
        <v>5000.6352681289</v>
      </c>
      <c r="L482" s="594"/>
      <c r="M482" s="594"/>
      <c r="AF482" s="594" t="s">
        <v>810</v>
      </c>
      <c r="AG482" s="594"/>
      <c r="AH482" s="594"/>
      <c r="AI482" s="903">
        <f>AI480/$AI$307</f>
        <v>18.866297728455422</v>
      </c>
      <c r="AJ482" s="594"/>
      <c r="AK482" s="594" t="s">
        <v>810</v>
      </c>
      <c r="AN482" s="594" t="s">
        <v>810</v>
      </c>
      <c r="AO482" s="594"/>
      <c r="AP482" s="594"/>
      <c r="AQ482" s="903">
        <f>AQ480/$AI$307</f>
        <v>37.732595456910836</v>
      </c>
      <c r="AR482" s="594"/>
      <c r="AS482" s="594" t="s">
        <v>810</v>
      </c>
      <c r="AT482" s="268"/>
    </row>
    <row r="483" spans="8:49">
      <c r="H483" s="268"/>
      <c r="I483" s="268"/>
      <c r="J483" s="268"/>
      <c r="K483" s="268"/>
      <c r="L483" s="268"/>
      <c r="M483" s="268"/>
      <c r="AF483" s="268"/>
      <c r="AG483" s="268"/>
      <c r="AH483" s="268"/>
      <c r="AI483" s="268"/>
      <c r="AJ483" s="268"/>
      <c r="AK483" s="268"/>
      <c r="AN483" s="268"/>
      <c r="AO483" s="268"/>
      <c r="AP483" s="268"/>
      <c r="AQ483" s="268"/>
      <c r="AR483" s="268"/>
      <c r="AS483" s="268"/>
      <c r="AT483" s="268"/>
    </row>
    <row r="484" spans="8:49">
      <c r="H484" s="594"/>
      <c r="I484" s="824"/>
      <c r="J484" s="492">
        <v>6.2500000000000001E-5</v>
      </c>
      <c r="K484" s="943">
        <f>J484*K482</f>
        <v>0.31253970425805627</v>
      </c>
      <c r="L484" s="594"/>
      <c r="M484" s="594"/>
      <c r="AF484" s="594" t="s">
        <v>1085</v>
      </c>
      <c r="AG484" s="594"/>
      <c r="AH484" s="594"/>
      <c r="AI484" s="903">
        <f>ROUNDUP(AI482,0)</f>
        <v>19</v>
      </c>
      <c r="AJ484" s="594"/>
      <c r="AK484" s="594" t="s">
        <v>1085</v>
      </c>
      <c r="AN484" s="594" t="s">
        <v>1085</v>
      </c>
      <c r="AO484" s="594"/>
      <c r="AP484" s="594"/>
      <c r="AQ484" s="903">
        <f>ROUNDUP(AQ482,0)</f>
        <v>38</v>
      </c>
      <c r="AR484" s="594"/>
      <c r="AS484" s="594" t="s">
        <v>1085</v>
      </c>
      <c r="AT484" s="268"/>
      <c r="AU484" t="str">
        <f>AH476</f>
        <v>1/elt,notyielded</v>
      </c>
      <c r="AV484" s="903">
        <f>AI484</f>
        <v>19</v>
      </c>
      <c r="AW484" s="903">
        <f>AQ484</f>
        <v>38</v>
      </c>
    </row>
    <row r="485" spans="8:49">
      <c r="H485" s="268"/>
      <c r="I485" s="268"/>
      <c r="J485" s="268"/>
      <c r="K485" s="268"/>
      <c r="L485" s="268"/>
      <c r="M485" s="268"/>
    </row>
    <row r="486" spans="8:49">
      <c r="H486" s="594"/>
      <c r="I486" s="594"/>
      <c r="J486" s="594">
        <v>1.25E-3</v>
      </c>
      <c r="K486" s="903">
        <f>J486*K478</f>
        <v>1.41060375E-2</v>
      </c>
      <c r="L486" s="594"/>
      <c r="M486" s="594"/>
      <c r="AF486" s="325" t="s">
        <v>1103</v>
      </c>
      <c r="AG486" s="325"/>
      <c r="AH486" s="325" t="s">
        <v>1147</v>
      </c>
      <c r="AI486" s="657">
        <f>1/Y365</f>
        <v>161.34957714363406</v>
      </c>
      <c r="AJ486" s="325"/>
      <c r="AK486" s="325"/>
      <c r="AN486" s="325" t="s">
        <v>1078</v>
      </c>
      <c r="AO486" s="325"/>
      <c r="AP486" s="325" t="s">
        <v>1148</v>
      </c>
      <c r="AQ486" s="657">
        <f>Y365*$AI$299</f>
        <v>46916.763799518078</v>
      </c>
      <c r="AR486" s="325"/>
      <c r="AS486" s="325"/>
    </row>
    <row r="487" spans="8:49">
      <c r="H487" s="268"/>
      <c r="I487" s="268"/>
      <c r="J487" s="268"/>
      <c r="K487" s="268"/>
      <c r="L487" s="268"/>
      <c r="M487" s="268"/>
    </row>
    <row r="488" spans="8:49">
      <c r="H488" s="689"/>
      <c r="I488" s="594" t="s">
        <v>1149</v>
      </c>
      <c r="J488" s="594">
        <v>0.7</v>
      </c>
      <c r="K488" s="903">
        <f>K484+K486+J488</f>
        <v>1.0266457417580561</v>
      </c>
      <c r="L488" s="594"/>
      <c r="M488" s="594" t="s">
        <v>1149</v>
      </c>
      <c r="AF488" s="325"/>
      <c r="AG488" s="325"/>
      <c r="AH488" s="325" t="s">
        <v>1143</v>
      </c>
      <c r="AI488" s="657">
        <f>$AI$371*AI486</f>
        <v>2.1314343083703313E-5</v>
      </c>
      <c r="AJ488" s="325"/>
      <c r="AK488" s="325"/>
      <c r="AN488" s="325"/>
      <c r="AO488" s="325"/>
      <c r="AP488" s="325" t="s">
        <v>1144</v>
      </c>
      <c r="AQ488" s="657">
        <f>1/($AI$317*AQ486)</f>
        <v>4.2628686167406618E-5</v>
      </c>
      <c r="AR488" s="325"/>
      <c r="AS488" s="325"/>
    </row>
    <row r="489" spans="8:49">
      <c r="H489" s="268"/>
      <c r="I489" s="268"/>
      <c r="J489" s="268"/>
      <c r="K489" s="268"/>
      <c r="L489" s="268"/>
      <c r="M489" s="268"/>
    </row>
    <row r="490" spans="8:49">
      <c r="H490" s="594"/>
      <c r="I490" s="594" t="s">
        <v>1150</v>
      </c>
      <c r="J490" s="594"/>
      <c r="K490" s="903">
        <f>K476*K488*K464</f>
        <v>1.9194624285036446E-4</v>
      </c>
      <c r="L490" s="594"/>
      <c r="M490" s="594" t="s">
        <v>1150</v>
      </c>
      <c r="AF490" s="594"/>
      <c r="AG490" s="594" t="s">
        <v>1082</v>
      </c>
      <c r="AH490" s="594"/>
      <c r="AI490" s="903">
        <f>$AI$369*AI488</f>
        <v>0.13473861980363053</v>
      </c>
      <c r="AJ490" s="594"/>
      <c r="AK490" s="594" t="s">
        <v>1082</v>
      </c>
      <c r="AN490" s="594"/>
      <c r="AO490" s="594" t="s">
        <v>1082</v>
      </c>
      <c r="AP490" s="594"/>
      <c r="AQ490" s="903">
        <f>$AI$369*AQ488</f>
        <v>0.269477239607261</v>
      </c>
      <c r="AR490" s="594"/>
      <c r="AS490" s="594" t="s">
        <v>1082</v>
      </c>
      <c r="AT490" s="268"/>
    </row>
    <row r="491" spans="8:49">
      <c r="H491" s="268"/>
      <c r="I491" s="268"/>
      <c r="J491" s="268"/>
      <c r="K491" s="268"/>
      <c r="L491" s="268"/>
      <c r="M491" s="268"/>
      <c r="AF491" s="268"/>
      <c r="AG491" s="268"/>
      <c r="AH491" s="268"/>
      <c r="AI491" s="268"/>
      <c r="AJ491" s="268"/>
      <c r="AK491" s="268"/>
      <c r="AN491" s="268"/>
      <c r="AO491" s="268"/>
      <c r="AP491" s="268"/>
      <c r="AQ491" s="268"/>
      <c r="AR491" s="268"/>
      <c r="AS491" s="268"/>
      <c r="AT491" s="268"/>
    </row>
    <row r="492" spans="8:49">
      <c r="H492" s="594"/>
      <c r="I492" s="594" t="s">
        <v>1151</v>
      </c>
      <c r="J492" s="594"/>
      <c r="K492" s="903">
        <f>K476*K488*K474</f>
        <v>5.3753184807015636E-4</v>
      </c>
      <c r="L492" s="594"/>
      <c r="M492" s="594" t="s">
        <v>1151</v>
      </c>
      <c r="AF492" s="594" t="s">
        <v>810</v>
      </c>
      <c r="AG492" s="594"/>
      <c r="AH492" s="594"/>
      <c r="AI492" s="903">
        <f>AI490/$AI$307</f>
        <v>6.7369309901815262</v>
      </c>
      <c r="AJ492" s="594"/>
      <c r="AK492" s="594" t="s">
        <v>810</v>
      </c>
      <c r="AN492" s="594" t="s">
        <v>810</v>
      </c>
      <c r="AO492" s="594"/>
      <c r="AP492" s="594"/>
      <c r="AQ492" s="903">
        <f>AQ490/$AI$307</f>
        <v>13.473861980363049</v>
      </c>
      <c r="AR492" s="594"/>
      <c r="AS492" s="594" t="s">
        <v>810</v>
      </c>
      <c r="AT492" s="268"/>
    </row>
    <row r="493" spans="8:49">
      <c r="H493" s="268"/>
      <c r="I493" s="268"/>
      <c r="J493" s="268"/>
      <c r="K493" s="268"/>
      <c r="L493" s="268"/>
      <c r="M493" s="268"/>
      <c r="AF493" s="268"/>
      <c r="AG493" s="268"/>
      <c r="AH493" s="268"/>
      <c r="AI493" s="268"/>
      <c r="AJ493" s="268"/>
      <c r="AK493" s="268"/>
      <c r="AN493" s="268"/>
      <c r="AO493" s="268"/>
      <c r="AP493" s="268"/>
      <c r="AQ493" s="268"/>
      <c r="AR493" s="268"/>
      <c r="AS493" s="268"/>
      <c r="AT493" s="268"/>
    </row>
    <row r="494" spans="8:49">
      <c r="H494" s="594"/>
      <c r="I494" s="594" t="s">
        <v>1152</v>
      </c>
      <c r="J494" s="824" t="s">
        <v>1153</v>
      </c>
      <c r="K494" s="903">
        <f>K446*K490</f>
        <v>1.4848860412459007E-4</v>
      </c>
      <c r="L494" s="594"/>
      <c r="M494" s="594" t="s">
        <v>1152</v>
      </c>
      <c r="AF494" s="594" t="s">
        <v>1085</v>
      </c>
      <c r="AG494" s="594"/>
      <c r="AH494" s="594"/>
      <c r="AI494" s="903">
        <f>ROUNDUP(AI492,0)</f>
        <v>7</v>
      </c>
      <c r="AJ494" s="594"/>
      <c r="AK494" s="594" t="s">
        <v>1085</v>
      </c>
      <c r="AN494" s="594" t="s">
        <v>1085</v>
      </c>
      <c r="AO494" s="594"/>
      <c r="AP494" s="594"/>
      <c r="AQ494" s="903">
        <f>ROUNDUP(AQ492,0)</f>
        <v>14</v>
      </c>
      <c r="AR494" s="594"/>
      <c r="AS494" s="594" t="s">
        <v>1085</v>
      </c>
      <c r="AT494" s="268"/>
      <c r="AU494" t="str">
        <f>AH486</f>
        <v>1/elt,yielded</v>
      </c>
      <c r="AV494" s="903">
        <f>AI494</f>
        <v>7</v>
      </c>
      <c r="AW494" s="903">
        <f>AQ494</f>
        <v>14</v>
      </c>
    </row>
    <row r="495" spans="8:49">
      <c r="H495" s="268"/>
      <c r="I495" s="268"/>
      <c r="J495" s="268"/>
      <c r="K495" s="268"/>
      <c r="L495" s="268"/>
      <c r="M495" s="268"/>
      <c r="AF495" s="268"/>
      <c r="AG495" s="268"/>
      <c r="AH495" s="268"/>
      <c r="AI495" s="268"/>
      <c r="AJ495" s="268"/>
      <c r="AK495" s="268"/>
    </row>
    <row r="496" spans="8:49">
      <c r="H496" s="594"/>
      <c r="I496" s="594" t="s">
        <v>1154</v>
      </c>
      <c r="J496" s="824" t="s">
        <v>1153</v>
      </c>
      <c r="K496" s="903">
        <f>K446*K492</f>
        <v>4.1583181106947723E-4</v>
      </c>
      <c r="L496" s="594"/>
      <c r="M496" s="594" t="s">
        <v>1154</v>
      </c>
      <c r="AF496" s="268"/>
      <c r="AG496" s="268"/>
      <c r="AH496" s="268"/>
      <c r="AI496" s="268"/>
      <c r="AJ496" s="268"/>
      <c r="AK496" s="268"/>
    </row>
    <row r="497" spans="8:49">
      <c r="H497" s="268"/>
      <c r="I497" s="268"/>
      <c r="J497" s="268"/>
      <c r="K497" s="268"/>
      <c r="L497" s="268"/>
      <c r="M497" s="268"/>
      <c r="AF497" s="325" t="s">
        <v>1103</v>
      </c>
      <c r="AG497" s="325"/>
      <c r="AH497" s="325" t="s">
        <v>1155</v>
      </c>
      <c r="AI497" s="657">
        <f>1/Y359</f>
        <v>6734.5235406815818</v>
      </c>
      <c r="AJ497" s="325"/>
      <c r="AK497" s="325"/>
    </row>
    <row r="498" spans="8:49">
      <c r="H498" s="268"/>
      <c r="I498" s="268"/>
      <c r="J498" s="268"/>
      <c r="K498" s="268"/>
      <c r="L498" s="268"/>
      <c r="M498" s="268"/>
    </row>
    <row r="499" spans="8:49">
      <c r="H499" s="268"/>
      <c r="I499" s="268"/>
      <c r="J499" s="268"/>
      <c r="K499" s="268"/>
      <c r="L499" s="268"/>
      <c r="M499" s="268"/>
      <c r="AF499" s="325"/>
      <c r="AG499" s="325"/>
      <c r="AH499" s="325" t="s">
        <v>1105</v>
      </c>
      <c r="AI499" s="657">
        <f>$AI$371*AI497</f>
        <v>8.8963322862372284E-4</v>
      </c>
      <c r="AJ499" s="325"/>
      <c r="AK499" s="325"/>
    </row>
    <row r="500" spans="8:49">
      <c r="H500" s="268"/>
      <c r="I500" s="268"/>
      <c r="J500" s="268"/>
      <c r="K500" s="268"/>
      <c r="L500" s="268"/>
      <c r="M500" s="268"/>
    </row>
    <row r="501" spans="8:49">
      <c r="AF501" s="594"/>
      <c r="AG501" s="594" t="s">
        <v>1082</v>
      </c>
      <c r="AH501" s="594"/>
      <c r="AI501" s="903">
        <f>$AI$369*AI499</f>
        <v>5.6238164547448655</v>
      </c>
      <c r="AJ501" s="594"/>
      <c r="AK501" s="594" t="s">
        <v>1082</v>
      </c>
    </row>
    <row r="502" spans="8:49">
      <c r="H502" s="268"/>
      <c r="I502" s="268"/>
      <c r="J502" s="268"/>
      <c r="K502" s="268"/>
      <c r="L502" s="268"/>
      <c r="M502" s="268"/>
      <c r="AF502" s="268"/>
      <c r="AG502" s="268"/>
      <c r="AH502" s="268"/>
      <c r="AI502" s="268"/>
      <c r="AJ502" s="268"/>
      <c r="AK502" s="268"/>
    </row>
    <row r="503" spans="8:49">
      <c r="H503" s="268"/>
      <c r="I503" s="268"/>
      <c r="J503" s="268"/>
      <c r="K503" s="268"/>
      <c r="L503" s="268"/>
      <c r="M503" s="268"/>
      <c r="AF503" s="594" t="s">
        <v>810</v>
      </c>
      <c r="AG503" s="594"/>
      <c r="AH503" s="594"/>
      <c r="AI503" s="903">
        <f>AI501/$AI$307</f>
        <v>281.19082273724325</v>
      </c>
      <c r="AJ503" s="594"/>
      <c r="AK503" s="594" t="s">
        <v>810</v>
      </c>
    </row>
    <row r="504" spans="8:49">
      <c r="H504" s="268"/>
      <c r="I504" s="268"/>
      <c r="J504" s="268"/>
      <c r="K504" s="268"/>
      <c r="L504" s="268"/>
      <c r="M504" s="268"/>
      <c r="AF504" s="268"/>
      <c r="AG504" s="268"/>
      <c r="AH504" s="268"/>
      <c r="AI504" s="268"/>
      <c r="AJ504" s="268"/>
      <c r="AK504" s="268"/>
    </row>
    <row r="505" spans="8:49">
      <c r="H505" s="268"/>
      <c r="I505" s="268"/>
      <c r="J505" s="268"/>
      <c r="K505" s="268"/>
      <c r="L505" s="268"/>
      <c r="M505" s="268"/>
      <c r="AF505" s="594" t="s">
        <v>1085</v>
      </c>
      <c r="AG505" s="594"/>
      <c r="AH505" s="594"/>
      <c r="AI505" s="903">
        <f>ROUNDUP(AI503,0)</f>
        <v>282</v>
      </c>
      <c r="AJ505" s="594"/>
      <c r="AK505" s="594" t="s">
        <v>1085</v>
      </c>
      <c r="AU505" t="str">
        <f>AH497</f>
        <v>1/ec,perf,ISO, not yielded, cyclic</v>
      </c>
      <c r="AV505" s="903">
        <f>AI505</f>
        <v>282</v>
      </c>
      <c r="AW505" s="903">
        <f>AQ505</f>
        <v>0</v>
      </c>
    </row>
    <row r="506" spans="8:49">
      <c r="H506" s="268"/>
      <c r="I506" s="268"/>
      <c r="J506" s="268"/>
      <c r="K506" s="268"/>
      <c r="L506" s="268"/>
      <c r="M506" s="268"/>
    </row>
    <row r="507" spans="8:49">
      <c r="H507" s="268"/>
      <c r="I507" s="268"/>
      <c r="J507" s="268"/>
      <c r="K507" s="268"/>
      <c r="L507" s="268"/>
      <c r="M507" s="268"/>
      <c r="AF507" s="325" t="s">
        <v>1103</v>
      </c>
      <c r="AG507" s="325"/>
      <c r="AH507" s="325" t="s">
        <v>1156</v>
      </c>
      <c r="AI507" s="657">
        <f>1/Y364</f>
        <v>2404.8184226889748</v>
      </c>
      <c r="AJ507" s="325"/>
      <c r="AK507" s="325"/>
    </row>
    <row r="508" spans="8:49">
      <c r="H508" s="268"/>
      <c r="I508" s="268"/>
      <c r="J508" s="268"/>
      <c r="K508" s="268"/>
      <c r="L508" s="268"/>
      <c r="M508" s="268"/>
    </row>
    <row r="509" spans="8:49">
      <c r="H509" s="268"/>
      <c r="I509" s="268"/>
      <c r="J509" s="268"/>
      <c r="K509" s="268"/>
      <c r="L509" s="268"/>
      <c r="M509" s="268"/>
      <c r="AF509" s="325"/>
      <c r="AG509" s="325"/>
      <c r="AH509" s="325" t="s">
        <v>1105</v>
      </c>
      <c r="AI509" s="657">
        <f>$AI$371*AI507</f>
        <v>3.1767746666961358E-4</v>
      </c>
      <c r="AJ509" s="325"/>
      <c r="AK509" s="325"/>
    </row>
    <row r="510" spans="8:49">
      <c r="H510" s="268"/>
      <c r="I510" s="268"/>
      <c r="J510" s="268"/>
      <c r="K510" s="268"/>
      <c r="L510" s="268"/>
      <c r="M510" s="268"/>
    </row>
    <row r="511" spans="8:49">
      <c r="H511" s="268"/>
      <c r="I511" s="268"/>
      <c r="J511" s="268"/>
      <c r="K511" s="268"/>
      <c r="L511" s="268"/>
      <c r="M511" s="268"/>
      <c r="AF511" s="594"/>
      <c r="AG511" s="594" t="s">
        <v>1082</v>
      </c>
      <c r="AH511" s="594"/>
      <c r="AI511" s="903">
        <f>$AI$369*AI509</f>
        <v>2.0081981055519629</v>
      </c>
      <c r="AJ511" s="594"/>
      <c r="AK511" s="594" t="s">
        <v>1082</v>
      </c>
    </row>
    <row r="512" spans="8:49">
      <c r="H512" s="268"/>
      <c r="I512" s="268"/>
      <c r="J512" s="268"/>
      <c r="K512" s="268"/>
      <c r="L512" s="268"/>
      <c r="M512" s="268"/>
      <c r="AF512" s="268"/>
      <c r="AG512" s="268"/>
      <c r="AH512" s="268"/>
      <c r="AI512" s="268"/>
      <c r="AJ512" s="268"/>
      <c r="AK512" s="268"/>
    </row>
    <row r="513" spans="8:50">
      <c r="H513" s="268"/>
      <c r="I513" s="268"/>
      <c r="J513" s="268"/>
      <c r="K513" s="268"/>
      <c r="L513" s="268"/>
      <c r="M513" s="268"/>
      <c r="AF513" s="594" t="s">
        <v>810</v>
      </c>
      <c r="AG513" s="594"/>
      <c r="AH513" s="594"/>
      <c r="AI513" s="903">
        <f>AI511/$AI$307</f>
        <v>100.40990527759814</v>
      </c>
      <c r="AJ513" s="594"/>
      <c r="AK513" s="594" t="s">
        <v>810</v>
      </c>
    </row>
    <row r="514" spans="8:50">
      <c r="H514" s="268"/>
      <c r="I514" s="268"/>
      <c r="J514" s="268"/>
      <c r="K514" s="268"/>
      <c r="L514" s="268"/>
      <c r="M514" s="268"/>
      <c r="AF514" s="268"/>
      <c r="AG514" s="268"/>
      <c r="AH514" s="268"/>
      <c r="AI514" s="268"/>
      <c r="AJ514" s="268"/>
      <c r="AK514" s="268"/>
    </row>
    <row r="515" spans="8:50">
      <c r="H515" s="268"/>
      <c r="I515" s="268"/>
      <c r="J515" s="268"/>
      <c r="K515" s="268"/>
      <c r="L515" s="268"/>
      <c r="M515" s="268"/>
      <c r="AF515" s="594" t="s">
        <v>1085</v>
      </c>
      <c r="AG515" s="594"/>
      <c r="AH515" s="594"/>
      <c r="AI515" s="903">
        <f>ROUNDUP(AI513,0)</f>
        <v>101</v>
      </c>
      <c r="AJ515" s="594"/>
      <c r="AK515" s="594" t="s">
        <v>1085</v>
      </c>
      <c r="AU515" t="str">
        <f>AH507</f>
        <v>1/ec,perf,ISO, yielded, cyclic</v>
      </c>
      <c r="AV515" s="903">
        <f>AI515</f>
        <v>101</v>
      </c>
      <c r="AW515" s="903">
        <f>AQ515</f>
        <v>0</v>
      </c>
    </row>
    <row r="516" spans="8:50">
      <c r="H516" s="268"/>
      <c r="I516" s="268"/>
      <c r="J516" s="268"/>
      <c r="K516" s="268"/>
      <c r="L516" s="268"/>
      <c r="M516" s="268"/>
      <c r="AF516" s="268"/>
      <c r="AG516" s="268"/>
      <c r="AH516" s="268"/>
      <c r="AI516" s="268"/>
      <c r="AJ516" s="268"/>
      <c r="AK516" s="268"/>
      <c r="AL516" s="268"/>
      <c r="AM516" s="268"/>
      <c r="AN516" s="268"/>
      <c r="AO516" s="268"/>
      <c r="AP516" s="268"/>
      <c r="AQ516" s="268"/>
      <c r="AR516" s="268"/>
      <c r="AS516" s="268"/>
      <c r="AT516" s="268"/>
      <c r="AU516" s="268"/>
      <c r="AX516" s="268"/>
    </row>
    <row r="517" spans="8:50">
      <c r="H517" s="268"/>
      <c r="I517" s="268"/>
      <c r="J517" s="268"/>
      <c r="K517" s="268"/>
      <c r="L517" s="268"/>
      <c r="M517" s="268"/>
      <c r="AF517" s="268"/>
      <c r="AG517" s="268"/>
      <c r="AH517" s="268"/>
      <c r="AI517" s="268"/>
      <c r="AJ517" s="268"/>
      <c r="AK517" s="268"/>
      <c r="AL517" s="268"/>
      <c r="AM517" s="268"/>
      <c r="AN517" s="268"/>
      <c r="AO517" s="268"/>
      <c r="AP517" s="268"/>
      <c r="AQ517" s="268"/>
      <c r="AR517" s="268"/>
      <c r="AS517" s="268"/>
      <c r="AT517" s="268"/>
      <c r="AU517" s="268"/>
      <c r="AX517" s="268"/>
    </row>
    <row r="518" spans="8:50">
      <c r="H518" s="268"/>
      <c r="I518" s="268"/>
      <c r="J518" s="268"/>
      <c r="K518" s="268"/>
      <c r="L518" s="268"/>
      <c r="M518" s="268"/>
      <c r="AL518" s="268"/>
      <c r="AM518" s="268"/>
      <c r="AN518" s="268"/>
      <c r="AO518" s="268"/>
      <c r="AP518" s="268"/>
      <c r="AQ518" s="268"/>
      <c r="AR518" s="268"/>
      <c r="AS518" s="268"/>
      <c r="AT518" s="268"/>
      <c r="AU518" s="268"/>
      <c r="AX518" s="268"/>
    </row>
    <row r="519" spans="8:50">
      <c r="H519" s="268"/>
      <c r="I519" s="268"/>
      <c r="J519" s="268"/>
      <c r="K519" s="268"/>
      <c r="L519" s="268"/>
      <c r="M519" s="268"/>
      <c r="AL519" s="268"/>
      <c r="AM519" s="268"/>
      <c r="AN519" s="268"/>
      <c r="AO519" s="268"/>
      <c r="AP519" s="268"/>
      <c r="AQ519" s="268"/>
      <c r="AR519" s="268"/>
      <c r="AS519" s="268"/>
      <c r="AT519" s="268"/>
      <c r="AU519" s="268"/>
      <c r="AX519" s="268"/>
    </row>
    <row r="520" spans="8:50">
      <c r="H520" s="268"/>
      <c r="I520" s="268"/>
      <c r="J520" s="268"/>
      <c r="K520" s="268"/>
      <c r="L520" s="268"/>
      <c r="M520" s="268"/>
      <c r="AL520" s="268"/>
      <c r="AM520" s="268"/>
      <c r="AN520" s="268"/>
      <c r="AO520" s="268"/>
      <c r="AP520" s="268"/>
      <c r="AQ520" s="268"/>
      <c r="AR520" s="268"/>
      <c r="AS520" s="268"/>
      <c r="AT520" s="268"/>
      <c r="AU520" s="268"/>
      <c r="AX520" s="268"/>
    </row>
    <row r="521" spans="8:50">
      <c r="H521" s="268"/>
      <c r="I521" s="268"/>
      <c r="J521" s="268"/>
      <c r="K521" s="268"/>
      <c r="L521" s="268"/>
      <c r="M521" s="268"/>
      <c r="AL521" s="268"/>
      <c r="AM521" s="268"/>
      <c r="AN521" s="268"/>
      <c r="AO521" s="268"/>
      <c r="AP521" s="268"/>
      <c r="AQ521" s="268"/>
      <c r="AR521" s="268"/>
      <c r="AS521" s="268"/>
      <c r="AT521" s="268"/>
      <c r="AU521" s="268"/>
      <c r="AX521" s="268"/>
    </row>
    <row r="522" spans="8:50">
      <c r="H522" s="268"/>
      <c r="I522" s="268"/>
      <c r="J522" s="268"/>
      <c r="K522" s="268"/>
      <c r="L522" s="268"/>
      <c r="M522" s="268"/>
      <c r="AL522" s="268"/>
      <c r="AM522" s="268"/>
      <c r="AN522" s="268"/>
      <c r="AO522" s="268"/>
      <c r="AP522" s="268"/>
      <c r="AQ522" s="268"/>
      <c r="AR522" s="268"/>
      <c r="AS522" s="268"/>
      <c r="AT522" s="268"/>
      <c r="AU522" s="268"/>
      <c r="AX522" s="268"/>
    </row>
    <row r="523" spans="8:50">
      <c r="H523" s="268"/>
      <c r="I523" s="268"/>
      <c r="J523" s="268"/>
      <c r="K523" s="268"/>
      <c r="L523" s="268"/>
      <c r="M523" s="268"/>
      <c r="AL523" s="268"/>
      <c r="AM523" s="268"/>
      <c r="AN523" s="268"/>
      <c r="AO523" s="268"/>
      <c r="AP523" s="268"/>
      <c r="AQ523" s="268"/>
      <c r="AR523" s="268"/>
      <c r="AS523" s="268"/>
      <c r="AT523" s="268"/>
      <c r="AU523" s="268"/>
      <c r="AX523" s="268"/>
    </row>
    <row r="524" spans="8:50">
      <c r="H524" s="268"/>
      <c r="I524" s="268"/>
      <c r="J524" s="268"/>
      <c r="K524" s="268"/>
      <c r="L524" s="268"/>
      <c r="M524" s="268"/>
      <c r="AL524" s="268"/>
      <c r="AM524" s="268"/>
      <c r="AN524" s="268"/>
      <c r="AO524" s="268"/>
      <c r="AP524" s="268"/>
      <c r="AQ524" s="268"/>
      <c r="AR524" s="268"/>
      <c r="AS524" s="268"/>
      <c r="AT524" s="268"/>
      <c r="AU524" s="268"/>
      <c r="AX524" s="268"/>
    </row>
    <row r="525" spans="8:50">
      <c r="H525" s="268"/>
      <c r="I525" s="268"/>
      <c r="J525" s="268"/>
      <c r="K525" s="268"/>
      <c r="L525" s="268"/>
      <c r="M525" s="268"/>
      <c r="AL525" s="268"/>
      <c r="AM525" s="268"/>
      <c r="AN525" s="268"/>
      <c r="AO525" s="268"/>
      <c r="AP525" s="268"/>
      <c r="AQ525" s="268"/>
      <c r="AR525" s="268"/>
      <c r="AS525" s="268"/>
      <c r="AT525" s="268"/>
      <c r="AU525" s="268"/>
      <c r="AX525" s="268"/>
    </row>
    <row r="526" spans="8:50">
      <c r="H526" s="268"/>
      <c r="I526" s="268"/>
      <c r="J526" s="268"/>
      <c r="K526" s="268"/>
      <c r="L526" s="268"/>
      <c r="M526" s="268"/>
      <c r="AM526" s="268"/>
      <c r="AN526" s="268"/>
      <c r="AO526" s="268"/>
      <c r="AP526" s="268"/>
      <c r="AQ526" s="268"/>
      <c r="AR526" s="268"/>
      <c r="AS526" s="268"/>
      <c r="AT526" s="268"/>
      <c r="AU526" s="268"/>
      <c r="AX526" s="268"/>
    </row>
    <row r="527" spans="8:50">
      <c r="H527" s="268"/>
      <c r="I527" s="268"/>
      <c r="J527" s="268"/>
      <c r="K527" s="268"/>
      <c r="L527" s="268"/>
      <c r="M527" s="268"/>
      <c r="AM527" s="268"/>
      <c r="AN527" s="268"/>
      <c r="AO527" s="268"/>
      <c r="AP527" s="268"/>
      <c r="AQ527" s="268"/>
      <c r="AR527" s="268"/>
      <c r="AS527" s="268"/>
      <c r="AT527" s="268"/>
      <c r="AU527" s="268"/>
      <c r="AX527" s="268"/>
    </row>
    <row r="528" spans="8:50">
      <c r="H528" s="268"/>
      <c r="I528" s="268"/>
      <c r="J528" s="268"/>
      <c r="K528" s="268"/>
      <c r="L528" s="268"/>
      <c r="M528" s="268"/>
      <c r="AM528" s="268"/>
      <c r="AN528" s="268"/>
      <c r="AO528" s="268"/>
      <c r="AP528" s="268"/>
      <c r="AQ528" s="268"/>
      <c r="AR528" s="268"/>
      <c r="AS528" s="268"/>
      <c r="AT528" s="268"/>
      <c r="AU528" s="268"/>
      <c r="AX528" s="268"/>
    </row>
    <row r="529" spans="8:50">
      <c r="H529" s="268"/>
      <c r="I529" s="268"/>
      <c r="J529" s="268"/>
      <c r="K529" s="268"/>
      <c r="L529" s="268"/>
      <c r="M529" s="268"/>
      <c r="AM529" s="268"/>
      <c r="AN529" s="268"/>
      <c r="AO529" s="268"/>
      <c r="AP529" s="268"/>
      <c r="AQ529" s="268"/>
      <c r="AR529" s="268"/>
      <c r="AS529" s="268"/>
      <c r="AT529" s="268"/>
      <c r="AU529" s="268"/>
      <c r="AX529" s="268"/>
    </row>
    <row r="530" spans="8:50">
      <c r="H530" s="268"/>
      <c r="I530" s="268"/>
      <c r="J530" s="268"/>
      <c r="K530" s="268"/>
      <c r="L530" s="268"/>
      <c r="M530" s="268"/>
      <c r="AM530" s="268"/>
      <c r="AN530" s="268"/>
      <c r="AO530" s="268"/>
      <c r="AP530" s="268"/>
      <c r="AQ530" s="268"/>
      <c r="AR530" s="268"/>
      <c r="AS530" s="268"/>
      <c r="AT530" s="268"/>
      <c r="AU530" s="268"/>
      <c r="AX530" s="268"/>
    </row>
    <row r="531" spans="8:50">
      <c r="H531" s="268"/>
      <c r="I531" s="268"/>
      <c r="J531" s="268"/>
      <c r="K531" s="268"/>
      <c r="L531" s="268"/>
      <c r="M531" s="268"/>
      <c r="AM531" s="268"/>
      <c r="AN531" s="268"/>
      <c r="AO531" s="268"/>
      <c r="AP531" s="268"/>
      <c r="AQ531" s="268"/>
      <c r="AR531" s="268"/>
      <c r="AS531" s="268"/>
      <c r="AT531" s="268"/>
      <c r="AU531" s="268"/>
      <c r="AX531" s="268"/>
    </row>
    <row r="532" spans="8:50">
      <c r="H532" s="268"/>
      <c r="I532" s="268"/>
      <c r="J532" s="268"/>
      <c r="K532" s="268"/>
      <c r="L532" s="268"/>
      <c r="M532" s="268"/>
      <c r="AM532" s="268"/>
      <c r="AN532" s="268"/>
      <c r="AO532" s="268"/>
      <c r="AP532" s="268"/>
      <c r="AQ532" s="268"/>
      <c r="AR532" s="268"/>
      <c r="AS532" s="268"/>
      <c r="AT532" s="268"/>
      <c r="AU532" s="268"/>
      <c r="AX532" s="268"/>
    </row>
    <row r="533" spans="8:50">
      <c r="H533" s="268"/>
      <c r="I533" s="268"/>
      <c r="J533" s="268"/>
      <c r="K533" s="268"/>
      <c r="L533" s="268"/>
      <c r="M533" s="268"/>
      <c r="AM533" s="268"/>
      <c r="AN533" s="268"/>
      <c r="AO533" s="268"/>
      <c r="AP533" s="268"/>
      <c r="AQ533" s="268"/>
      <c r="AR533" s="268"/>
      <c r="AS533" s="268"/>
      <c r="AT533" s="268"/>
      <c r="AU533" s="268"/>
      <c r="AX533" s="268"/>
    </row>
    <row r="534" spans="8:50">
      <c r="H534" s="268"/>
      <c r="I534" s="268"/>
      <c r="J534" s="268"/>
      <c r="K534" s="268"/>
      <c r="L534" s="268"/>
      <c r="M534" s="268"/>
      <c r="AM534" s="268"/>
      <c r="AN534" s="268"/>
      <c r="AO534" s="268"/>
      <c r="AP534" s="268"/>
      <c r="AQ534" s="268"/>
      <c r="AR534" s="268"/>
      <c r="AS534" s="268"/>
      <c r="AT534" s="268"/>
      <c r="AU534" s="268"/>
      <c r="AX534" s="268"/>
    </row>
    <row r="535" spans="8:50">
      <c r="H535" s="268"/>
      <c r="I535" s="268"/>
      <c r="J535" s="268"/>
      <c r="K535" s="268"/>
      <c r="L535" s="268"/>
      <c r="M535" s="268"/>
      <c r="AM535" s="268"/>
      <c r="AN535" s="268"/>
      <c r="AO535" s="268"/>
      <c r="AP535" s="268"/>
      <c r="AQ535" s="268"/>
      <c r="AR535" s="268"/>
      <c r="AS535" s="268"/>
      <c r="AT535" s="268"/>
      <c r="AU535" s="268"/>
      <c r="AX535" s="268"/>
    </row>
    <row r="536" spans="8:50">
      <c r="H536" s="268"/>
      <c r="I536" s="268"/>
      <c r="J536" s="268"/>
      <c r="K536" s="268"/>
      <c r="L536" s="268"/>
      <c r="M536" s="268"/>
      <c r="AM536" s="268"/>
      <c r="AN536" s="268"/>
      <c r="AO536" s="268"/>
      <c r="AP536" s="268"/>
      <c r="AQ536" s="268"/>
      <c r="AR536" s="268"/>
      <c r="AS536" s="268"/>
      <c r="AT536" s="268"/>
      <c r="AU536" s="268"/>
      <c r="AX536" s="268"/>
    </row>
    <row r="537" spans="8:50">
      <c r="H537" s="268"/>
      <c r="I537" s="268"/>
      <c r="J537" s="268"/>
      <c r="K537" s="268"/>
      <c r="L537" s="268"/>
      <c r="M537" s="268"/>
      <c r="AM537" s="268"/>
      <c r="AN537" s="268"/>
      <c r="AO537" s="268"/>
      <c r="AP537" s="268"/>
      <c r="AQ537" s="268"/>
      <c r="AR537" s="268"/>
      <c r="AS537" s="268"/>
      <c r="AT537" s="268"/>
      <c r="AU537" s="268"/>
      <c r="AX537" s="268"/>
    </row>
    <row r="538" spans="8:50">
      <c r="H538" s="268"/>
      <c r="I538" s="268"/>
      <c r="J538" s="268"/>
      <c r="K538" s="268"/>
      <c r="L538" s="268"/>
      <c r="M538" s="268"/>
    </row>
    <row r="539" spans="8:50">
      <c r="H539" s="268"/>
      <c r="I539" s="268"/>
      <c r="J539" s="268"/>
      <c r="K539" s="268"/>
      <c r="L539" s="268"/>
      <c r="M539" s="268"/>
    </row>
    <row r="540" spans="8:50">
      <c r="H540" s="268"/>
      <c r="I540" s="268"/>
      <c r="J540" s="268"/>
      <c r="K540" s="268"/>
      <c r="L540" s="268"/>
      <c r="M540" s="268"/>
    </row>
    <row r="541" spans="8:50">
      <c r="H541" s="268"/>
      <c r="I541" s="268"/>
      <c r="J541" s="268"/>
      <c r="K541" s="268"/>
      <c r="L541" s="268"/>
      <c r="M541" s="268"/>
    </row>
    <row r="542" spans="8:50">
      <c r="H542" s="268"/>
      <c r="I542" s="268"/>
      <c r="J542" s="268"/>
      <c r="K542" s="268"/>
      <c r="L542" s="268"/>
      <c r="M542" s="268"/>
    </row>
    <row r="543" spans="8:50">
      <c r="H543" s="268"/>
      <c r="I543" s="268"/>
      <c r="J543" s="268"/>
      <c r="K543" s="268"/>
      <c r="L543" s="268"/>
      <c r="M543" s="268"/>
    </row>
    <row r="544" spans="8:50">
      <c r="H544" s="268"/>
      <c r="I544" s="268"/>
      <c r="J544" s="268"/>
      <c r="K544" s="268"/>
      <c r="L544" s="268"/>
      <c r="M544" s="268"/>
    </row>
    <row r="545" spans="8:13">
      <c r="H545" s="268"/>
      <c r="I545" s="268"/>
      <c r="J545" s="268"/>
      <c r="K545" s="268"/>
      <c r="L545" s="268"/>
      <c r="M545" s="268"/>
    </row>
    <row r="546" spans="8:13">
      <c r="H546" s="268"/>
      <c r="I546" s="268"/>
      <c r="J546" s="268"/>
      <c r="K546" s="268"/>
      <c r="L546" s="268"/>
      <c r="M546" s="268"/>
    </row>
    <row r="547" spans="8:13">
      <c r="H547" s="268"/>
      <c r="I547" s="268"/>
      <c r="J547" s="268"/>
      <c r="K547" s="268"/>
      <c r="L547" s="268"/>
      <c r="M547" s="268"/>
    </row>
    <row r="548" spans="8:13">
      <c r="H548" s="268"/>
      <c r="I548" s="268"/>
      <c r="J548" s="268"/>
      <c r="K548" s="268"/>
      <c r="L548" s="268"/>
      <c r="M548" s="268"/>
    </row>
    <row r="549" spans="8:13">
      <c r="H549" s="268"/>
      <c r="I549" s="268"/>
      <c r="J549" s="268"/>
      <c r="K549" s="268"/>
      <c r="L549" s="268"/>
      <c r="M549" s="268"/>
    </row>
    <row r="550" spans="8:13">
      <c r="H550" s="268"/>
      <c r="I550" s="268"/>
      <c r="J550" s="268"/>
      <c r="K550" s="268"/>
      <c r="L550" s="268"/>
      <c r="M550" s="268"/>
    </row>
    <row r="551" spans="8:13">
      <c r="H551" s="268"/>
      <c r="I551" s="268"/>
      <c r="J551" s="268"/>
      <c r="K551" s="268"/>
      <c r="L551" s="268"/>
      <c r="M551" s="268"/>
    </row>
    <row r="552" spans="8:13">
      <c r="H552" s="268"/>
      <c r="I552" s="268"/>
      <c r="J552" s="268"/>
      <c r="K552" s="268"/>
      <c r="L552" s="268"/>
      <c r="M552" s="268"/>
    </row>
    <row r="553" spans="8:13">
      <c r="H553" s="268"/>
      <c r="I553" s="268"/>
      <c r="J553" s="268"/>
      <c r="K553" s="268"/>
      <c r="L553" s="268"/>
      <c r="M553" s="268"/>
    </row>
    <row r="554" spans="8:13">
      <c r="H554" s="268"/>
      <c r="I554" s="268"/>
      <c r="J554" s="268"/>
      <c r="K554" s="268"/>
      <c r="L554" s="268"/>
      <c r="M554" s="268"/>
    </row>
    <row r="555" spans="8:13">
      <c r="H555" s="268"/>
      <c r="I555" s="268"/>
      <c r="J555" s="268"/>
      <c r="K555" s="268"/>
      <c r="L555" s="268"/>
      <c r="M555" s="268"/>
    </row>
    <row r="556" spans="8:13">
      <c r="H556" s="268"/>
      <c r="I556" s="268"/>
      <c r="J556" s="268"/>
      <c r="K556" s="268"/>
      <c r="L556" s="268"/>
      <c r="M556" s="268"/>
    </row>
    <row r="557" spans="8:13">
      <c r="H557" s="268"/>
      <c r="I557" s="268"/>
      <c r="J557" s="268"/>
      <c r="K557" s="268"/>
      <c r="L557" s="268"/>
      <c r="M557" s="268"/>
    </row>
    <row r="558" spans="8:13">
      <c r="H558" s="268"/>
      <c r="I558" s="268"/>
      <c r="J558" s="268"/>
      <c r="K558" s="268"/>
      <c r="L558" s="268"/>
      <c r="M558" s="268"/>
    </row>
    <row r="559" spans="8:13">
      <c r="H559" s="268"/>
      <c r="I559" s="268"/>
      <c r="J559" s="268"/>
      <c r="K559" s="268"/>
      <c r="L559" s="268"/>
      <c r="M559" s="268"/>
    </row>
    <row r="560" spans="8:13">
      <c r="H560" s="268"/>
      <c r="I560" s="268"/>
      <c r="J560" s="268"/>
      <c r="K560" s="268"/>
      <c r="L560" s="268"/>
      <c r="M560" s="268"/>
    </row>
    <row r="561" spans="8:37">
      <c r="H561" s="268"/>
      <c r="I561" s="268"/>
      <c r="J561" s="268"/>
      <c r="K561" s="268"/>
      <c r="L561" s="268"/>
      <c r="M561" s="268"/>
    </row>
    <row r="562" spans="8:37">
      <c r="H562" s="268"/>
      <c r="I562" s="268"/>
      <c r="J562" s="268"/>
      <c r="K562" s="268"/>
      <c r="L562" s="268"/>
      <c r="M562" s="268"/>
    </row>
    <row r="563" spans="8:37">
      <c r="H563" s="268"/>
      <c r="I563" s="268"/>
      <c r="J563" s="268"/>
      <c r="K563" s="268"/>
      <c r="L563" s="268"/>
      <c r="M563" s="268"/>
    </row>
    <row r="564" spans="8:37">
      <c r="H564" s="268"/>
      <c r="I564" s="268"/>
      <c r="J564" s="268"/>
      <c r="K564" s="268"/>
      <c r="L564" s="268"/>
      <c r="M564" s="268"/>
    </row>
    <row r="565" spans="8:37">
      <c r="H565" s="268"/>
      <c r="I565" s="268"/>
      <c r="J565" s="268"/>
      <c r="K565" s="268"/>
      <c r="L565" s="268"/>
      <c r="M565" s="268"/>
    </row>
    <row r="566" spans="8:37">
      <c r="H566" s="268"/>
      <c r="I566" s="268"/>
      <c r="J566" s="268"/>
      <c r="K566" s="268"/>
      <c r="L566" s="268"/>
      <c r="M566" s="268"/>
    </row>
    <row r="567" spans="8:37">
      <c r="H567" s="268"/>
      <c r="I567" s="268"/>
      <c r="J567" s="268"/>
      <c r="K567" s="268"/>
      <c r="L567" s="268"/>
      <c r="M567" s="268"/>
    </row>
    <row r="568" spans="8:37">
      <c r="H568" s="1283" t="s">
        <v>1157</v>
      </c>
      <c r="I568" s="1381"/>
      <c r="J568" s="1381"/>
      <c r="K568" s="1381"/>
      <c r="L568" s="1381"/>
      <c r="M568" s="1284"/>
      <c r="AF568" s="1283" t="str">
        <f>H568</f>
        <v>Modified ASME B31G</v>
      </c>
      <c r="AG568" s="1381"/>
      <c r="AH568" s="1381"/>
      <c r="AI568" s="1381"/>
      <c r="AJ568" s="1381"/>
      <c r="AK568" s="1284"/>
    </row>
    <row r="569" spans="8:37">
      <c r="H569" s="900"/>
      <c r="I569" s="900"/>
      <c r="J569" s="900" t="s">
        <v>841</v>
      </c>
      <c r="K569" s="939">
        <f>POWER(K284,2)</f>
        <v>36</v>
      </c>
      <c r="L569" s="900"/>
      <c r="M569" s="900"/>
    </row>
    <row r="570" spans="8:37">
      <c r="H570" s="268"/>
      <c r="I570" s="268"/>
      <c r="J570" s="268"/>
      <c r="K570" s="268"/>
      <c r="L570" s="268"/>
      <c r="M570" s="268"/>
    </row>
    <row r="571" spans="8:37">
      <c r="H571" s="594"/>
      <c r="I571" s="594"/>
      <c r="J571" s="594" t="s">
        <v>1158</v>
      </c>
      <c r="K571" s="903">
        <f>K280*K282</f>
        <v>3.1875</v>
      </c>
      <c r="L571" s="594"/>
      <c r="M571" s="594"/>
    </row>
    <row r="572" spans="8:37">
      <c r="H572" s="268"/>
      <c r="I572" s="268"/>
      <c r="J572" s="268"/>
      <c r="K572" s="268"/>
      <c r="L572" s="268"/>
      <c r="M572" s="268"/>
    </row>
    <row r="573" spans="8:37">
      <c r="H573" s="594"/>
      <c r="I573" s="594" t="s">
        <v>843</v>
      </c>
      <c r="J573" s="594"/>
      <c r="K573" s="903">
        <f>K569/K571</f>
        <v>11.294117647058824</v>
      </c>
      <c r="L573" s="594"/>
      <c r="M573" s="594" t="s">
        <v>843</v>
      </c>
    </row>
    <row r="574" spans="8:37">
      <c r="H574" s="268"/>
      <c r="I574" s="268"/>
      <c r="J574" s="268"/>
      <c r="K574" s="268"/>
      <c r="L574" s="268"/>
      <c r="M574" s="268"/>
    </row>
    <row r="575" spans="8:37">
      <c r="H575" s="594"/>
      <c r="I575" s="594"/>
      <c r="J575" s="594" t="s">
        <v>853</v>
      </c>
      <c r="K575" s="903">
        <f>POWER(K573,2)</f>
        <v>127.55709342560556</v>
      </c>
      <c r="L575" s="594"/>
      <c r="M575" s="594"/>
    </row>
    <row r="576" spans="8:37">
      <c r="H576" s="268"/>
      <c r="I576" s="268"/>
      <c r="J576" s="268"/>
      <c r="K576" s="268"/>
      <c r="L576" s="268"/>
      <c r="M576" s="268"/>
    </row>
    <row r="577" spans="8:13">
      <c r="H577" s="594"/>
      <c r="I577" s="594"/>
      <c r="J577" s="594">
        <v>0.62749999999999995</v>
      </c>
      <c r="K577" s="903">
        <f>J577*K573</f>
        <v>7.0870588235294116</v>
      </c>
      <c r="L577" s="594"/>
      <c r="M577" s="594"/>
    </row>
    <row r="578" spans="8:13">
      <c r="H578" s="268"/>
      <c r="I578" s="268"/>
      <c r="J578" s="268"/>
      <c r="K578" s="268"/>
      <c r="L578" s="268"/>
      <c r="M578" s="268"/>
    </row>
    <row r="579" spans="8:13">
      <c r="H579" s="594"/>
      <c r="I579" s="594"/>
      <c r="J579" s="933" t="s">
        <v>1159</v>
      </c>
      <c r="K579" s="903">
        <f>K577+1</f>
        <v>8.0870588235294107</v>
      </c>
      <c r="L579" s="594"/>
      <c r="M579" s="594"/>
    </row>
    <row r="580" spans="8:13">
      <c r="H580" s="268"/>
      <c r="I580" s="268"/>
      <c r="J580" s="268"/>
      <c r="K580" s="268"/>
      <c r="L580" s="268"/>
      <c r="M580" s="268"/>
    </row>
    <row r="581" spans="8:13">
      <c r="H581" s="594"/>
      <c r="I581" s="594"/>
      <c r="J581" s="594">
        <v>-3.375E-3</v>
      </c>
      <c r="K581" s="903">
        <f>J581*K575</f>
        <v>-0.43050519031141876</v>
      </c>
      <c r="L581" s="594"/>
      <c r="M581" s="594"/>
    </row>
    <row r="582" spans="8:13">
      <c r="H582" s="268"/>
      <c r="I582" s="268"/>
      <c r="J582" s="268"/>
      <c r="K582" s="268"/>
      <c r="L582" s="268"/>
      <c r="M582" s="268"/>
    </row>
    <row r="583" spans="8:13">
      <c r="H583" s="594"/>
      <c r="I583" s="594"/>
      <c r="J583" s="594"/>
      <c r="K583" s="903">
        <f>K579+K581</f>
        <v>7.6565536332179924</v>
      </c>
      <c r="L583" s="594"/>
      <c r="M583" s="594"/>
    </row>
    <row r="584" spans="8:13">
      <c r="H584" s="268"/>
      <c r="I584" s="268"/>
      <c r="J584" s="268"/>
      <c r="K584" s="268"/>
      <c r="L584" s="268"/>
      <c r="M584" s="268"/>
    </row>
    <row r="585" spans="8:13">
      <c r="H585" s="594"/>
      <c r="I585" s="594" t="s">
        <v>861</v>
      </c>
      <c r="J585" s="594"/>
      <c r="K585" s="903">
        <f>SQRT(K583)</f>
        <v>2.7670478191057688</v>
      </c>
      <c r="L585" s="824"/>
      <c r="M585" s="523" t="s">
        <v>861</v>
      </c>
    </row>
    <row r="586" spans="8:13">
      <c r="H586" s="268"/>
      <c r="I586" s="268"/>
      <c r="J586" s="268"/>
      <c r="K586" s="268"/>
      <c r="L586" s="268"/>
      <c r="M586" s="268"/>
    </row>
    <row r="587" spans="8:13">
      <c r="H587" s="594"/>
      <c r="I587" s="594" t="s">
        <v>1160</v>
      </c>
      <c r="J587" s="594">
        <v>10000</v>
      </c>
      <c r="K587" s="903">
        <f>K297+J587</f>
        <v>63800</v>
      </c>
      <c r="L587" s="594"/>
      <c r="M587" s="594" t="s">
        <v>1160</v>
      </c>
    </row>
    <row r="588" spans="8:13">
      <c r="H588" s="268"/>
      <c r="I588" s="268"/>
      <c r="J588" s="268"/>
      <c r="K588" s="268"/>
      <c r="L588" s="268"/>
      <c r="M588" s="268"/>
    </row>
    <row r="589" spans="8:13">
      <c r="H589" s="594"/>
      <c r="I589" s="594"/>
      <c r="J589" s="594" t="s">
        <v>864</v>
      </c>
      <c r="K589" s="903">
        <f>K289/K282</f>
        <v>0.75</v>
      </c>
      <c r="L589" s="594"/>
      <c r="M589" s="594"/>
    </row>
    <row r="590" spans="8:13">
      <c r="H590" s="268"/>
      <c r="I590" s="268"/>
      <c r="J590" s="268"/>
      <c r="K590" s="268"/>
      <c r="L590" s="268"/>
      <c r="M590" s="268"/>
    </row>
    <row r="591" spans="8:13">
      <c r="H591" s="594"/>
      <c r="I591" s="594"/>
      <c r="J591" s="594">
        <v>0.85</v>
      </c>
      <c r="K591" s="903">
        <f>J591*K589</f>
        <v>0.63749999999999996</v>
      </c>
      <c r="L591" s="594"/>
      <c r="M591" s="594"/>
    </row>
    <row r="592" spans="8:13">
      <c r="H592" s="268"/>
      <c r="I592" s="268"/>
      <c r="J592" s="268"/>
      <c r="K592" s="268"/>
      <c r="L592" s="268"/>
      <c r="M592" s="268"/>
    </row>
    <row r="593" spans="7:13">
      <c r="H593" s="594"/>
      <c r="I593" s="594"/>
      <c r="J593" s="594" t="s">
        <v>1161</v>
      </c>
      <c r="K593" s="903">
        <f>1-K591</f>
        <v>0.36250000000000004</v>
      </c>
      <c r="L593" s="594"/>
      <c r="M593" s="594"/>
    </row>
    <row r="594" spans="7:13">
      <c r="H594" s="268"/>
      <c r="I594" s="268"/>
      <c r="J594" s="268"/>
      <c r="K594" s="268"/>
      <c r="L594" s="268"/>
      <c r="M594" s="268"/>
    </row>
    <row r="595" spans="7:13">
      <c r="H595" s="594"/>
      <c r="I595" s="594"/>
      <c r="J595" s="594"/>
      <c r="K595" s="903">
        <f>1-(K591/K585)</f>
        <v>0.76961005314103248</v>
      </c>
      <c r="L595" s="594"/>
      <c r="M595" s="594"/>
    </row>
    <row r="597" spans="7:13">
      <c r="H597" s="594"/>
      <c r="I597" s="594"/>
      <c r="J597" s="594"/>
      <c r="K597" s="903">
        <f>K593/K595</f>
        <v>0.4710177557069557</v>
      </c>
      <c r="L597" s="594"/>
      <c r="M597" s="594"/>
    </row>
    <row r="599" spans="7:13">
      <c r="G599" s="873">
        <f>IF(K599&gt;K297,"No",K599)</f>
        <v>30050.932814103773</v>
      </c>
      <c r="H599" s="594"/>
      <c r="I599" s="594" t="s">
        <v>881</v>
      </c>
      <c r="J599" s="594"/>
      <c r="K599" s="903">
        <f>K587*K597</f>
        <v>30050.932814103773</v>
      </c>
      <c r="L599" s="594"/>
      <c r="M599" s="594" t="s">
        <v>881</v>
      </c>
    </row>
    <row r="601" spans="7:13">
      <c r="H601" s="594"/>
      <c r="I601" s="824" t="s">
        <v>1162</v>
      </c>
      <c r="J601" s="594"/>
      <c r="K601" s="943">
        <f>(2*K599*K282)/K280</f>
        <v>1178.4679534942657</v>
      </c>
      <c r="L601" s="931"/>
      <c r="M601" s="594" t="s">
        <v>1162</v>
      </c>
    </row>
    <row r="603" spans="7:13">
      <c r="H603" s="594" t="s">
        <v>1163</v>
      </c>
      <c r="I603" s="594" t="s">
        <v>1164</v>
      </c>
      <c r="J603" s="594"/>
      <c r="K603" s="903">
        <f>(K601*K280)/(2*K297)</f>
        <v>0.13964188110643017</v>
      </c>
      <c r="L603" s="594"/>
      <c r="M603" s="594" t="s">
        <v>1164</v>
      </c>
    </row>
    <row r="605" spans="7:13">
      <c r="H605" s="594"/>
      <c r="I605" s="594" t="s">
        <v>818</v>
      </c>
      <c r="J605" s="594" t="s">
        <v>1165</v>
      </c>
      <c r="K605" s="903">
        <f>K292*((2*(K297*K282))/K280)</f>
        <v>1519.0588235294119</v>
      </c>
      <c r="L605" s="594"/>
      <c r="M605" s="594" t="s">
        <v>818</v>
      </c>
    </row>
    <row r="607" spans="7:13">
      <c r="H607" s="594"/>
      <c r="I607" s="594" t="s">
        <v>838</v>
      </c>
      <c r="J607" s="594" t="s">
        <v>1166</v>
      </c>
      <c r="K607" s="903">
        <f>(K605*K280)/(2*K282)</f>
        <v>38736.000000000007</v>
      </c>
      <c r="L607" s="594"/>
      <c r="M607" s="594" t="s">
        <v>838</v>
      </c>
    </row>
    <row r="609" spans="8:22">
      <c r="H609" s="325"/>
      <c r="I609" s="325"/>
      <c r="J609" s="325"/>
      <c r="K609" s="903">
        <f>K607/K297</f>
        <v>0.72000000000000008</v>
      </c>
      <c r="L609" s="325"/>
      <c r="M609" s="325"/>
    </row>
    <row r="610" spans="8:22">
      <c r="H610" s="325"/>
      <c r="I610" s="594" t="s">
        <v>1167</v>
      </c>
      <c r="J610" s="594"/>
      <c r="K610" s="903">
        <f>ROUNDUP(K609*100,0)</f>
        <v>72</v>
      </c>
      <c r="L610" s="325" t="s">
        <v>49</v>
      </c>
      <c r="M610" s="325"/>
    </row>
    <row r="612" spans="8:22">
      <c r="H612" s="594"/>
      <c r="I612" s="594"/>
      <c r="J612" s="594" t="s">
        <v>1168</v>
      </c>
      <c r="K612" s="903" t="str">
        <f>IF(K599&gt;=K607,"Good","Needs Repair")</f>
        <v>Needs Repair</v>
      </c>
      <c r="L612" s="594" t="s">
        <v>1169</v>
      </c>
      <c r="M612" s="594"/>
    </row>
    <row r="613" spans="8:22">
      <c r="H613" s="268"/>
      <c r="I613" s="268"/>
      <c r="J613" s="268"/>
      <c r="K613" s="268"/>
      <c r="L613" s="268"/>
      <c r="M613" s="268"/>
    </row>
    <row r="614" spans="8:22">
      <c r="H614" s="594" t="s">
        <v>685</v>
      </c>
      <c r="I614" s="594" t="s">
        <v>804</v>
      </c>
      <c r="J614" s="594" t="s">
        <v>1170</v>
      </c>
      <c r="K614" s="903">
        <f>K297/K607</f>
        <v>1.3888888888888886</v>
      </c>
      <c r="L614" s="594"/>
      <c r="M614" s="594"/>
      <c r="N614" s="328">
        <f>1/K614</f>
        <v>0.7200000000000002</v>
      </c>
      <c r="O614" s="328"/>
      <c r="P614" s="328"/>
      <c r="Q614" s="328"/>
      <c r="R614" s="328"/>
      <c r="S614" s="328"/>
      <c r="T614" s="328"/>
      <c r="U614" s="328"/>
      <c r="V614" s="328"/>
    </row>
    <row r="615" spans="8:22">
      <c r="N615" s="328"/>
      <c r="O615" s="328"/>
      <c r="P615" s="328"/>
      <c r="Q615" s="328"/>
      <c r="R615" s="328"/>
      <c r="S615" s="328"/>
      <c r="T615" s="328"/>
      <c r="U615" s="328"/>
      <c r="V615" s="328"/>
    </row>
    <row r="616" spans="8:22">
      <c r="H616" s="594"/>
      <c r="I616" s="594" t="s">
        <v>1171</v>
      </c>
      <c r="J616" s="594"/>
      <c r="K616" s="903">
        <f>ROUNDUP(K601/K614,0)</f>
        <v>849</v>
      </c>
      <c r="L616" s="594"/>
      <c r="M616" s="594"/>
      <c r="N616" s="328"/>
      <c r="O616" s="328"/>
      <c r="P616" s="328"/>
      <c r="Q616" s="328"/>
      <c r="R616" s="328"/>
      <c r="S616" s="328"/>
      <c r="T616" s="328"/>
      <c r="U616" s="328"/>
      <c r="V616" s="328"/>
    </row>
    <row r="617" spans="8:22">
      <c r="N617" s="328"/>
      <c r="O617" s="328"/>
      <c r="P617" s="328"/>
      <c r="Q617" s="328"/>
      <c r="R617" s="328"/>
      <c r="S617" s="328"/>
      <c r="T617" s="328"/>
      <c r="U617" s="328"/>
      <c r="V617" s="328"/>
    </row>
    <row r="618" spans="8:22">
      <c r="H618" s="594" t="s">
        <v>685</v>
      </c>
      <c r="I618" s="594" t="s">
        <v>804</v>
      </c>
      <c r="J618" s="594"/>
      <c r="K618" s="594">
        <v>1.25</v>
      </c>
      <c r="L618" s="594"/>
      <c r="M618" s="594"/>
      <c r="N618" s="328">
        <f>1/K618</f>
        <v>0.8</v>
      </c>
      <c r="O618" s="328"/>
      <c r="P618" s="328"/>
      <c r="Q618" s="328"/>
      <c r="R618" s="328"/>
      <c r="S618" s="328"/>
      <c r="T618" s="328"/>
      <c r="U618" s="328"/>
      <c r="V618" s="328"/>
    </row>
    <row r="620" spans="8:22">
      <c r="H620" s="594"/>
      <c r="I620" s="594"/>
      <c r="J620" s="594" t="s">
        <v>1172</v>
      </c>
      <c r="K620" s="903" t="str">
        <f>IF((K599*1.25)&lt;=K607,"Needs Repair","Good")</f>
        <v>Needs Repair</v>
      </c>
      <c r="L620" s="594" t="s">
        <v>1169</v>
      </c>
      <c r="M620" s="594"/>
    </row>
    <row r="622" spans="8:22">
      <c r="H622" s="325"/>
      <c r="I622" s="594" t="s">
        <v>1171</v>
      </c>
      <c r="J622" s="594"/>
      <c r="K622" s="903">
        <f>ROUNDUP(K605/K618,0)</f>
        <v>1216</v>
      </c>
      <c r="L622" s="325"/>
      <c r="M622" s="325"/>
    </row>
    <row r="642" spans="9:13">
      <c r="I642" s="268" t="s">
        <v>833</v>
      </c>
      <c r="K642" s="268">
        <v>0.5</v>
      </c>
    </row>
    <row r="643" spans="9:13">
      <c r="K643" s="268"/>
    </row>
    <row r="644" spans="9:13">
      <c r="K644" s="268">
        <f>K642*K305</f>
        <v>30607.8125</v>
      </c>
    </row>
    <row r="645" spans="9:13">
      <c r="K645" s="268"/>
      <c r="M645" s="268"/>
    </row>
    <row r="646" spans="9:13">
      <c r="K646" s="268">
        <f>K644/K299</f>
        <v>4.0433041611624837E-3</v>
      </c>
      <c r="M646" s="268">
        <f>K646*K387</f>
        <v>2.3477470246621914E-3</v>
      </c>
    </row>
  </sheetData>
  <mergeCells count="48">
    <mergeCell ref="AE1:AG1"/>
    <mergeCell ref="AA1:AC1"/>
    <mergeCell ref="AA4:AC4"/>
    <mergeCell ref="H30:Z30"/>
    <mergeCell ref="H137:Z137"/>
    <mergeCell ref="F278:G278"/>
    <mergeCell ref="AA9:AC9"/>
    <mergeCell ref="AF2:AG2"/>
    <mergeCell ref="H139:Z139"/>
    <mergeCell ref="W334:Z334"/>
    <mergeCell ref="E21:F21"/>
    <mergeCell ref="E27:F27"/>
    <mergeCell ref="H15:Z15"/>
    <mergeCell ref="H115:Z115"/>
    <mergeCell ref="H334:M334"/>
    <mergeCell ref="O334:T334"/>
    <mergeCell ref="H568:M568"/>
    <mergeCell ref="BK2:BL2"/>
    <mergeCell ref="BN2:BO2"/>
    <mergeCell ref="BK9:BL9"/>
    <mergeCell ref="BN9:BO9"/>
    <mergeCell ref="AY3:BA3"/>
    <mergeCell ref="H455:M455"/>
    <mergeCell ref="W335:Z335"/>
    <mergeCell ref="W388:Z388"/>
    <mergeCell ref="AF413:AK413"/>
    <mergeCell ref="AF455:AK455"/>
    <mergeCell ref="H413:M413"/>
    <mergeCell ref="AH2:AI2"/>
    <mergeCell ref="H362:M362"/>
    <mergeCell ref="H343:M343"/>
    <mergeCell ref="AF568:AK568"/>
    <mergeCell ref="AF373:AK373"/>
    <mergeCell ref="AN347:AS347"/>
    <mergeCell ref="AX140:BG140"/>
    <mergeCell ref="H140:Z140"/>
    <mergeCell ref="N157:N163"/>
    <mergeCell ref="AF362:AK362"/>
    <mergeCell ref="BF347:BK347"/>
    <mergeCell ref="AY347:BD347"/>
    <mergeCell ref="W376:Z376"/>
    <mergeCell ref="W383:Z383"/>
    <mergeCell ref="W362:Z362"/>
    <mergeCell ref="W338:Z338"/>
    <mergeCell ref="W351:Z351"/>
    <mergeCell ref="W371:Z371"/>
    <mergeCell ref="W357:Z357"/>
    <mergeCell ref="W342:Z342"/>
  </mergeCells>
  <hyperlinks>
    <hyperlink ref="B48" r:id="rId1" xr:uid="{5E12E8D0-18EE-4A7A-8AF7-9BE7116746EE}"/>
    <hyperlink ref="B49" r:id="rId2" xr:uid="{447892B5-F254-4C38-8671-03D033D860A9}"/>
  </hyperlinks>
  <pageMargins left="0.7" right="0.7" top="0.75" bottom="0.75" header="0.3" footer="0.3"/>
  <drawing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27BBB6-A549-410E-B5A3-552E7AAECFF1}">
  <sheetPr codeName="Sheet4"/>
  <dimension ref="F4:I29"/>
  <sheetViews>
    <sheetView workbookViewId="0">
      <selection activeCell="H29" sqref="H29"/>
    </sheetView>
  </sheetViews>
  <sheetFormatPr defaultRowHeight="15"/>
  <cols>
    <col min="6" max="6" width="39" bestFit="1" customWidth="1"/>
    <col min="7" max="7" width="80.85546875" customWidth="1"/>
    <col min="8" max="8" width="11.28515625" bestFit="1" customWidth="1"/>
  </cols>
  <sheetData>
    <row r="4" spans="6:9">
      <c r="F4" s="348" t="s">
        <v>1173</v>
      </c>
      <c r="G4" s="428" t="s">
        <v>98</v>
      </c>
      <c r="H4" s="427" t="s">
        <v>1174</v>
      </c>
      <c r="I4" s="427" t="s">
        <v>133</v>
      </c>
    </row>
    <row r="5" spans="6:9">
      <c r="F5" s="380" t="s">
        <v>1175</v>
      </c>
      <c r="G5" s="432" t="s">
        <v>1176</v>
      </c>
      <c r="H5" s="429" t="s">
        <v>1177</v>
      </c>
      <c r="I5" s="429"/>
    </row>
    <row r="6" spans="6:9" ht="30">
      <c r="F6" s="346" t="s">
        <v>1178</v>
      </c>
      <c r="G6" s="418" t="s">
        <v>1179</v>
      </c>
      <c r="H6" s="430" t="s">
        <v>1180</v>
      </c>
      <c r="I6" s="430">
        <v>1</v>
      </c>
    </row>
    <row r="7" spans="6:9">
      <c r="F7" s="346"/>
      <c r="G7" s="418"/>
      <c r="H7" s="430"/>
      <c r="I7" s="430"/>
    </row>
    <row r="8" spans="6:9">
      <c r="F8" s="346" t="s">
        <v>21</v>
      </c>
      <c r="G8" s="418" t="s">
        <v>1181</v>
      </c>
      <c r="H8" s="430" t="s">
        <v>1180</v>
      </c>
      <c r="I8" s="430">
        <v>12</v>
      </c>
    </row>
    <row r="9" spans="6:9">
      <c r="F9" s="346" t="s">
        <v>1182</v>
      </c>
      <c r="G9" s="418" t="s">
        <v>1183</v>
      </c>
      <c r="H9" s="430" t="s">
        <v>1180</v>
      </c>
      <c r="I9" s="430">
        <v>7</v>
      </c>
    </row>
    <row r="10" spans="6:9">
      <c r="F10" s="346" t="s">
        <v>1184</v>
      </c>
      <c r="G10" s="418" t="s">
        <v>1185</v>
      </c>
      <c r="H10" s="430" t="s">
        <v>1180</v>
      </c>
      <c r="I10" s="430">
        <v>2</v>
      </c>
    </row>
    <row r="11" spans="6:9">
      <c r="F11" s="346" t="s">
        <v>1186</v>
      </c>
      <c r="G11" s="418" t="s">
        <v>1187</v>
      </c>
      <c r="H11" s="430" t="s">
        <v>1188</v>
      </c>
      <c r="I11" s="430">
        <v>6</v>
      </c>
    </row>
    <row r="12" spans="6:9" ht="30">
      <c r="F12" s="346" t="s">
        <v>1189</v>
      </c>
      <c r="G12" s="418" t="s">
        <v>1190</v>
      </c>
      <c r="H12" s="430" t="s">
        <v>1180</v>
      </c>
      <c r="I12" s="430">
        <v>13</v>
      </c>
    </row>
    <row r="13" spans="6:9">
      <c r="F13" s="346" t="s">
        <v>1191</v>
      </c>
      <c r="G13" s="418" t="s">
        <v>1192</v>
      </c>
      <c r="H13" s="430" t="s">
        <v>1180</v>
      </c>
      <c r="I13" s="430">
        <v>8</v>
      </c>
    </row>
    <row r="14" spans="6:9">
      <c r="F14" s="346" t="s">
        <v>1193</v>
      </c>
      <c r="G14" s="418" t="s">
        <v>1194</v>
      </c>
      <c r="H14" s="430" t="s">
        <v>1180</v>
      </c>
      <c r="I14" s="430">
        <v>3</v>
      </c>
    </row>
    <row r="15" spans="6:9">
      <c r="F15" s="346" t="s">
        <v>1195</v>
      </c>
      <c r="G15" s="418" t="s">
        <v>1196</v>
      </c>
      <c r="H15" s="430" t="s">
        <v>1180</v>
      </c>
      <c r="I15" s="430">
        <v>9</v>
      </c>
    </row>
    <row r="16" spans="6:9">
      <c r="F16" s="346" t="s">
        <v>1197</v>
      </c>
      <c r="G16" s="433" t="s">
        <v>1198</v>
      </c>
      <c r="H16" s="430" t="s">
        <v>1180</v>
      </c>
      <c r="I16" s="430">
        <v>4</v>
      </c>
    </row>
    <row r="17" spans="6:9">
      <c r="F17" s="346" t="s">
        <v>1199</v>
      </c>
      <c r="G17" s="418" t="s">
        <v>1200</v>
      </c>
      <c r="H17" s="430" t="s">
        <v>1180</v>
      </c>
      <c r="I17" s="430">
        <v>10</v>
      </c>
    </row>
    <row r="18" spans="6:9">
      <c r="F18" s="346" t="s">
        <v>1201</v>
      </c>
      <c r="G18" s="418"/>
      <c r="H18" s="430" t="s">
        <v>1202</v>
      </c>
      <c r="I18" s="430"/>
    </row>
    <row r="19" spans="6:9">
      <c r="F19" s="346" t="s">
        <v>1203</v>
      </c>
      <c r="G19" s="418" t="s">
        <v>1204</v>
      </c>
      <c r="H19" s="430" t="s">
        <v>1180</v>
      </c>
      <c r="I19" s="430">
        <v>5</v>
      </c>
    </row>
    <row r="20" spans="6:9">
      <c r="F20" s="346"/>
      <c r="G20" s="418"/>
      <c r="H20" s="430"/>
      <c r="I20" s="430"/>
    </row>
    <row r="21" spans="6:9">
      <c r="F21" s="346" t="s">
        <v>1205</v>
      </c>
      <c r="G21" s="418"/>
      <c r="H21" s="430" t="s">
        <v>1180</v>
      </c>
      <c r="I21" s="430">
        <v>11</v>
      </c>
    </row>
    <row r="22" spans="6:9">
      <c r="F22" s="346"/>
      <c r="G22" s="418"/>
      <c r="H22" s="430"/>
      <c r="I22" s="430"/>
    </row>
    <row r="23" spans="6:9">
      <c r="F23" s="346" t="s">
        <v>1206</v>
      </c>
      <c r="G23" s="418"/>
      <c r="H23" s="430" t="s">
        <v>1180</v>
      </c>
      <c r="I23" s="430">
        <v>14</v>
      </c>
    </row>
    <row r="24" spans="6:9">
      <c r="F24" s="346"/>
      <c r="G24" s="418"/>
      <c r="H24" s="430"/>
      <c r="I24" s="430"/>
    </row>
    <row r="25" spans="6:9">
      <c r="F25" s="346" t="s">
        <v>1207</v>
      </c>
      <c r="G25" s="418"/>
      <c r="H25" s="430" t="s">
        <v>1177</v>
      </c>
      <c r="I25" s="430"/>
    </row>
    <row r="26" spans="6:9">
      <c r="F26" s="346"/>
      <c r="G26" s="418"/>
      <c r="H26" s="430"/>
      <c r="I26" s="430"/>
    </row>
    <row r="27" spans="6:9">
      <c r="F27" s="347"/>
      <c r="G27" s="434"/>
      <c r="H27" s="431"/>
      <c r="I27" s="431"/>
    </row>
    <row r="29" spans="6:9">
      <c r="F29" t="s">
        <v>1208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0A467-0704-41B9-ACFD-19181D323662}">
  <sheetPr>
    <tabColor theme="3" tint="-0.499984740745262"/>
  </sheetPr>
  <dimension ref="C5:I13"/>
  <sheetViews>
    <sheetView workbookViewId="0">
      <selection activeCell="F15" sqref="F15"/>
    </sheetView>
  </sheetViews>
  <sheetFormatPr defaultRowHeight="15"/>
  <cols>
    <col min="3" max="3" width="14.42578125" bestFit="1" customWidth="1"/>
    <col min="4" max="4" width="39.5703125" bestFit="1" customWidth="1"/>
    <col min="6" max="6" width="23.140625" bestFit="1" customWidth="1"/>
    <col min="7" max="7" width="11.28515625" bestFit="1" customWidth="1"/>
    <col min="8" max="8" width="5.7109375" bestFit="1" customWidth="1"/>
    <col min="9" max="9" width="8.42578125" bestFit="1" customWidth="1"/>
  </cols>
  <sheetData>
    <row r="5" spans="3:9">
      <c r="C5" s="304" t="s">
        <v>1209</v>
      </c>
      <c r="D5" s="304" t="s">
        <v>1210</v>
      </c>
      <c r="E5" s="304" t="s">
        <v>1211</v>
      </c>
      <c r="F5" s="304" t="s">
        <v>1212</v>
      </c>
      <c r="G5" s="304" t="s">
        <v>1213</v>
      </c>
      <c r="H5" s="304" t="s">
        <v>1214</v>
      </c>
      <c r="I5" s="304" t="s">
        <v>1215</v>
      </c>
    </row>
    <row r="6" spans="3:9">
      <c r="C6" t="s">
        <v>1216</v>
      </c>
      <c r="D6" t="s">
        <v>1217</v>
      </c>
      <c r="E6" t="s">
        <v>1218</v>
      </c>
      <c r="F6" t="s">
        <v>1219</v>
      </c>
      <c r="G6" t="s">
        <v>1220</v>
      </c>
      <c r="H6" s="553" t="s">
        <v>1221</v>
      </c>
      <c r="I6">
        <v>42304</v>
      </c>
    </row>
    <row r="7" spans="3:9">
      <c r="C7" t="s">
        <v>1216</v>
      </c>
      <c r="D7" t="s">
        <v>1222</v>
      </c>
      <c r="E7" t="s">
        <v>1223</v>
      </c>
      <c r="F7" t="s">
        <v>1224</v>
      </c>
      <c r="G7" t="s">
        <v>1225</v>
      </c>
      <c r="H7" t="s">
        <v>1226</v>
      </c>
      <c r="I7" s="553">
        <v>39110</v>
      </c>
    </row>
    <row r="8" spans="3:9">
      <c r="C8" t="s">
        <v>1216</v>
      </c>
      <c r="D8" t="s">
        <v>1227</v>
      </c>
      <c r="E8" t="s">
        <v>1228</v>
      </c>
      <c r="F8" t="s">
        <v>1229</v>
      </c>
      <c r="G8" t="s">
        <v>1230</v>
      </c>
      <c r="H8" t="s">
        <v>1231</v>
      </c>
      <c r="I8">
        <v>70663</v>
      </c>
    </row>
    <row r="9" spans="3:9">
      <c r="C9" t="s">
        <v>1216</v>
      </c>
      <c r="D9" t="s">
        <v>1232</v>
      </c>
      <c r="E9" t="s">
        <v>1233</v>
      </c>
      <c r="F9" t="s">
        <v>1234</v>
      </c>
      <c r="G9" t="s">
        <v>1220</v>
      </c>
      <c r="H9" t="s">
        <v>1235</v>
      </c>
      <c r="I9">
        <v>42304</v>
      </c>
    </row>
    <row r="10" spans="3:9">
      <c r="C10" t="s">
        <v>1216</v>
      </c>
      <c r="D10" t="s">
        <v>1236</v>
      </c>
      <c r="E10" t="s">
        <v>1237</v>
      </c>
      <c r="F10" t="s">
        <v>1238</v>
      </c>
      <c r="G10" s="289" t="s">
        <v>1239</v>
      </c>
      <c r="H10" t="s">
        <v>1240</v>
      </c>
      <c r="I10">
        <v>77046</v>
      </c>
    </row>
    <row r="11" spans="3:9">
      <c r="C11" t="s">
        <v>1216</v>
      </c>
      <c r="D11" t="s">
        <v>1241</v>
      </c>
      <c r="E11" t="s">
        <v>1242</v>
      </c>
      <c r="F11" t="s">
        <v>1238</v>
      </c>
      <c r="G11" t="s">
        <v>1239</v>
      </c>
      <c r="H11" t="s">
        <v>1240</v>
      </c>
      <c r="I11" s="289">
        <v>77046</v>
      </c>
    </row>
    <row r="12" spans="3:9">
      <c r="C12" t="s">
        <v>1216</v>
      </c>
      <c r="D12" t="s">
        <v>1243</v>
      </c>
      <c r="E12" t="s">
        <v>1244</v>
      </c>
    </row>
    <row r="13" spans="3:9">
      <c r="C13" t="s">
        <v>1216</v>
      </c>
      <c r="D13" t="s">
        <v>1245</v>
      </c>
      <c r="E13" t="s">
        <v>1246</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D29F7-2365-4412-9654-87D85634E25E}">
  <sheetPr codeName="Sheet1">
    <tabColor theme="4" tint="0.59999389629810485"/>
  </sheetPr>
  <dimension ref="A1:AR52"/>
  <sheetViews>
    <sheetView topLeftCell="I25" workbookViewId="0">
      <selection activeCell="M47" sqref="M47"/>
    </sheetView>
  </sheetViews>
  <sheetFormatPr defaultColWidth="9.140625" defaultRowHeight="15"/>
  <cols>
    <col min="1" max="1" width="22.140625" bestFit="1" customWidth="1"/>
    <col min="5" max="5" width="16.42578125" customWidth="1"/>
    <col min="6" max="7" width="9.140625" customWidth="1"/>
    <col min="8" max="8" width="7" customWidth="1"/>
    <col min="9" max="9" width="17.85546875" customWidth="1"/>
    <col min="10" max="10" width="12" customWidth="1"/>
    <col min="11" max="12" width="9.140625" customWidth="1"/>
    <col min="13" max="13" width="21.5703125" customWidth="1"/>
    <col min="14" max="14" width="17.42578125" customWidth="1"/>
    <col min="15" max="16" width="9.140625" customWidth="1"/>
    <col min="17" max="17" width="21.5703125" customWidth="1"/>
    <col min="18" max="18" width="17" customWidth="1"/>
    <col min="19" max="25" width="9.140625" customWidth="1"/>
    <col min="26" max="26" width="16.140625" bestFit="1" customWidth="1"/>
    <col min="27" max="30" width="9.140625" customWidth="1"/>
    <col min="31" max="31" width="16.140625" bestFit="1" customWidth="1"/>
    <col min="32" max="33" width="9.140625" customWidth="1"/>
    <col min="34" max="34" width="27.5703125" bestFit="1" customWidth="1"/>
    <col min="35" max="38" width="9.140625" customWidth="1"/>
    <col min="39" max="39" width="26.42578125" bestFit="1" customWidth="1"/>
    <col min="40" max="43" width="9.140625" customWidth="1"/>
    <col min="47" max="47" width="21.5703125" bestFit="1" customWidth="1"/>
    <col min="48" max="48" width="17.42578125" bestFit="1" customWidth="1"/>
  </cols>
  <sheetData>
    <row r="1" spans="1:44">
      <c r="A1" s="561" t="s">
        <v>1247</v>
      </c>
      <c r="B1" s="1395">
        <v>10</v>
      </c>
      <c r="C1" s="1396"/>
      <c r="D1" s="1397" t="s">
        <v>21</v>
      </c>
      <c r="E1" s="1398"/>
      <c r="F1" s="382"/>
      <c r="G1" s="583">
        <f>B1</f>
        <v>10</v>
      </c>
      <c r="H1" s="1433"/>
      <c r="I1" s="1433"/>
      <c r="J1" s="1433"/>
      <c r="K1" s="1433"/>
      <c r="L1" s="382"/>
      <c r="M1" s="262"/>
      <c r="N1" s="262"/>
      <c r="O1" s="262"/>
      <c r="P1" s="382"/>
      <c r="Q1" s="382"/>
      <c r="R1" s="382"/>
      <c r="S1" s="382"/>
      <c r="T1" s="382"/>
      <c r="U1" s="382" t="s">
        <v>1248</v>
      </c>
      <c r="V1" s="382">
        <v>1</v>
      </c>
      <c r="W1" s="382" t="s">
        <v>810</v>
      </c>
      <c r="X1" s="382"/>
      <c r="Y1" s="382" t="s">
        <v>1249</v>
      </c>
      <c r="Z1" s="382">
        <f>V1+V2</f>
        <v>3</v>
      </c>
      <c r="AA1" s="382"/>
      <c r="AB1" s="382"/>
      <c r="AC1" s="382"/>
      <c r="AD1" s="382"/>
      <c r="AE1" s="382"/>
      <c r="AF1" s="382"/>
      <c r="AG1" s="382"/>
      <c r="AH1" s="382"/>
      <c r="AI1" s="382"/>
      <c r="AJ1" s="382"/>
      <c r="AK1" s="382"/>
      <c r="AL1" s="382"/>
      <c r="AM1" s="382"/>
      <c r="AN1" s="382"/>
      <c r="AO1" s="382"/>
      <c r="AP1" s="382"/>
      <c r="AQ1" s="382"/>
      <c r="AR1" s="382"/>
    </row>
    <row r="2" spans="1:44">
      <c r="A2" s="561" t="s">
        <v>545</v>
      </c>
      <c r="B2" s="1399">
        <f>IF(B1&gt;12.75,2,1)</f>
        <v>1</v>
      </c>
      <c r="C2" s="1400"/>
      <c r="D2" s="1397" t="s">
        <v>1250</v>
      </c>
      <c r="E2" s="1398"/>
      <c r="F2" s="382"/>
      <c r="G2" s="382">
        <f>B2</f>
        <v>1</v>
      </c>
      <c r="H2" s="1433"/>
      <c r="I2" s="1433"/>
      <c r="J2" s="1433"/>
      <c r="K2" s="1433"/>
      <c r="L2" s="382"/>
      <c r="M2" s="262"/>
      <c r="N2" s="262"/>
      <c r="O2" s="262"/>
      <c r="P2" s="382"/>
      <c r="Q2" s="382"/>
      <c r="R2" s="382"/>
      <c r="S2" s="382"/>
      <c r="T2" s="382"/>
      <c r="U2" s="382" t="s">
        <v>1251</v>
      </c>
      <c r="V2" s="382">
        <v>2</v>
      </c>
      <c r="W2" s="382" t="s">
        <v>810</v>
      </c>
      <c r="X2" s="382"/>
      <c r="Y2" s="382"/>
      <c r="Z2" s="382"/>
      <c r="AA2" s="382"/>
      <c r="AB2" s="382"/>
      <c r="AC2" s="382"/>
      <c r="AD2" s="382"/>
      <c r="AE2" s="382"/>
      <c r="AF2" s="382"/>
      <c r="AG2" s="382"/>
      <c r="AH2" s="382"/>
      <c r="AI2" s="382"/>
      <c r="AJ2" s="382"/>
      <c r="AK2" s="382"/>
      <c r="AL2" s="382"/>
      <c r="AM2" s="382"/>
      <c r="AN2" s="382"/>
      <c r="AO2" s="382"/>
      <c r="AP2" s="382"/>
      <c r="AQ2" s="382"/>
      <c r="AR2" s="382"/>
    </row>
    <row r="3" spans="1:44">
      <c r="A3" s="561" t="s">
        <v>1252</v>
      </c>
      <c r="B3" s="1401">
        <v>12</v>
      </c>
      <c r="C3" s="1401"/>
      <c r="D3" s="382"/>
      <c r="E3" s="382"/>
      <c r="F3" s="382"/>
      <c r="G3" s="382"/>
      <c r="H3" s="382"/>
      <c r="I3" s="382"/>
      <c r="J3" s="382"/>
      <c r="K3" s="382"/>
      <c r="L3" s="382"/>
      <c r="M3" s="262"/>
      <c r="N3" s="262"/>
      <c r="O3" s="262"/>
      <c r="P3" s="382"/>
      <c r="Q3" s="382"/>
      <c r="R3" s="382"/>
      <c r="S3" s="382"/>
      <c r="T3" s="382"/>
      <c r="U3" s="382"/>
      <c r="V3" s="382"/>
      <c r="W3" s="382"/>
      <c r="X3" s="382"/>
      <c r="Y3" s="382"/>
      <c r="Z3" s="382"/>
      <c r="AA3" s="382"/>
      <c r="AB3" s="382"/>
      <c r="AC3" s="382"/>
      <c r="AD3" s="382"/>
      <c r="AE3" s="382"/>
      <c r="AF3" s="382"/>
      <c r="AG3" s="382"/>
      <c r="AH3" s="382"/>
      <c r="AI3" s="382"/>
      <c r="AJ3" s="382"/>
      <c r="AK3" s="382"/>
      <c r="AL3" s="382"/>
      <c r="AM3" s="382"/>
      <c r="AN3" s="382"/>
      <c r="AO3" s="382"/>
      <c r="AP3" s="382"/>
      <c r="AQ3" s="382"/>
      <c r="AR3" s="382"/>
    </row>
    <row r="4" spans="1:44" ht="15.75" thickBot="1">
      <c r="A4" s="382"/>
      <c r="B4" s="1434"/>
      <c r="C4" s="1434"/>
      <c r="D4" s="382"/>
      <c r="E4" s="382"/>
      <c r="F4" s="382"/>
      <c r="G4" s="382"/>
      <c r="H4" s="1434"/>
      <c r="I4" s="1434"/>
      <c r="J4" s="1433"/>
      <c r="K4" s="1433"/>
      <c r="L4" s="382"/>
      <c r="M4" s="262"/>
      <c r="N4" s="262"/>
      <c r="O4" s="262"/>
      <c r="P4" s="382"/>
      <c r="Q4" s="382"/>
      <c r="R4" s="382"/>
      <c r="S4" s="382"/>
      <c r="T4" s="382"/>
      <c r="U4" s="382"/>
      <c r="V4" s="382"/>
      <c r="W4" s="382"/>
      <c r="X4" s="382"/>
      <c r="Y4" s="382"/>
      <c r="Z4" s="382"/>
      <c r="AA4" s="382"/>
      <c r="AB4" s="382"/>
      <c r="AC4" s="382"/>
      <c r="AD4" s="382"/>
      <c r="AE4" s="382"/>
      <c r="AF4" s="382"/>
      <c r="AG4" s="382"/>
      <c r="AH4" s="382"/>
      <c r="AI4" s="382"/>
      <c r="AJ4" s="382"/>
      <c r="AK4" s="382"/>
      <c r="AL4" s="382"/>
      <c r="AM4" s="382"/>
      <c r="AN4" s="382"/>
      <c r="AO4" s="382"/>
      <c r="AP4" s="382"/>
      <c r="AQ4" s="382"/>
      <c r="AR4" s="382"/>
    </row>
    <row r="5" spans="1:44" ht="15.75" thickBot="1">
      <c r="A5" s="382"/>
      <c r="B5" s="563" t="s">
        <v>1253</v>
      </c>
      <c r="C5" s="563"/>
      <c r="D5" s="1387" t="s">
        <v>1254</v>
      </c>
      <c r="E5" s="1388"/>
      <c r="F5" s="578" t="s">
        <v>1255</v>
      </c>
      <c r="G5" s="563" t="s">
        <v>1256</v>
      </c>
      <c r="H5" s="563" t="s">
        <v>75</v>
      </c>
      <c r="I5" s="563" t="s">
        <v>1257</v>
      </c>
      <c r="J5" s="563" t="s">
        <v>32</v>
      </c>
      <c r="K5" s="561" t="s">
        <v>477</v>
      </c>
      <c r="L5" s="561" t="s">
        <v>1258</v>
      </c>
      <c r="M5" s="262"/>
      <c r="N5" s="262"/>
      <c r="O5" s="262"/>
      <c r="P5" s="382"/>
      <c r="Q5" s="382"/>
      <c r="R5" s="382"/>
      <c r="S5" s="382"/>
      <c r="T5" s="382"/>
      <c r="U5" s="679">
        <f>B3</f>
        <v>12</v>
      </c>
      <c r="V5" s="677" t="s">
        <v>440</v>
      </c>
      <c r="W5" s="677">
        <f>(U5/Z1)*V2</f>
        <v>8</v>
      </c>
      <c r="X5" s="677" t="s">
        <v>1251</v>
      </c>
      <c r="Y5" s="1406" t="s">
        <v>441</v>
      </c>
      <c r="Z5" s="1406"/>
      <c r="AA5" s="677">
        <f>(U5/Z1)*V1</f>
        <v>4</v>
      </c>
      <c r="AB5" s="678" t="s">
        <v>1248</v>
      </c>
      <c r="AC5" s="382"/>
      <c r="AD5" s="382"/>
      <c r="AE5" s="382"/>
      <c r="AF5" s="382"/>
      <c r="AG5" s="382"/>
      <c r="AH5" s="382"/>
      <c r="AI5" s="382"/>
      <c r="AJ5" s="382"/>
      <c r="AK5" s="382"/>
      <c r="AL5" s="382"/>
    </row>
    <row r="6" spans="1:44" ht="15.75" thickBot="1">
      <c r="A6" s="564" t="s">
        <v>1259</v>
      </c>
      <c r="B6" s="1389">
        <f>K6*PI()</f>
        <v>31.415926535897931</v>
      </c>
      <c r="C6" s="1390"/>
      <c r="D6" s="1391" t="s">
        <v>1260</v>
      </c>
      <c r="E6" s="1392"/>
      <c r="F6" s="577"/>
      <c r="G6" s="579"/>
      <c r="H6" s="577"/>
      <c r="I6" s="579"/>
      <c r="J6" s="572"/>
      <c r="K6" s="592">
        <f>B1</f>
        <v>10</v>
      </c>
      <c r="L6" s="393">
        <v>1.4999999999999999E-2</v>
      </c>
      <c r="M6" s="262"/>
      <c r="N6" s="262"/>
      <c r="O6" s="262"/>
      <c r="P6" s="382"/>
      <c r="Q6" s="382"/>
      <c r="R6" s="562" t="s">
        <v>1261</v>
      </c>
      <c r="S6" s="382" t="s">
        <v>362</v>
      </c>
      <c r="T6" s="382"/>
      <c r="U6" s="382"/>
      <c r="V6" s="382"/>
      <c r="W6" s="382"/>
      <c r="X6" s="382"/>
      <c r="AA6" s="382"/>
      <c r="AB6" s="382"/>
      <c r="AC6" s="382"/>
      <c r="AD6" s="382"/>
      <c r="AE6" s="382"/>
      <c r="AF6" s="382"/>
      <c r="AG6" s="382"/>
      <c r="AH6" s="382"/>
      <c r="AI6" s="382"/>
      <c r="AJ6" s="382"/>
      <c r="AK6" s="382"/>
      <c r="AL6" s="382"/>
    </row>
    <row r="7" spans="1:44" ht="15.75" thickBot="1">
      <c r="A7" s="565" t="s">
        <v>1259</v>
      </c>
      <c r="B7" s="1389">
        <f t="shared" ref="B7:B16" si="0">K7*PI()</f>
        <v>31.51017431550563</v>
      </c>
      <c r="C7" s="1390"/>
      <c r="D7" s="1393" t="s">
        <v>1260</v>
      </c>
      <c r="E7" s="1394"/>
      <c r="F7" s="575">
        <f>B6+B7</f>
        <v>62.926100851403561</v>
      </c>
      <c r="G7" s="580">
        <f>F7/12</f>
        <v>5.2438417376169637</v>
      </c>
      <c r="H7" s="569">
        <f>TRUNC(G7,0)</f>
        <v>5</v>
      </c>
      <c r="I7" s="580">
        <f>G7-H7</f>
        <v>0.24384173761696371</v>
      </c>
      <c r="J7" s="573">
        <f>ROUNDUP(12*I7,0)</f>
        <v>3</v>
      </c>
      <c r="K7" s="393">
        <f>(K6+L6)+L7</f>
        <v>10.030000000000001</v>
      </c>
      <c r="L7" s="393">
        <v>1.4999999999999999E-2</v>
      </c>
      <c r="M7" s="262"/>
      <c r="N7" s="262"/>
      <c r="O7" s="262"/>
      <c r="P7" s="382"/>
      <c r="Q7" s="382"/>
      <c r="R7" s="382">
        <f>(H7+(J7/12))</f>
        <v>5.25</v>
      </c>
      <c r="S7" s="592">
        <f>R7*12</f>
        <v>63</v>
      </c>
      <c r="T7" s="382"/>
      <c r="U7" s="382"/>
      <c r="V7" s="382"/>
      <c r="W7" s="382"/>
      <c r="X7" s="382"/>
      <c r="AA7" s="382"/>
      <c r="AB7" s="382"/>
      <c r="AC7" s="382"/>
      <c r="AD7" s="382"/>
      <c r="AE7" s="382"/>
      <c r="AF7" s="382"/>
      <c r="AG7" s="382"/>
      <c r="AH7" s="382"/>
      <c r="AI7" s="382"/>
      <c r="AJ7" s="382"/>
      <c r="AK7" s="382"/>
      <c r="AL7" s="382"/>
    </row>
    <row r="8" spans="1:44" ht="15.75" thickBot="1">
      <c r="A8" s="564" t="s">
        <v>1262</v>
      </c>
      <c r="B8" s="1389">
        <f t="shared" si="0"/>
        <v>31.626413243688454</v>
      </c>
      <c r="C8" s="1390"/>
      <c r="D8" s="1391" t="s">
        <v>1251</v>
      </c>
      <c r="E8" s="1392"/>
      <c r="F8" s="577"/>
      <c r="G8" s="579"/>
      <c r="H8" s="568"/>
      <c r="I8" s="579"/>
      <c r="J8" s="572"/>
      <c r="K8" s="393">
        <f>(K7+L7)+L8</f>
        <v>10.067000000000002</v>
      </c>
      <c r="L8" s="393">
        <v>2.1999999999999999E-2</v>
      </c>
      <c r="M8" s="262"/>
      <c r="N8" s="262"/>
      <c r="O8" t="s">
        <v>1263</v>
      </c>
      <c r="P8" s="382"/>
      <c r="Q8" s="382"/>
      <c r="R8" s="382"/>
      <c r="S8" s="382"/>
      <c r="T8" s="382"/>
      <c r="U8" s="382"/>
      <c r="V8" s="382"/>
      <c r="W8" s="382" t="s">
        <v>1264</v>
      </c>
      <c r="X8" s="382"/>
      <c r="Z8" s="382"/>
      <c r="AA8" s="382" t="s">
        <v>1265</v>
      </c>
      <c r="AB8" s="382"/>
      <c r="AG8" s="382"/>
      <c r="AH8" s="382"/>
      <c r="AI8" s="382"/>
      <c r="AJ8" s="382"/>
      <c r="AK8" s="382"/>
      <c r="AL8" s="382"/>
    </row>
    <row r="9" spans="1:44" ht="15.75" thickBot="1">
      <c r="A9" s="565" t="s">
        <v>1266</v>
      </c>
      <c r="B9" s="1389">
        <f t="shared" si="0"/>
        <v>31.764643320446407</v>
      </c>
      <c r="C9" s="1390"/>
      <c r="D9" s="1393" t="s">
        <v>1251</v>
      </c>
      <c r="E9" s="1394"/>
      <c r="F9" s="575">
        <f>B8+B9</f>
        <v>63.391056564134857</v>
      </c>
      <c r="G9" s="580">
        <f>F9/12</f>
        <v>5.2825880470112381</v>
      </c>
      <c r="H9" s="569">
        <f>TRUNC(G9,0)</f>
        <v>5</v>
      </c>
      <c r="I9" s="580">
        <f>G9-H9</f>
        <v>0.28258804701123807</v>
      </c>
      <c r="J9" s="573">
        <f>ROUNDUP(12*I9,0)</f>
        <v>4</v>
      </c>
      <c r="K9" s="393">
        <f>(K8+L8)+L9</f>
        <v>10.111000000000002</v>
      </c>
      <c r="L9" s="393">
        <v>2.1999999999999999E-2</v>
      </c>
      <c r="M9" s="262"/>
      <c r="N9" s="262"/>
      <c r="O9" s="262"/>
      <c r="P9" s="382"/>
      <c r="Q9" s="382"/>
      <c r="R9" s="382">
        <f>(H9+(J9/12))</f>
        <v>5.333333333333333</v>
      </c>
      <c r="S9" s="382">
        <f>R9*12</f>
        <v>64</v>
      </c>
      <c r="T9" s="382"/>
      <c r="U9" s="382"/>
      <c r="V9" s="382"/>
      <c r="W9" s="382">
        <f>R9</f>
        <v>5.333333333333333</v>
      </c>
      <c r="X9" s="382">
        <f>CEILING(W9,30)/30</f>
        <v>1</v>
      </c>
      <c r="Z9" s="382"/>
      <c r="AA9" s="592">
        <f>R10</f>
        <v>3</v>
      </c>
      <c r="AB9" s="382">
        <f>CEILING(AA9,30)/30</f>
        <v>1</v>
      </c>
      <c r="AE9" s="382"/>
      <c r="AF9" s="382"/>
      <c r="AG9" s="382"/>
      <c r="AH9" s="382"/>
      <c r="AI9" s="382"/>
      <c r="AJ9" s="382"/>
      <c r="AK9" s="382"/>
      <c r="AL9" s="382"/>
    </row>
    <row r="10" spans="1:44" ht="15.75" thickBot="1">
      <c r="A10" s="566" t="s">
        <v>1267</v>
      </c>
      <c r="B10" s="1389">
        <f t="shared" si="0"/>
        <v>31.833758358825381</v>
      </c>
      <c r="C10" s="1390"/>
      <c r="D10" s="1389" t="s">
        <v>1248</v>
      </c>
      <c r="E10" s="1390"/>
      <c r="F10" s="576">
        <f>B10+4</f>
        <v>35.833758358825378</v>
      </c>
      <c r="G10" s="581">
        <f>F10/12</f>
        <v>2.9861465299021148</v>
      </c>
      <c r="H10" s="570">
        <f>TRUNC(G10,0)</f>
        <v>2</v>
      </c>
      <c r="I10" s="581">
        <f>G10-H10</f>
        <v>0.98614652990211482</v>
      </c>
      <c r="J10" s="574">
        <f>ROUNDUP(12*I10,0)</f>
        <v>12</v>
      </c>
      <c r="K10" s="393">
        <f t="shared" ref="K10:K19" si="1">K9+L10</f>
        <v>10.133000000000003</v>
      </c>
      <c r="L10" s="393">
        <v>2.1999999999999999E-2</v>
      </c>
      <c r="M10" s="262"/>
      <c r="N10" s="262"/>
      <c r="O10" s="262"/>
      <c r="P10" s="382"/>
      <c r="Q10" s="382"/>
      <c r="R10" s="592">
        <f>(H10+(J10/12))</f>
        <v>3</v>
      </c>
      <c r="S10" s="382">
        <f t="shared" ref="S10:S16" si="2">R10*12</f>
        <v>36</v>
      </c>
      <c r="T10" s="382"/>
      <c r="U10" s="382"/>
      <c r="V10" s="382"/>
      <c r="W10" s="382"/>
      <c r="X10" s="382"/>
      <c r="Z10" s="382"/>
      <c r="AA10" s="382"/>
      <c r="AB10" s="382"/>
      <c r="AE10" s="382"/>
      <c r="AF10" s="382"/>
      <c r="AG10" s="382"/>
      <c r="AH10" s="382"/>
      <c r="AI10" s="382"/>
      <c r="AJ10" s="382"/>
      <c r="AK10" s="382"/>
      <c r="AL10" s="382"/>
    </row>
    <row r="11" spans="1:44" ht="15.75" thickBot="1">
      <c r="A11" s="564" t="s">
        <v>1268</v>
      </c>
      <c r="B11" s="1389">
        <f t="shared" si="0"/>
        <v>31.90287339720436</v>
      </c>
      <c r="C11" s="1390"/>
      <c r="D11" s="1391" t="s">
        <v>1251</v>
      </c>
      <c r="E11" s="1392"/>
      <c r="F11" s="577"/>
      <c r="G11" s="579"/>
      <c r="H11" s="568"/>
      <c r="I11" s="579"/>
      <c r="J11" s="572"/>
      <c r="K11" s="393">
        <f t="shared" si="1"/>
        <v>10.155000000000003</v>
      </c>
      <c r="L11" s="393">
        <v>2.1999999999999999E-2</v>
      </c>
      <c r="M11" s="262"/>
      <c r="N11" s="262"/>
      <c r="O11" s="262"/>
      <c r="P11" s="382"/>
      <c r="Q11" s="382"/>
      <c r="R11" s="382"/>
      <c r="S11" s="382"/>
      <c r="T11" s="382"/>
      <c r="U11" s="382"/>
      <c r="V11" s="382"/>
      <c r="W11" s="382"/>
      <c r="X11" s="382"/>
      <c r="Z11" s="382"/>
      <c r="AA11" s="382"/>
      <c r="AB11" s="382"/>
      <c r="AE11" s="382"/>
      <c r="AF11" s="382"/>
      <c r="AG11" s="382"/>
      <c r="AH11" s="382"/>
      <c r="AI11" s="382"/>
      <c r="AJ11" s="382"/>
      <c r="AK11" s="382"/>
      <c r="AL11" s="382"/>
    </row>
    <row r="12" spans="1:44" ht="15.75" thickBot="1">
      <c r="A12" s="565" t="s">
        <v>1269</v>
      </c>
      <c r="B12" s="1389">
        <f t="shared" si="0"/>
        <v>31.971988435583334</v>
      </c>
      <c r="C12" s="1390"/>
      <c r="D12" s="1393" t="s">
        <v>1251</v>
      </c>
      <c r="E12" s="1394"/>
      <c r="F12" s="575">
        <f>B11+B12</f>
        <v>63.874861832787694</v>
      </c>
      <c r="G12" s="580">
        <f>F12/12</f>
        <v>5.3229051527323081</v>
      </c>
      <c r="H12" s="569">
        <f>TRUNC(G12,0)</f>
        <v>5</v>
      </c>
      <c r="I12" s="580">
        <f>G12-H12</f>
        <v>0.32290515273230813</v>
      </c>
      <c r="J12" s="573">
        <f>ROUNDUP(12*I12,0)</f>
        <v>4</v>
      </c>
      <c r="K12" s="393">
        <f t="shared" si="1"/>
        <v>10.177000000000003</v>
      </c>
      <c r="L12" s="393">
        <v>2.1999999999999999E-2</v>
      </c>
      <c r="M12" s="262"/>
      <c r="N12" s="262"/>
      <c r="O12" s="262"/>
      <c r="P12" s="382"/>
      <c r="Q12" s="382"/>
      <c r="R12" s="382">
        <f>(H12+(J12/12))</f>
        <v>5.333333333333333</v>
      </c>
      <c r="S12" s="382">
        <f t="shared" si="2"/>
        <v>64</v>
      </c>
      <c r="T12" s="382"/>
      <c r="U12" s="382"/>
      <c r="V12" s="382"/>
      <c r="W12" s="382">
        <f>R12</f>
        <v>5.333333333333333</v>
      </c>
      <c r="X12" s="382">
        <f>CEILING(W12,30)/30</f>
        <v>1</v>
      </c>
      <c r="Y12" s="382"/>
      <c r="Z12" s="382"/>
      <c r="AA12" s="382">
        <f>R13</f>
        <v>3.0833333333333335</v>
      </c>
      <c r="AB12" s="382">
        <f>CEILING(AA12,30)/30</f>
        <v>1</v>
      </c>
      <c r="AE12" s="382"/>
      <c r="AG12" s="382"/>
      <c r="AH12" s="382"/>
      <c r="AI12" s="382"/>
      <c r="AJ12" s="382"/>
      <c r="AK12" s="382"/>
      <c r="AL12" s="382"/>
    </row>
    <row r="13" spans="1:44" ht="15.75" thickBot="1">
      <c r="A13" s="566" t="s">
        <v>1270</v>
      </c>
      <c r="B13" s="1389">
        <f t="shared" si="0"/>
        <v>32.041103473962309</v>
      </c>
      <c r="C13" s="1390"/>
      <c r="D13" s="1389" t="s">
        <v>1248</v>
      </c>
      <c r="E13" s="1390"/>
      <c r="F13" s="576">
        <f>B13+4</f>
        <v>36.041103473962309</v>
      </c>
      <c r="G13" s="581">
        <f>F13/12</f>
        <v>3.0034252894968589</v>
      </c>
      <c r="H13" s="570">
        <f>TRUNC(G13,0)</f>
        <v>3</v>
      </c>
      <c r="I13" s="581">
        <f>G13-H13</f>
        <v>3.4252894968589409E-3</v>
      </c>
      <c r="J13" s="574">
        <f>ROUNDUP(12*I13,0)</f>
        <v>1</v>
      </c>
      <c r="K13" s="393">
        <f t="shared" si="1"/>
        <v>10.199000000000003</v>
      </c>
      <c r="L13" s="393">
        <v>2.1999999999999999E-2</v>
      </c>
      <c r="M13" s="262"/>
      <c r="N13" s="262"/>
      <c r="O13" s="262"/>
      <c r="P13" s="382"/>
      <c r="Q13" s="382"/>
      <c r="R13" s="382">
        <f>(H13+(J13/12))</f>
        <v>3.0833333333333335</v>
      </c>
      <c r="S13" s="382">
        <f t="shared" si="2"/>
        <v>37</v>
      </c>
      <c r="T13" s="382"/>
      <c r="U13" s="382"/>
      <c r="V13" s="382"/>
      <c r="W13" s="382"/>
      <c r="X13" s="382"/>
      <c r="Y13" s="382"/>
      <c r="Z13" s="382"/>
      <c r="AA13" s="382"/>
      <c r="AB13" s="382"/>
      <c r="AE13" s="382"/>
      <c r="AF13" s="382"/>
      <c r="AG13" s="382"/>
      <c r="AH13" s="382"/>
      <c r="AI13" s="382"/>
      <c r="AJ13" s="382"/>
      <c r="AK13" s="382"/>
      <c r="AL13" s="382"/>
    </row>
    <row r="14" spans="1:44" ht="15.75" thickBot="1">
      <c r="A14" s="564" t="s">
        <v>1271</v>
      </c>
      <c r="B14" s="1389">
        <f t="shared" si="0"/>
        <v>32.110218512341284</v>
      </c>
      <c r="C14" s="1390"/>
      <c r="D14" s="1391" t="s">
        <v>1251</v>
      </c>
      <c r="E14" s="1392"/>
      <c r="F14" s="577"/>
      <c r="G14" s="579"/>
      <c r="H14" s="568"/>
      <c r="I14" s="579"/>
      <c r="J14" s="572"/>
      <c r="K14" s="393">
        <f t="shared" si="1"/>
        <v>10.221000000000004</v>
      </c>
      <c r="L14" s="393">
        <v>2.1999999999999999E-2</v>
      </c>
      <c r="M14" s="262"/>
      <c r="N14" s="262"/>
      <c r="O14" s="262"/>
      <c r="P14" s="382"/>
      <c r="Q14" s="382"/>
      <c r="R14" s="382"/>
      <c r="S14" s="382"/>
      <c r="T14" s="382"/>
      <c r="U14" s="382"/>
      <c r="V14" s="382"/>
      <c r="W14" s="382"/>
      <c r="X14" s="382"/>
      <c r="Y14" s="382"/>
      <c r="Z14" s="382"/>
      <c r="AA14" s="382"/>
      <c r="AB14" s="382"/>
      <c r="AE14" s="382"/>
      <c r="AF14" s="382"/>
      <c r="AG14" s="382"/>
      <c r="AH14" s="382"/>
      <c r="AI14" s="382"/>
      <c r="AJ14" s="382"/>
      <c r="AK14" s="382"/>
      <c r="AL14" s="382"/>
    </row>
    <row r="15" spans="1:44" ht="15.75" thickBot="1">
      <c r="A15" s="565" t="s">
        <v>1272</v>
      </c>
      <c r="B15" s="1389">
        <f t="shared" si="0"/>
        <v>32.179333550720266</v>
      </c>
      <c r="C15" s="1390"/>
      <c r="D15" s="1393" t="s">
        <v>1251</v>
      </c>
      <c r="E15" s="1394"/>
      <c r="F15" s="575">
        <f>B14+B15</f>
        <v>64.289552063061549</v>
      </c>
      <c r="G15" s="580">
        <f>F15/12</f>
        <v>5.3574626719217955</v>
      </c>
      <c r="H15" s="569">
        <f>TRUNC(G15,0)</f>
        <v>5</v>
      </c>
      <c r="I15" s="580">
        <f>G15-H15</f>
        <v>0.35746267192179548</v>
      </c>
      <c r="J15" s="573">
        <f>ROUNDUP(12*I15,0)</f>
        <v>5</v>
      </c>
      <c r="K15" s="393">
        <f t="shared" si="1"/>
        <v>10.243000000000004</v>
      </c>
      <c r="L15" s="393">
        <v>2.1999999999999999E-2</v>
      </c>
      <c r="M15" s="262"/>
      <c r="N15" s="262"/>
      <c r="O15" s="262"/>
      <c r="P15" s="382"/>
      <c r="Q15" s="382"/>
      <c r="R15" s="592">
        <f>(H15+(J15/12))</f>
        <v>5.416666666666667</v>
      </c>
      <c r="S15" s="382">
        <f t="shared" si="2"/>
        <v>65</v>
      </c>
      <c r="T15" s="382"/>
      <c r="U15" s="382"/>
      <c r="V15" s="382"/>
      <c r="W15" s="382">
        <f>R15</f>
        <v>5.416666666666667</v>
      </c>
      <c r="X15" s="382">
        <f>CEILING(W15,30)/30</f>
        <v>1</v>
      </c>
      <c r="Y15" s="382"/>
      <c r="Z15" s="382"/>
      <c r="AA15" s="382">
        <f>R16</f>
        <v>3.0833333333333335</v>
      </c>
      <c r="AB15" s="382">
        <f>CEILING(AA15,30)/30</f>
        <v>1</v>
      </c>
      <c r="AE15" s="382"/>
      <c r="AF15" s="382"/>
      <c r="AG15" s="382"/>
      <c r="AH15" s="382"/>
      <c r="AI15" s="382"/>
      <c r="AJ15" s="382"/>
      <c r="AK15" s="382"/>
      <c r="AL15" s="382"/>
    </row>
    <row r="16" spans="1:44">
      <c r="A16" s="567" t="s">
        <v>1273</v>
      </c>
      <c r="B16" s="1389">
        <f t="shared" si="0"/>
        <v>32.24844858909924</v>
      </c>
      <c r="C16" s="1390"/>
      <c r="D16" s="1389" t="s">
        <v>1248</v>
      </c>
      <c r="E16" s="1390"/>
      <c r="F16" s="576">
        <f>B16+4</f>
        <v>36.24844858909924</v>
      </c>
      <c r="G16" s="581">
        <f>F16/12</f>
        <v>3.0207040490916035</v>
      </c>
      <c r="H16" s="570">
        <f>TRUNC(G16,0)</f>
        <v>3</v>
      </c>
      <c r="I16" s="581">
        <f>G16-H16</f>
        <v>2.0704049091603505E-2</v>
      </c>
      <c r="J16" s="574">
        <f>ROUNDUP(12*I16,0)</f>
        <v>1</v>
      </c>
      <c r="K16" s="393">
        <f t="shared" si="1"/>
        <v>10.265000000000004</v>
      </c>
      <c r="L16" s="393">
        <v>2.1999999999999999E-2</v>
      </c>
      <c r="M16" s="262"/>
      <c r="N16" s="262"/>
      <c r="O16" s="262"/>
      <c r="P16" s="382"/>
      <c r="Q16" s="382"/>
      <c r="R16" s="382">
        <f>(H16+(J16/12))</f>
        <v>3.0833333333333335</v>
      </c>
      <c r="S16" s="382">
        <f t="shared" si="2"/>
        <v>37</v>
      </c>
      <c r="T16" s="382"/>
      <c r="U16" s="382"/>
      <c r="V16" s="382"/>
      <c r="W16" s="382"/>
      <c r="X16" s="382"/>
      <c r="Y16" s="382"/>
      <c r="Z16" s="382"/>
      <c r="AA16" s="382"/>
      <c r="AB16" s="382"/>
      <c r="AE16" s="382"/>
      <c r="AF16" s="382"/>
      <c r="AG16" s="382"/>
      <c r="AH16" s="382"/>
      <c r="AI16" s="382"/>
      <c r="AJ16" s="382"/>
      <c r="AK16" s="382"/>
      <c r="AL16" s="382"/>
    </row>
    <row r="17" spans="1:44">
      <c r="A17" s="564" t="s">
        <v>1271</v>
      </c>
      <c r="B17" s="1389">
        <f>K17*PI()</f>
        <v>32.317563627478215</v>
      </c>
      <c r="C17" s="1390"/>
      <c r="D17" s="1391" t="s">
        <v>1251</v>
      </c>
      <c r="E17" s="1392"/>
      <c r="F17" s="577"/>
      <c r="G17" s="579"/>
      <c r="H17" s="568"/>
      <c r="I17" s="579"/>
      <c r="J17" s="572"/>
      <c r="K17" s="393">
        <f t="shared" si="1"/>
        <v>10.287000000000004</v>
      </c>
      <c r="L17" s="393">
        <v>2.1999999999999999E-2</v>
      </c>
      <c r="M17" s="262"/>
      <c r="N17" s="262"/>
      <c r="O17" s="262"/>
      <c r="P17" s="382"/>
      <c r="Q17" s="382"/>
      <c r="R17" s="382"/>
      <c r="S17" s="382"/>
      <c r="T17" s="382"/>
      <c r="U17" s="382"/>
      <c r="V17" s="382"/>
      <c r="W17" s="382"/>
      <c r="X17" s="382"/>
      <c r="Y17" s="382"/>
      <c r="Z17" s="382"/>
      <c r="AA17" s="382"/>
      <c r="AB17" s="382"/>
      <c r="AE17" s="382"/>
      <c r="AF17" s="382"/>
      <c r="AG17" s="382"/>
      <c r="AH17" s="382"/>
      <c r="AI17" s="382"/>
      <c r="AJ17" s="382"/>
      <c r="AK17" s="382"/>
      <c r="AL17" s="382"/>
    </row>
    <row r="18" spans="1:44">
      <c r="A18" s="565" t="s">
        <v>1272</v>
      </c>
      <c r="B18" s="1389">
        <f t="shared" ref="B17:B19" si="3">K18*PI()</f>
        <v>32.38667866585719</v>
      </c>
      <c r="C18" s="1390"/>
      <c r="D18" s="1393" t="s">
        <v>1251</v>
      </c>
      <c r="E18" s="1394"/>
      <c r="F18" s="575">
        <f>B17+B18</f>
        <v>64.704242293335398</v>
      </c>
      <c r="G18" s="580">
        <f>F18/12</f>
        <v>5.3920201911112828</v>
      </c>
      <c r="H18" s="569">
        <f>TRUNC(G18,0)</f>
        <v>5</v>
      </c>
      <c r="I18" s="580">
        <f>G18-H18</f>
        <v>0.39202019111128283</v>
      </c>
      <c r="J18" s="573">
        <f>ROUNDUP(12*I18,0)</f>
        <v>5</v>
      </c>
      <c r="K18" s="393">
        <f t="shared" si="1"/>
        <v>10.309000000000005</v>
      </c>
      <c r="L18" s="393">
        <v>2.1999999999999999E-2</v>
      </c>
      <c r="M18" s="262"/>
      <c r="N18" s="262"/>
      <c r="O18" s="262"/>
      <c r="P18" s="382"/>
      <c r="Q18" s="382"/>
      <c r="R18" s="592">
        <f>(H18+(J18/12))</f>
        <v>5.416666666666667</v>
      </c>
      <c r="S18" s="382">
        <f t="shared" ref="S18:S19" si="4">R18*12</f>
        <v>65</v>
      </c>
      <c r="T18" s="382"/>
      <c r="U18" s="382"/>
      <c r="V18" s="382"/>
      <c r="W18" s="382">
        <f>R18</f>
        <v>5.416666666666667</v>
      </c>
      <c r="X18" s="382">
        <f>CEILING(W18,30)/30</f>
        <v>1</v>
      </c>
      <c r="Y18" s="382"/>
      <c r="Z18" s="382"/>
      <c r="AA18" s="382">
        <f>R19</f>
        <v>3.0833333333333335</v>
      </c>
      <c r="AB18" s="382">
        <f>CEILING(AA18,30)/30</f>
        <v>1</v>
      </c>
      <c r="AE18" s="382"/>
      <c r="AF18" s="382"/>
      <c r="AG18" s="382"/>
      <c r="AH18" s="382"/>
      <c r="AI18" s="382"/>
      <c r="AJ18" s="382"/>
      <c r="AK18" s="382"/>
      <c r="AL18" s="382"/>
    </row>
    <row r="19" spans="1:44">
      <c r="A19" s="567" t="s">
        <v>1273</v>
      </c>
      <c r="B19" s="1389">
        <f t="shared" si="3"/>
        <v>32.455793704236164</v>
      </c>
      <c r="C19" s="1390"/>
      <c r="D19" s="1389" t="s">
        <v>1248</v>
      </c>
      <c r="E19" s="1390"/>
      <c r="F19" s="576">
        <f>B19+4</f>
        <v>36.455793704236164</v>
      </c>
      <c r="G19" s="581">
        <f>F19/12</f>
        <v>3.0379828086863472</v>
      </c>
      <c r="H19" s="570">
        <f>TRUNC(G19,0)</f>
        <v>3</v>
      </c>
      <c r="I19" s="581">
        <f>G19-H19</f>
        <v>3.798280868634718E-2</v>
      </c>
      <c r="J19" s="574">
        <f>ROUNDUP(12*I19,0)</f>
        <v>1</v>
      </c>
      <c r="K19" s="393">
        <f t="shared" si="1"/>
        <v>10.331000000000005</v>
      </c>
      <c r="L19" s="393">
        <v>2.1999999999999999E-2</v>
      </c>
      <c r="M19" s="262"/>
      <c r="N19" s="262"/>
      <c r="O19" s="262"/>
      <c r="P19" s="382"/>
      <c r="Q19" s="382"/>
      <c r="R19" s="382">
        <f>(H19+(J19/12))</f>
        <v>3.0833333333333335</v>
      </c>
      <c r="S19" s="382">
        <f t="shared" si="4"/>
        <v>37</v>
      </c>
      <c r="T19" s="382"/>
      <c r="U19" s="382"/>
      <c r="V19" s="382"/>
      <c r="W19" s="382"/>
      <c r="X19" s="382"/>
      <c r="Y19" s="382"/>
      <c r="Z19" s="382"/>
      <c r="AA19" s="382"/>
      <c r="AB19" s="382"/>
      <c r="AE19" s="382"/>
      <c r="AF19" s="382"/>
      <c r="AG19" s="382"/>
      <c r="AH19" s="382"/>
      <c r="AI19" s="382"/>
      <c r="AJ19" s="382"/>
      <c r="AK19" s="382"/>
      <c r="AL19" s="382"/>
    </row>
    <row r="20" spans="1:44">
      <c r="A20" s="382"/>
      <c r="B20" s="1402"/>
      <c r="C20" s="1402"/>
      <c r="D20" s="1435"/>
      <c r="E20" s="1435"/>
      <c r="F20" s="393"/>
      <c r="G20" s="393" t="s">
        <v>906</v>
      </c>
      <c r="H20" s="1403">
        <v>30</v>
      </c>
      <c r="I20" s="1403"/>
      <c r="J20" s="592">
        <f>CEILING(J9+J12+J15+J18,12)</f>
        <v>24</v>
      </c>
      <c r="K20" s="393">
        <f>J20/12</f>
        <v>2</v>
      </c>
      <c r="L20" s="393"/>
      <c r="M20" s="262"/>
      <c r="N20" s="262"/>
      <c r="O20" s="262"/>
      <c r="P20" s="382"/>
      <c r="Q20" s="382"/>
      <c r="R20" s="382"/>
      <c r="S20" s="382"/>
      <c r="T20" s="382"/>
      <c r="U20" s="382"/>
      <c r="V20" s="382"/>
      <c r="W20" s="382"/>
      <c r="X20" s="382"/>
      <c r="Y20" s="382"/>
      <c r="Z20" s="382"/>
      <c r="AA20" s="382"/>
      <c r="AB20" s="382"/>
      <c r="AE20" s="382"/>
      <c r="AF20" s="382"/>
      <c r="AG20" s="382"/>
      <c r="AH20" s="382"/>
      <c r="AI20" s="382"/>
      <c r="AJ20" s="382"/>
      <c r="AK20" s="382"/>
      <c r="AL20" s="382"/>
    </row>
    <row r="21" spans="1:44">
      <c r="A21" s="382"/>
      <c r="B21" s="1433"/>
      <c r="C21" s="1433"/>
      <c r="D21" s="1433"/>
      <c r="E21" s="1433"/>
      <c r="F21" s="393"/>
      <c r="G21" s="393" t="s">
        <v>904</v>
      </c>
      <c r="H21" s="1404">
        <v>15</v>
      </c>
      <c r="I21" s="1404"/>
      <c r="J21" s="592">
        <f>CEILING(J10+J13+J16+J19,12)</f>
        <v>24</v>
      </c>
      <c r="K21" s="775">
        <f>J21/12</f>
        <v>2</v>
      </c>
      <c r="L21" s="393"/>
      <c r="M21" s="262"/>
      <c r="N21" s="262"/>
      <c r="O21" s="262"/>
      <c r="P21" s="382"/>
      <c r="Q21" s="382"/>
      <c r="R21" s="382" t="s">
        <v>1274</v>
      </c>
      <c r="S21" s="382"/>
      <c r="T21" s="382"/>
      <c r="U21" s="382"/>
      <c r="V21" s="382" t="s">
        <v>229</v>
      </c>
      <c r="W21" s="382">
        <f>ROUNDUP(W15,0)+ROUNDUP(W12,0)+ROUNDUP(W9,0)+ROUNDUP(W18,0)</f>
        <v>24</v>
      </c>
      <c r="X21" s="382"/>
      <c r="Y21" s="382"/>
      <c r="Z21" s="382" t="s">
        <v>229</v>
      </c>
      <c r="AA21" s="382">
        <f>ROUNDUP(AA9,0)+ROUNDUP(AA12,0)+ROUNDUP(AA15,0)+ROUNDUP(AA18,0)</f>
        <v>15</v>
      </c>
      <c r="AB21" s="382"/>
      <c r="AE21" s="382"/>
      <c r="AF21" s="382"/>
      <c r="AG21" s="382"/>
      <c r="AH21" s="382"/>
      <c r="AI21" s="382"/>
      <c r="AJ21" s="382"/>
      <c r="AK21" s="382"/>
      <c r="AL21" s="382"/>
    </row>
    <row r="22" spans="1:44">
      <c r="A22" s="1405" t="s">
        <v>1275</v>
      </c>
      <c r="B22" s="1405"/>
      <c r="C22" s="1405"/>
      <c r="D22" s="1405"/>
      <c r="E22" s="1405"/>
      <c r="F22" s="1405"/>
      <c r="G22" s="1405"/>
      <c r="H22" s="1405"/>
      <c r="I22" s="1405"/>
      <c r="J22" s="1405"/>
      <c r="R22">
        <f>R9+R10+R12+R13+R15+R16</f>
        <v>25.249999999999996</v>
      </c>
      <c r="T22" s="382"/>
      <c r="U22" s="382"/>
      <c r="W22" s="382"/>
      <c r="X22" s="382"/>
      <c r="Y22" s="382"/>
      <c r="Z22" s="382"/>
      <c r="AA22" s="382"/>
      <c r="AB22" s="382"/>
      <c r="AE22" s="382"/>
      <c r="AF22" s="382"/>
      <c r="AG22" s="382"/>
      <c r="AH22" s="382"/>
      <c r="AI22" s="382"/>
      <c r="AJ22" s="382"/>
      <c r="AK22" s="382"/>
      <c r="AL22" s="382"/>
    </row>
    <row r="23" spans="1:44">
      <c r="A23" s="304" t="s">
        <v>1276</v>
      </c>
      <c r="B23" s="582">
        <f>H20+K20</f>
        <v>32</v>
      </c>
      <c r="C23" s="1436" t="s">
        <v>75</v>
      </c>
      <c r="D23" s="1436"/>
      <c r="E23" s="1436"/>
      <c r="F23" s="1436"/>
      <c r="H23" s="1436"/>
      <c r="I23" s="1436"/>
      <c r="J23" s="1436"/>
      <c r="K23" s="1436"/>
      <c r="T23" s="382"/>
      <c r="U23" s="382"/>
      <c r="V23" s="382"/>
      <c r="W23" s="382">
        <f>50-W21</f>
        <v>26</v>
      </c>
      <c r="X23" s="382"/>
      <c r="Y23" s="382"/>
      <c r="Z23" s="382" t="s">
        <v>1277</v>
      </c>
      <c r="AA23" s="382">
        <f>W21+AA21</f>
        <v>39</v>
      </c>
      <c r="AB23" s="382"/>
      <c r="AE23" s="382"/>
      <c r="AF23" s="382"/>
      <c r="AG23" s="382"/>
      <c r="AH23" s="382"/>
      <c r="AI23" s="382"/>
      <c r="AJ23" s="382"/>
      <c r="AK23" s="382"/>
      <c r="AL23" s="382"/>
    </row>
    <row r="24" spans="1:44">
      <c r="A24" s="304" t="s">
        <v>1278</v>
      </c>
      <c r="B24" s="582">
        <f>H21+K21</f>
        <v>17</v>
      </c>
      <c r="C24" s="1436" t="s">
        <v>75</v>
      </c>
      <c r="D24" s="1436"/>
      <c r="E24" s="1436"/>
      <c r="F24" s="1436"/>
      <c r="H24" s="1436"/>
      <c r="I24" s="1436"/>
      <c r="J24" s="1436"/>
      <c r="K24" s="1436"/>
      <c r="T24" s="382"/>
      <c r="U24" s="382"/>
      <c r="V24" s="382"/>
      <c r="W24" s="382"/>
      <c r="X24" s="382"/>
      <c r="Y24" s="382"/>
      <c r="Z24" s="382"/>
      <c r="AA24" s="382"/>
      <c r="AB24" s="382"/>
      <c r="AE24" s="382"/>
      <c r="AF24" s="382"/>
      <c r="AG24" s="382"/>
      <c r="AH24" s="382"/>
      <c r="AI24" s="382"/>
      <c r="AJ24" s="382"/>
      <c r="AK24" s="382"/>
      <c r="AL24" s="382"/>
    </row>
    <row r="25" spans="1:44">
      <c r="A25" s="304" t="s">
        <v>1259</v>
      </c>
      <c r="B25" s="268">
        <f>H7</f>
        <v>5</v>
      </c>
      <c r="C25" t="s">
        <v>75</v>
      </c>
      <c r="D25" s="582">
        <f>J7</f>
        <v>3</v>
      </c>
      <c r="E25" s="1436" t="s">
        <v>32</v>
      </c>
      <c r="F25" s="1436"/>
      <c r="H25" s="1437"/>
      <c r="I25" s="1437"/>
      <c r="J25" s="1437"/>
      <c r="K25" s="1437"/>
      <c r="L25" s="260"/>
      <c r="M25" s="260"/>
      <c r="N25" s="260"/>
      <c r="O25" s="260"/>
      <c r="P25" s="260"/>
      <c r="Q25" s="260"/>
      <c r="R25" s="260"/>
      <c r="S25" s="260"/>
      <c r="T25" s="260"/>
      <c r="U25" s="260"/>
      <c r="V25" s="260"/>
      <c r="W25" s="260">
        <f>W23-W21</f>
        <v>2</v>
      </c>
      <c r="X25" s="260"/>
      <c r="Y25" s="260"/>
      <c r="Z25" s="260"/>
      <c r="AA25" s="260">
        <f>30-AA21</f>
        <v>15</v>
      </c>
      <c r="AB25" s="260"/>
      <c r="AC25" s="260"/>
      <c r="AD25" s="260"/>
      <c r="AE25" s="382"/>
      <c r="AF25" s="382"/>
      <c r="AG25" s="382"/>
      <c r="AH25" s="382"/>
      <c r="AI25" s="382"/>
      <c r="AJ25" s="382"/>
      <c r="AK25" s="382"/>
      <c r="AL25" s="382"/>
    </row>
    <row r="26" spans="1:44">
      <c r="B26" s="1436"/>
      <c r="C26" s="1436"/>
      <c r="D26" s="1436"/>
      <c r="E26" s="1436"/>
      <c r="H26" s="1437"/>
      <c r="I26" s="1437"/>
      <c r="J26" s="1437"/>
      <c r="K26" s="1437"/>
      <c r="L26" s="260"/>
      <c r="M26" s="260"/>
      <c r="N26" s="260"/>
      <c r="O26" s="260"/>
      <c r="P26" s="260"/>
      <c r="Q26" s="260"/>
      <c r="R26" s="260"/>
      <c r="S26" s="260"/>
      <c r="T26" s="260"/>
      <c r="U26" s="260"/>
      <c r="V26" s="260"/>
      <c r="W26" s="260"/>
      <c r="X26" s="260"/>
      <c r="Y26" s="260"/>
      <c r="Z26" s="260"/>
      <c r="AA26" s="260"/>
      <c r="AB26" s="260"/>
      <c r="AC26" s="260"/>
      <c r="AD26" s="260"/>
      <c r="AE26" s="260"/>
      <c r="AF26" s="382"/>
      <c r="AG26" s="382"/>
      <c r="AH26" s="382"/>
      <c r="AI26" s="382"/>
      <c r="AJ26" s="382"/>
      <c r="AK26" s="382"/>
      <c r="AL26" s="382"/>
      <c r="AM26" s="382"/>
      <c r="AN26" s="382"/>
      <c r="AO26" s="382"/>
      <c r="AP26" s="382"/>
      <c r="AQ26" s="382"/>
      <c r="AR26" s="382"/>
    </row>
    <row r="27" spans="1:44">
      <c r="A27" s="304" t="s">
        <v>1279</v>
      </c>
      <c r="B27" s="1436"/>
      <c r="C27" s="1436"/>
      <c r="D27" s="1436"/>
      <c r="E27" s="1436"/>
      <c r="H27" s="1437"/>
      <c r="I27" s="1437"/>
      <c r="J27" s="1437"/>
      <c r="K27" s="1437"/>
      <c r="L27" s="260"/>
      <c r="M27" s="260"/>
      <c r="N27" s="260"/>
      <c r="O27" s="260"/>
      <c r="P27" s="260"/>
      <c r="Q27" s="260"/>
      <c r="R27" s="260"/>
      <c r="S27" s="260"/>
      <c r="T27" s="260"/>
      <c r="U27" s="260"/>
      <c r="V27" s="260"/>
      <c r="W27" s="260"/>
      <c r="X27" s="260"/>
      <c r="Y27" s="260"/>
      <c r="Z27" s="260"/>
      <c r="AA27" s="260">
        <f>AA25+1</f>
        <v>16</v>
      </c>
      <c r="AB27" s="260"/>
      <c r="AC27" s="260"/>
      <c r="AD27" s="260"/>
      <c r="AE27" s="260"/>
      <c r="AF27" s="382"/>
      <c r="AG27" s="382"/>
      <c r="AH27" s="382"/>
      <c r="AI27" s="382"/>
      <c r="AJ27" s="382"/>
      <c r="AK27" s="382"/>
      <c r="AL27" s="382"/>
      <c r="AM27" s="382"/>
      <c r="AN27" s="382"/>
      <c r="AO27" s="382"/>
      <c r="AP27" s="382"/>
      <c r="AQ27" s="382"/>
      <c r="AR27" s="382"/>
    </row>
    <row r="28" spans="1:44">
      <c r="A28" s="304" t="s">
        <v>1276</v>
      </c>
      <c r="B28" s="268">
        <f>B23*B2</f>
        <v>32</v>
      </c>
      <c r="C28" s="1436" t="s">
        <v>75</v>
      </c>
      <c r="D28" s="1436"/>
      <c r="E28" s="1436"/>
      <c r="F28" s="1436"/>
      <c r="H28" s="1437"/>
      <c r="I28" s="1437"/>
      <c r="J28" s="1437"/>
      <c r="K28" s="1437"/>
      <c r="L28" s="260"/>
      <c r="M28" s="260"/>
      <c r="N28" s="260"/>
      <c r="O28" s="260"/>
      <c r="P28" s="260"/>
      <c r="Q28" s="260"/>
      <c r="R28" s="260"/>
      <c r="S28" s="260"/>
      <c r="T28" s="260"/>
      <c r="U28" s="260"/>
      <c r="V28" s="260"/>
      <c r="W28" s="260"/>
      <c r="X28" s="260"/>
      <c r="Y28" s="699"/>
      <c r="Z28" s="260"/>
      <c r="AA28" s="260"/>
      <c r="AB28" s="260"/>
      <c r="AC28" s="260"/>
      <c r="AD28" s="699"/>
      <c r="AE28" s="260"/>
      <c r="AF28" s="382"/>
      <c r="AG28" s="382"/>
      <c r="AH28" s="382"/>
      <c r="AI28" s="382"/>
      <c r="AJ28" s="382"/>
      <c r="AK28" s="382"/>
      <c r="AL28" s="382"/>
      <c r="AM28" s="382"/>
      <c r="AN28" s="382"/>
      <c r="AO28" s="382"/>
      <c r="AP28" s="382"/>
      <c r="AQ28" s="382"/>
      <c r="AR28" s="382"/>
    </row>
    <row r="29" spans="1:44">
      <c r="A29" s="304" t="s">
        <v>1278</v>
      </c>
      <c r="B29" s="582">
        <f>B24*B2</f>
        <v>17</v>
      </c>
      <c r="C29" s="1436" t="s">
        <v>75</v>
      </c>
      <c r="D29" s="1436"/>
      <c r="E29" s="1436"/>
      <c r="F29" s="1436"/>
      <c r="H29" s="1437"/>
      <c r="I29" s="1437"/>
      <c r="J29" s="1437"/>
      <c r="K29" s="1437"/>
      <c r="L29" s="260"/>
      <c r="M29" s="260"/>
      <c r="N29" s="260" t="s">
        <v>75</v>
      </c>
      <c r="O29" s="260" t="s">
        <v>32</v>
      </c>
      <c r="P29" s="260"/>
      <c r="Q29" s="260"/>
      <c r="R29" s="260"/>
      <c r="S29" s="260"/>
      <c r="T29" s="260"/>
      <c r="U29" s="260"/>
      <c r="V29" s="260"/>
      <c r="W29" s="260"/>
      <c r="X29" s="260"/>
      <c r="Y29" s="260"/>
      <c r="Z29" s="260"/>
      <c r="AA29" s="260">
        <f>30-AA27</f>
        <v>14</v>
      </c>
      <c r="AB29" s="260"/>
      <c r="AC29" s="260"/>
      <c r="AD29" s="260"/>
      <c r="AE29" s="260"/>
      <c r="AF29" s="382"/>
      <c r="AG29" s="382"/>
      <c r="AH29" s="382"/>
      <c r="AI29" s="382"/>
      <c r="AJ29" s="382"/>
      <c r="AK29" s="382"/>
      <c r="AL29" s="382"/>
      <c r="AM29" s="382"/>
      <c r="AN29" s="382"/>
      <c r="AO29" s="382"/>
      <c r="AP29" s="382"/>
      <c r="AQ29" s="382"/>
    </row>
    <row r="30" spans="1:44">
      <c r="A30" s="304" t="s">
        <v>1259</v>
      </c>
      <c r="B30" s="582">
        <f>N32</f>
        <v>10</v>
      </c>
      <c r="C30" t="s">
        <v>75</v>
      </c>
      <c r="D30" s="268">
        <f>O32</f>
        <v>6</v>
      </c>
      <c r="E30" s="1436" t="s">
        <v>32</v>
      </c>
      <c r="F30" s="1436"/>
      <c r="H30" s="1437"/>
      <c r="I30" s="1437"/>
      <c r="J30" s="1437"/>
      <c r="K30" s="1437"/>
      <c r="L30" s="260"/>
      <c r="M30" s="260"/>
      <c r="N30" s="260">
        <f>H7*(B2+1)</f>
        <v>10</v>
      </c>
      <c r="O30" s="260">
        <f>J7*(B2+1)</f>
        <v>6</v>
      </c>
      <c r="P30" s="260"/>
      <c r="Q30" s="260"/>
      <c r="R30" s="260"/>
      <c r="S30" s="260" t="s">
        <v>310</v>
      </c>
      <c r="T30" s="260" t="s">
        <v>316</v>
      </c>
      <c r="U30" s="260" t="s">
        <v>1280</v>
      </c>
      <c r="V30" s="260"/>
      <c r="W30" s="260"/>
      <c r="X30" s="699"/>
      <c r="Y30" s="260"/>
      <c r="Z30" s="260"/>
      <c r="AA30" s="260"/>
      <c r="AB30" s="260"/>
      <c r="AC30" s="260"/>
      <c r="AD30" s="260"/>
      <c r="AE30" s="260"/>
      <c r="AF30" s="382"/>
      <c r="AG30" s="382"/>
      <c r="AH30" s="382"/>
      <c r="AI30" s="382"/>
      <c r="AJ30" s="382"/>
      <c r="AK30" s="382"/>
      <c r="AL30" s="382"/>
      <c r="AM30" s="382"/>
      <c r="AN30" s="382"/>
      <c r="AO30" s="382"/>
      <c r="AP30" s="382"/>
      <c r="AQ30" s="382"/>
    </row>
    <row r="31" spans="1:44">
      <c r="B31" s="1436"/>
      <c r="C31" s="1436"/>
      <c r="D31" s="1436"/>
      <c r="E31" s="1436"/>
      <c r="H31" s="1437"/>
      <c r="I31" s="1437"/>
      <c r="J31" s="1437"/>
      <c r="K31" s="1437"/>
      <c r="L31" s="260"/>
      <c r="M31" s="260"/>
      <c r="N31" s="260">
        <f>TRUNC(O31,0)</f>
        <v>0</v>
      </c>
      <c r="O31" s="260">
        <f>O30/12</f>
        <v>0.5</v>
      </c>
      <c r="P31" s="260"/>
      <c r="Q31" s="260"/>
      <c r="R31" s="260"/>
      <c r="S31" s="260">
        <v>4</v>
      </c>
      <c r="T31" s="260">
        <v>4</v>
      </c>
      <c r="U31" s="260">
        <v>4</v>
      </c>
      <c r="V31" s="260"/>
      <c r="W31" s="260"/>
      <c r="X31" s="260"/>
      <c r="Y31" s="260"/>
      <c r="Z31" s="260"/>
      <c r="AA31" s="260"/>
      <c r="AB31" s="260"/>
      <c r="AC31" s="260"/>
      <c r="AD31" s="260"/>
      <c r="AE31" s="260"/>
      <c r="AF31" s="382"/>
      <c r="AG31" s="382"/>
      <c r="AH31" s="382"/>
      <c r="AI31" s="382"/>
      <c r="AJ31" s="382"/>
      <c r="AK31" s="382"/>
      <c r="AL31" s="382"/>
      <c r="AM31" s="382"/>
      <c r="AN31" s="382"/>
      <c r="AO31" s="382"/>
      <c r="AP31" s="382"/>
      <c r="AQ31" s="382"/>
    </row>
    <row r="32" spans="1:44">
      <c r="B32" s="1436"/>
      <c r="C32" s="1436"/>
      <c r="D32" s="1436"/>
      <c r="E32" s="1436"/>
      <c r="H32" s="1437"/>
      <c r="I32" s="1437"/>
      <c r="J32" s="1437"/>
      <c r="K32" s="1437"/>
      <c r="L32" s="260"/>
      <c r="M32" s="260"/>
      <c r="N32" s="260">
        <f>N30+N31</f>
        <v>10</v>
      </c>
      <c r="O32" s="260">
        <f>O30-(N31*12)</f>
        <v>6</v>
      </c>
      <c r="P32" s="260"/>
      <c r="Q32" s="260"/>
      <c r="R32" s="260"/>
      <c r="S32" s="260">
        <v>4</v>
      </c>
      <c r="T32" s="260">
        <v>4</v>
      </c>
      <c r="U32" s="260">
        <v>4</v>
      </c>
      <c r="V32" s="260"/>
      <c r="W32" s="260"/>
      <c r="X32" s="260"/>
      <c r="Y32" s="260"/>
      <c r="Z32" s="260"/>
      <c r="AA32" s="260"/>
      <c r="AB32" s="260"/>
      <c r="AC32" s="260"/>
      <c r="AD32" s="260"/>
      <c r="AE32" s="260"/>
      <c r="AF32" s="382"/>
      <c r="AG32" s="382"/>
      <c r="AH32" s="382"/>
      <c r="AI32" s="382"/>
      <c r="AJ32" s="382"/>
      <c r="AK32" s="382"/>
      <c r="AL32" s="382"/>
      <c r="AM32" s="382"/>
      <c r="AN32" s="382"/>
      <c r="AO32" s="382"/>
      <c r="AP32" s="382"/>
      <c r="AQ32" s="382"/>
    </row>
    <row r="33" spans="8:31">
      <c r="H33" s="260"/>
      <c r="I33" s="260"/>
      <c r="J33" s="260"/>
      <c r="K33" s="260"/>
      <c r="L33" s="260"/>
      <c r="M33" s="260"/>
      <c r="N33" s="260"/>
      <c r="O33" s="260"/>
      <c r="P33" s="260"/>
      <c r="Q33" s="260"/>
      <c r="R33" s="260"/>
      <c r="S33" s="260">
        <v>4</v>
      </c>
      <c r="T33" s="260">
        <v>4</v>
      </c>
      <c r="U33" s="260">
        <v>4</v>
      </c>
      <c r="V33" s="260"/>
      <c r="W33" s="260"/>
      <c r="X33" s="260"/>
      <c r="Y33" s="260"/>
      <c r="Z33" s="260"/>
      <c r="AA33" s="260"/>
      <c r="AB33" s="260"/>
      <c r="AC33" s="260"/>
      <c r="AD33" s="260"/>
      <c r="AE33" s="260"/>
    </row>
    <row r="34" spans="8:31">
      <c r="H34" s="260"/>
      <c r="I34" s="260"/>
      <c r="J34" s="260"/>
      <c r="K34" s="260"/>
      <c r="L34" s="260"/>
      <c r="M34" s="260"/>
      <c r="N34" s="260"/>
      <c r="O34" s="260"/>
      <c r="P34" s="260"/>
      <c r="Q34" s="260"/>
      <c r="R34" s="260"/>
      <c r="S34" s="260">
        <v>4</v>
      </c>
      <c r="T34" s="260">
        <v>4</v>
      </c>
      <c r="U34" s="260">
        <v>4</v>
      </c>
      <c r="V34" s="260"/>
      <c r="W34" s="260"/>
      <c r="X34" s="260"/>
      <c r="Y34" s="260"/>
      <c r="Z34" s="260"/>
      <c r="AA34" s="260"/>
      <c r="AB34" s="260"/>
      <c r="AC34" s="260"/>
      <c r="AD34" s="260"/>
      <c r="AE34" s="260"/>
    </row>
    <row r="35" spans="8:31">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row>
    <row r="36" spans="8:31">
      <c r="H36" s="260"/>
      <c r="I36" s="260"/>
      <c r="J36" s="260"/>
      <c r="K36" s="260"/>
      <c r="L36" s="260"/>
      <c r="M36" s="260"/>
      <c r="N36" s="260" t="s">
        <v>310</v>
      </c>
      <c r="O36" s="260" t="s">
        <v>316</v>
      </c>
      <c r="P36" s="260" t="s">
        <v>1280</v>
      </c>
      <c r="Q36" s="260"/>
      <c r="R36" s="260"/>
      <c r="S36" s="260"/>
      <c r="T36" s="260"/>
      <c r="U36" s="260">
        <f>SUM(S31:U34)</f>
        <v>48</v>
      </c>
      <c r="V36" s="260"/>
      <c r="W36" s="260"/>
      <c r="X36" s="260"/>
      <c r="Y36" s="260"/>
      <c r="Z36" s="260"/>
      <c r="AA36" s="260"/>
      <c r="AB36" s="260"/>
      <c r="AC36" s="260"/>
      <c r="AD36" s="260"/>
      <c r="AE36" s="260"/>
    </row>
    <row r="37" spans="8:31">
      <c r="H37" s="260"/>
      <c r="I37" s="260"/>
      <c r="J37" s="260"/>
      <c r="K37" s="260"/>
      <c r="L37" s="260"/>
      <c r="M37" s="260"/>
      <c r="N37" s="260">
        <v>6</v>
      </c>
      <c r="O37" s="260">
        <v>6</v>
      </c>
      <c r="P37" s="260">
        <v>6</v>
      </c>
      <c r="Q37" s="260"/>
      <c r="R37" s="260"/>
      <c r="S37" s="260"/>
      <c r="T37" s="260"/>
      <c r="U37" s="260"/>
      <c r="V37" s="260"/>
      <c r="W37" s="260"/>
      <c r="X37" s="260"/>
      <c r="Y37" s="260"/>
      <c r="Z37" s="260"/>
      <c r="AA37" s="260"/>
      <c r="AB37" s="260"/>
      <c r="AC37" s="260"/>
      <c r="AD37" s="260"/>
      <c r="AE37" s="260"/>
    </row>
    <row r="38" spans="8:31">
      <c r="H38" s="260"/>
      <c r="I38" s="260"/>
      <c r="J38" s="260"/>
      <c r="K38" s="260"/>
      <c r="L38" s="260"/>
      <c r="M38" s="260"/>
      <c r="N38" s="260">
        <v>6</v>
      </c>
      <c r="O38" s="260">
        <v>6</v>
      </c>
      <c r="P38" s="260">
        <v>6</v>
      </c>
      <c r="Q38" s="260"/>
      <c r="R38" s="260"/>
      <c r="S38" s="260">
        <f>SUM(S31:S34)</f>
        <v>16</v>
      </c>
      <c r="T38" s="260">
        <f t="shared" ref="T38:U38" si="5">SUM(T31:T34)</f>
        <v>16</v>
      </c>
      <c r="U38" s="260">
        <f t="shared" si="5"/>
        <v>16</v>
      </c>
      <c r="V38" s="260"/>
      <c r="W38" s="260"/>
      <c r="X38" s="260"/>
      <c r="Y38" s="260"/>
      <c r="Z38" s="260"/>
      <c r="AA38" s="260"/>
      <c r="AB38" s="260"/>
      <c r="AC38" s="260"/>
      <c r="AD38" s="260"/>
      <c r="AE38" s="260"/>
    </row>
    <row r="39" spans="8:31">
      <c r="H39" s="260"/>
      <c r="I39" s="260"/>
      <c r="J39" s="260"/>
      <c r="K39" s="260"/>
      <c r="L39" s="260"/>
      <c r="M39" s="260"/>
      <c r="N39" s="260">
        <v>6</v>
      </c>
      <c r="O39" s="260">
        <v>6</v>
      </c>
      <c r="P39" s="260">
        <v>6</v>
      </c>
      <c r="Q39" s="260"/>
      <c r="R39" s="260"/>
      <c r="S39" s="260"/>
      <c r="T39" s="260"/>
      <c r="U39" s="260"/>
      <c r="V39" s="260"/>
      <c r="W39" s="260"/>
      <c r="X39" s="260"/>
      <c r="Y39" s="260"/>
      <c r="Z39" s="260"/>
      <c r="AA39" s="260"/>
      <c r="AB39" s="260"/>
      <c r="AC39" s="260"/>
      <c r="AD39" s="260"/>
      <c r="AE39" s="260"/>
    </row>
    <row r="40" spans="8:31">
      <c r="H40" s="260"/>
      <c r="I40" s="260"/>
      <c r="J40" s="260"/>
      <c r="K40" s="260"/>
      <c r="L40" s="260"/>
      <c r="M40" s="260"/>
      <c r="N40" s="260">
        <v>6</v>
      </c>
      <c r="O40" s="260">
        <v>6</v>
      </c>
      <c r="P40" s="260">
        <v>6</v>
      </c>
      <c r="R40" s="260"/>
      <c r="S40" s="260" t="s">
        <v>1281</v>
      </c>
      <c r="T40" s="260"/>
      <c r="U40" s="260"/>
      <c r="V40" s="260"/>
      <c r="W40" s="260"/>
      <c r="X40" s="260"/>
      <c r="Y40" s="260"/>
      <c r="Z40" s="260"/>
      <c r="AA40" s="260"/>
      <c r="AB40" s="260"/>
      <c r="AC40" s="260"/>
      <c r="AD40" s="260"/>
      <c r="AE40" s="260"/>
    </row>
    <row r="41" spans="8:31">
      <c r="N41" s="260"/>
      <c r="O41" s="260"/>
      <c r="P41" s="260"/>
      <c r="S41" s="260">
        <v>30</v>
      </c>
      <c r="T41" s="260">
        <v>30</v>
      </c>
      <c r="U41" s="260"/>
      <c r="V41" s="260"/>
      <c r="W41" s="260"/>
      <c r="X41" s="260"/>
      <c r="Y41" s="260"/>
      <c r="Z41" s="260"/>
      <c r="AA41" s="260"/>
      <c r="AB41" s="260"/>
      <c r="AC41" s="260"/>
      <c r="AD41" s="260"/>
      <c r="AE41" s="260"/>
    </row>
    <row r="42" spans="8:31">
      <c r="N42" s="260"/>
      <c r="O42" s="260"/>
      <c r="P42" s="260">
        <f>SUM(N37:P40)</f>
        <v>72</v>
      </c>
      <c r="U42" s="260"/>
      <c r="V42" s="260"/>
      <c r="W42" s="260"/>
      <c r="X42" s="260"/>
      <c r="Y42" s="260"/>
      <c r="Z42" s="260"/>
      <c r="AA42" s="260"/>
      <c r="AB42" s="260"/>
      <c r="AC42" s="260"/>
      <c r="AD42" s="260"/>
      <c r="AE42" s="260"/>
    </row>
    <row r="43" spans="8:31">
      <c r="N43" s="260"/>
      <c r="O43" s="260"/>
      <c r="P43" s="260"/>
      <c r="S43">
        <f>S41-S31</f>
        <v>26</v>
      </c>
      <c r="T43">
        <f>S46-T31</f>
        <v>10</v>
      </c>
      <c r="U43">
        <f>T46-U31</f>
        <v>22</v>
      </c>
      <c r="V43" s="260"/>
      <c r="W43" s="260"/>
      <c r="X43" s="260"/>
      <c r="Y43" s="260"/>
      <c r="Z43" s="260"/>
      <c r="AA43" s="260"/>
      <c r="AB43" s="260"/>
      <c r="AC43" s="260"/>
      <c r="AD43" s="260"/>
      <c r="AE43" s="260"/>
    </row>
    <row r="44" spans="8:31">
      <c r="N44" s="260">
        <f>SUM(N37:N40)</f>
        <v>24</v>
      </c>
      <c r="O44" s="260">
        <f t="shared" ref="O44:P44" si="6">SUM(O37:O40)</f>
        <v>24</v>
      </c>
      <c r="P44" s="260">
        <f t="shared" si="6"/>
        <v>24</v>
      </c>
      <c r="S44">
        <f>S43-S32</f>
        <v>22</v>
      </c>
      <c r="T44">
        <f>T43-T32</f>
        <v>6</v>
      </c>
      <c r="U44">
        <f>U43-U32</f>
        <v>18</v>
      </c>
      <c r="V44" s="260"/>
      <c r="W44" s="260"/>
      <c r="X44" s="260"/>
      <c r="Y44" s="260"/>
      <c r="Z44" s="260"/>
      <c r="AA44" s="260"/>
      <c r="AB44" s="260"/>
      <c r="AC44" s="260"/>
      <c r="AD44" s="260"/>
      <c r="AE44" s="260"/>
    </row>
    <row r="45" spans="8:31">
      <c r="N45" s="260"/>
      <c r="O45" s="260"/>
      <c r="P45" s="260"/>
      <c r="S45">
        <f t="shared" ref="S45:S46" si="7">S44-S33</f>
        <v>18</v>
      </c>
      <c r="T45">
        <f>T44-T33</f>
        <v>2</v>
      </c>
      <c r="U45">
        <f>U44-U33</f>
        <v>14</v>
      </c>
      <c r="V45" s="260"/>
      <c r="W45" s="260"/>
      <c r="X45" s="260"/>
      <c r="Y45" s="260"/>
      <c r="Z45" s="260"/>
      <c r="AA45" s="260"/>
      <c r="AB45" s="260"/>
      <c r="AC45" s="260"/>
      <c r="AD45" s="260"/>
      <c r="AE45" s="260"/>
    </row>
    <row r="46" spans="8:31">
      <c r="N46" s="260" t="s">
        <v>1282</v>
      </c>
      <c r="O46" s="260"/>
      <c r="P46" s="260"/>
      <c r="S46">
        <f t="shared" si="7"/>
        <v>14</v>
      </c>
      <c r="T46">
        <f>T41-T34</f>
        <v>26</v>
      </c>
      <c r="U46">
        <f>U45-U34</f>
        <v>10</v>
      </c>
    </row>
    <row r="47" spans="8:31">
      <c r="N47" s="260">
        <v>50</v>
      </c>
      <c r="O47" s="260">
        <v>50</v>
      </c>
      <c r="P47" s="260"/>
    </row>
    <row r="48" spans="8:31">
      <c r="P48" s="260"/>
    </row>
    <row r="49" spans="14:16">
      <c r="N49">
        <f>N47-N37</f>
        <v>44</v>
      </c>
      <c r="O49">
        <f>N52-O37</f>
        <v>20</v>
      </c>
      <c r="P49">
        <f>O47-P37</f>
        <v>44</v>
      </c>
    </row>
    <row r="50" spans="14:16">
      <c r="N50">
        <f>N49-N38</f>
        <v>38</v>
      </c>
      <c r="O50">
        <f>O49-O38</f>
        <v>14</v>
      </c>
      <c r="P50">
        <f>P49-P38</f>
        <v>38</v>
      </c>
    </row>
    <row r="51" spans="14:16">
      <c r="N51">
        <f t="shared" ref="N51:N52" si="8">N50-N39</f>
        <v>32</v>
      </c>
      <c r="O51">
        <f>O50-O39</f>
        <v>8</v>
      </c>
      <c r="P51">
        <f>P50-P39</f>
        <v>32</v>
      </c>
    </row>
    <row r="52" spans="14:16">
      <c r="N52">
        <f t="shared" si="8"/>
        <v>26</v>
      </c>
      <c r="O52">
        <f>O51-O40</f>
        <v>2</v>
      </c>
      <c r="P52">
        <f>P51-P40</f>
        <v>26</v>
      </c>
    </row>
  </sheetData>
  <mergeCells count="87">
    <mergeCell ref="B17:C17"/>
    <mergeCell ref="D17:E17"/>
    <mergeCell ref="B18:C18"/>
    <mergeCell ref="D18:E18"/>
    <mergeCell ref="B19:C19"/>
    <mergeCell ref="D19:E19"/>
    <mergeCell ref="Y5:Z5"/>
    <mergeCell ref="B32:C32"/>
    <mergeCell ref="D32:E32"/>
    <mergeCell ref="H32:I32"/>
    <mergeCell ref="J32:K32"/>
    <mergeCell ref="J29:K29"/>
    <mergeCell ref="H30:I30"/>
    <mergeCell ref="J30:K30"/>
    <mergeCell ref="H31:I31"/>
    <mergeCell ref="J31:K31"/>
    <mergeCell ref="B31:C31"/>
    <mergeCell ref="D31:E31"/>
    <mergeCell ref="E30:F30"/>
    <mergeCell ref="H26:I26"/>
    <mergeCell ref="J26:K26"/>
    <mergeCell ref="H27:I27"/>
    <mergeCell ref="J27:K27"/>
    <mergeCell ref="H20:I20"/>
    <mergeCell ref="H21:I21"/>
    <mergeCell ref="A22:J22"/>
    <mergeCell ref="H23:I23"/>
    <mergeCell ref="J23:K23"/>
    <mergeCell ref="H24:I24"/>
    <mergeCell ref="J24:K24"/>
    <mergeCell ref="H25:I25"/>
    <mergeCell ref="J25:K25"/>
    <mergeCell ref="B27:C27"/>
    <mergeCell ref="D27:E27"/>
    <mergeCell ref="E25:F25"/>
    <mergeCell ref="B26:C26"/>
    <mergeCell ref="D26:E26"/>
    <mergeCell ref="C23:D23"/>
    <mergeCell ref="H1:I1"/>
    <mergeCell ref="J1:K1"/>
    <mergeCell ref="H2:I2"/>
    <mergeCell ref="J2:K2"/>
    <mergeCell ref="H4:I4"/>
    <mergeCell ref="J4:K4"/>
    <mergeCell ref="H28:I28"/>
    <mergeCell ref="J28:K28"/>
    <mergeCell ref="H29:I29"/>
    <mergeCell ref="C29:D29"/>
    <mergeCell ref="E29:F29"/>
    <mergeCell ref="C28:D28"/>
    <mergeCell ref="E28:F28"/>
    <mergeCell ref="E23:F23"/>
    <mergeCell ref="C24:D24"/>
    <mergeCell ref="E24:F24"/>
    <mergeCell ref="B20:C20"/>
    <mergeCell ref="D20:E20"/>
    <mergeCell ref="B21:C21"/>
    <mergeCell ref="D21:E21"/>
    <mergeCell ref="B14:C14"/>
    <mergeCell ref="D14:E14"/>
    <mergeCell ref="B15:C15"/>
    <mergeCell ref="D15:E15"/>
    <mergeCell ref="B16:C16"/>
    <mergeCell ref="D16:E16"/>
    <mergeCell ref="B11:C11"/>
    <mergeCell ref="D11:E11"/>
    <mergeCell ref="B12:C12"/>
    <mergeCell ref="D12:E12"/>
    <mergeCell ref="B13:C13"/>
    <mergeCell ref="D13:E13"/>
    <mergeCell ref="D8:E8"/>
    <mergeCell ref="B9:C9"/>
    <mergeCell ref="D9:E9"/>
    <mergeCell ref="B10:C10"/>
    <mergeCell ref="D10:E10"/>
    <mergeCell ref="B8:C8"/>
    <mergeCell ref="B1:C1"/>
    <mergeCell ref="D1:E1"/>
    <mergeCell ref="B2:C2"/>
    <mergeCell ref="D2:E2"/>
    <mergeCell ref="B4:C4"/>
    <mergeCell ref="B3:C3"/>
    <mergeCell ref="D5:E5"/>
    <mergeCell ref="B6:C6"/>
    <mergeCell ref="D6:E6"/>
    <mergeCell ref="B7:C7"/>
    <mergeCell ref="D7:E7"/>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2FF9E-D6EF-4DF9-92FE-84AAE21FB3BA}">
  <sheetPr>
    <tabColor theme="4" tint="0.59999389629810485"/>
  </sheetPr>
  <dimension ref="B1:P27"/>
  <sheetViews>
    <sheetView workbookViewId="0">
      <selection activeCell="D29" sqref="D29"/>
    </sheetView>
  </sheetViews>
  <sheetFormatPr defaultRowHeight="15"/>
  <cols>
    <col min="4" max="4" width="26.42578125" bestFit="1" customWidth="1"/>
    <col min="5" max="5" width="17.42578125" bestFit="1" customWidth="1"/>
    <col min="8" max="8" width="10.85546875" bestFit="1" customWidth="1"/>
    <col min="9" max="9" width="26.42578125" bestFit="1" customWidth="1"/>
    <col min="12" max="12" width="21.5703125" bestFit="1" customWidth="1"/>
    <col min="13" max="13" width="17.42578125" bestFit="1" customWidth="1"/>
    <col min="14" max="14" width="12" bestFit="1" customWidth="1"/>
    <col min="15" max="15" width="11.5703125" customWidth="1"/>
    <col min="17" max="17" width="17" bestFit="1" customWidth="1"/>
  </cols>
  <sheetData>
    <row r="1" spans="2:16" ht="15" customHeight="1">
      <c r="B1" s="528"/>
      <c r="C1" s="210"/>
      <c r="D1" s="1407" t="s">
        <v>1283</v>
      </c>
      <c r="E1" s="1407"/>
      <c r="F1" s="1407"/>
      <c r="G1" s="1407"/>
      <c r="H1" s="1407"/>
      <c r="I1" s="1407"/>
      <c r="J1" s="1407"/>
      <c r="K1" s="1407"/>
      <c r="L1" s="1407"/>
      <c r="M1" s="1407"/>
      <c r="N1" s="1407"/>
      <c r="O1" s="210"/>
      <c r="P1" s="211"/>
    </row>
    <row r="2" spans="2:16" ht="15" customHeight="1">
      <c r="B2" s="532"/>
      <c r="D2" s="1408"/>
      <c r="E2" s="1408"/>
      <c r="F2" s="1408"/>
      <c r="G2" s="1408"/>
      <c r="H2" s="1408"/>
      <c r="I2" s="1408"/>
      <c r="J2" s="1408"/>
      <c r="K2" s="1408"/>
      <c r="L2" s="1408"/>
      <c r="M2" s="1408"/>
      <c r="N2" s="1408"/>
      <c r="P2" s="47"/>
    </row>
    <row r="3" spans="2:16">
      <c r="B3" s="532"/>
      <c r="P3" s="47"/>
    </row>
    <row r="4" spans="2:16">
      <c r="B4" s="532"/>
      <c r="P4" s="47"/>
    </row>
    <row r="5" spans="2:16" ht="15.75">
      <c r="B5" s="532"/>
      <c r="D5" s="1221" t="s">
        <v>1284</v>
      </c>
      <c r="E5" s="1221"/>
      <c r="F5" s="1221"/>
      <c r="I5" s="1409" t="s">
        <v>1285</v>
      </c>
      <c r="J5" s="1411"/>
      <c r="K5" s="1410"/>
      <c r="M5" s="693" t="s">
        <v>90</v>
      </c>
      <c r="N5" s="694" t="s">
        <v>91</v>
      </c>
      <c r="P5" s="47"/>
    </row>
    <row r="6" spans="2:16" ht="15.75">
      <c r="B6" s="532"/>
      <c r="D6" s="263" t="s">
        <v>477</v>
      </c>
      <c r="E6" s="274">
        <f>MechCarbonPrice!F3</f>
        <v>20</v>
      </c>
      <c r="F6" s="263" t="s">
        <v>32</v>
      </c>
      <c r="I6" s="263" t="s">
        <v>1286</v>
      </c>
      <c r="J6" s="263">
        <f>Corrosion!E13</f>
        <v>0.21</v>
      </c>
      <c r="K6" s="263" t="s">
        <v>32</v>
      </c>
      <c r="M6" s="439" t="s">
        <v>232</v>
      </c>
      <c r="N6" s="438">
        <f>J13</f>
        <v>2</v>
      </c>
      <c r="P6" s="47"/>
    </row>
    <row r="7" spans="2:16">
      <c r="B7" s="532"/>
      <c r="I7" s="263" t="s">
        <v>1287</v>
      </c>
      <c r="J7" s="797">
        <v>4</v>
      </c>
      <c r="K7" s="263" t="s">
        <v>32</v>
      </c>
      <c r="L7" t="s">
        <v>1288</v>
      </c>
      <c r="P7" s="47"/>
    </row>
    <row r="8" spans="2:16" ht="17.25">
      <c r="B8" s="532"/>
      <c r="D8" s="1221" t="s">
        <v>1289</v>
      </c>
      <c r="E8" s="1221"/>
      <c r="F8" s="1221"/>
      <c r="G8" s="1221"/>
      <c r="I8" s="263" t="s">
        <v>1290</v>
      </c>
      <c r="J8" s="263">
        <f>F19</f>
        <v>53.332933524401767</v>
      </c>
      <c r="K8" s="263" t="s">
        <v>1291</v>
      </c>
      <c r="P8" s="47"/>
    </row>
    <row r="9" spans="2:16">
      <c r="B9" s="532"/>
      <c r="D9" s="263" t="s">
        <v>1292</v>
      </c>
      <c r="E9" s="264" t="s">
        <v>1293</v>
      </c>
      <c r="F9" s="263">
        <f>J6</f>
        <v>0.21</v>
      </c>
      <c r="G9" s="263" t="s">
        <v>32</v>
      </c>
      <c r="P9" s="47"/>
    </row>
    <row r="10" spans="2:16">
      <c r="B10" s="532"/>
      <c r="D10" s="263"/>
      <c r="E10" s="264"/>
      <c r="F10" s="263"/>
      <c r="G10" s="263"/>
      <c r="P10" s="47"/>
    </row>
    <row r="11" spans="2:16">
      <c r="B11" s="532"/>
      <c r="D11" s="263" t="s">
        <v>477</v>
      </c>
      <c r="E11" s="264" t="s">
        <v>806</v>
      </c>
      <c r="F11" s="524">
        <f>E6</f>
        <v>20</v>
      </c>
      <c r="G11" s="263" t="s">
        <v>32</v>
      </c>
      <c r="I11" s="1221" t="s">
        <v>1294</v>
      </c>
      <c r="J11" s="1221"/>
      <c r="K11" s="1221"/>
      <c r="P11" s="47"/>
    </row>
    <row r="12" spans="2:16">
      <c r="B12" s="532"/>
      <c r="D12" s="263"/>
      <c r="E12" s="264"/>
      <c r="F12" s="263"/>
      <c r="G12" s="263"/>
      <c r="I12" s="263" t="s">
        <v>1295</v>
      </c>
      <c r="J12" s="263">
        <f>J8/F22</f>
        <v>1.8470280008450828</v>
      </c>
      <c r="K12" s="263" t="s">
        <v>1296</v>
      </c>
      <c r="P12" s="47"/>
    </row>
    <row r="13" spans="2:16">
      <c r="B13" s="532"/>
      <c r="D13" s="263" t="s">
        <v>1297</v>
      </c>
      <c r="E13" s="264" t="s">
        <v>1298</v>
      </c>
      <c r="F13" s="263">
        <f>F11+(2*F9)</f>
        <v>20.420000000000002</v>
      </c>
      <c r="G13" s="263" t="s">
        <v>32</v>
      </c>
      <c r="I13" s="263" t="s">
        <v>1295</v>
      </c>
      <c r="J13" s="263">
        <f>ROUNDUP(J12,0)</f>
        <v>2</v>
      </c>
      <c r="K13" s="263" t="s">
        <v>1296</v>
      </c>
      <c r="P13" s="47"/>
    </row>
    <row r="14" spans="2:16">
      <c r="B14" s="532"/>
      <c r="D14" s="263"/>
      <c r="E14" s="263"/>
      <c r="F14" s="263"/>
      <c r="G14" s="263"/>
      <c r="K14" s="382"/>
      <c r="P14" s="47"/>
    </row>
    <row r="15" spans="2:16">
      <c r="B15" s="532"/>
      <c r="D15" s="263" t="s">
        <v>1299</v>
      </c>
      <c r="E15" s="264" t="s">
        <v>1300</v>
      </c>
      <c r="F15" s="524">
        <f>E6+F9</f>
        <v>20.21</v>
      </c>
      <c r="G15" s="263" t="s">
        <v>32</v>
      </c>
      <c r="K15" s="382"/>
      <c r="P15" s="47"/>
    </row>
    <row r="16" spans="2:16">
      <c r="B16" s="532"/>
      <c r="D16" s="263"/>
      <c r="E16" s="264"/>
      <c r="F16" s="263"/>
      <c r="G16" s="263"/>
      <c r="P16" s="47"/>
    </row>
    <row r="17" spans="2:16">
      <c r="B17" s="532"/>
      <c r="D17" s="263" t="s">
        <v>1301</v>
      </c>
      <c r="E17" s="264" t="s">
        <v>1302</v>
      </c>
      <c r="F17" s="263">
        <f>PI()*F15</f>
        <v>63.491587529049724</v>
      </c>
      <c r="G17" s="263" t="s">
        <v>32</v>
      </c>
      <c r="P17" s="47"/>
    </row>
    <row r="18" spans="2:16">
      <c r="B18" s="532"/>
      <c r="D18" s="263"/>
      <c r="E18" s="264"/>
      <c r="F18" s="263"/>
      <c r="G18" s="263"/>
      <c r="P18" s="47"/>
    </row>
    <row r="19" spans="2:16">
      <c r="B19" s="532"/>
      <c r="D19" s="263" t="s">
        <v>1303</v>
      </c>
      <c r="E19" s="264" t="s">
        <v>1304</v>
      </c>
      <c r="F19" s="263">
        <f>F17*J7*F9</f>
        <v>53.332933524401767</v>
      </c>
      <c r="G19" s="558" t="s">
        <v>1305</v>
      </c>
      <c r="P19" s="47"/>
    </row>
    <row r="20" spans="2:16">
      <c r="B20" s="532"/>
      <c r="D20" s="558"/>
      <c r="E20" s="558"/>
      <c r="F20" s="558"/>
      <c r="G20" s="558"/>
      <c r="P20" s="47"/>
    </row>
    <row r="21" spans="2:16">
      <c r="B21" s="532"/>
      <c r="D21" s="559" t="s">
        <v>1306</v>
      </c>
      <c r="E21" s="560" t="s">
        <v>440</v>
      </c>
      <c r="F21" s="559">
        <v>57.75</v>
      </c>
      <c r="G21" s="558" t="s">
        <v>1305</v>
      </c>
      <c r="P21" s="47"/>
    </row>
    <row r="22" spans="2:16">
      <c r="B22" s="532"/>
      <c r="D22" s="559" t="s">
        <v>1307</v>
      </c>
      <c r="E22" s="560" t="s">
        <v>440</v>
      </c>
      <c r="F22" s="559">
        <v>28.875</v>
      </c>
      <c r="G22" s="558" t="s">
        <v>1305</v>
      </c>
      <c r="P22" s="47"/>
    </row>
    <row r="23" spans="2:16">
      <c r="B23" s="532"/>
      <c r="D23" s="263"/>
      <c r="E23" s="263"/>
      <c r="F23" s="263"/>
      <c r="G23" s="263"/>
      <c r="P23" s="47"/>
    </row>
    <row r="24" spans="2:16">
      <c r="B24" s="532"/>
      <c r="D24" s="1409" t="s">
        <v>1308</v>
      </c>
      <c r="E24" s="1410"/>
      <c r="F24" s="263">
        <f>F19/F21</f>
        <v>0.92351400042254139</v>
      </c>
      <c r="G24" s="263" t="s">
        <v>1309</v>
      </c>
      <c r="P24" s="47"/>
    </row>
    <row r="25" spans="2:16">
      <c r="B25" s="532"/>
      <c r="D25" s="1409" t="s">
        <v>1310</v>
      </c>
      <c r="E25" s="1410"/>
      <c r="F25" s="263">
        <f>F19/F22</f>
        <v>1.8470280008450828</v>
      </c>
      <c r="G25" s="263" t="s">
        <v>1311</v>
      </c>
      <c r="P25" s="47"/>
    </row>
    <row r="26" spans="2:16">
      <c r="B26" s="532"/>
      <c r="P26" s="47"/>
    </row>
    <row r="27" spans="2:16" ht="15.75" thickBot="1">
      <c r="B27" s="663"/>
      <c r="C27" s="46"/>
      <c r="D27" s="46"/>
      <c r="E27" s="46"/>
      <c r="F27" s="46"/>
      <c r="G27" s="46"/>
      <c r="H27" s="46"/>
      <c r="I27" s="46"/>
      <c r="J27" s="46"/>
      <c r="K27" s="46"/>
      <c r="L27" s="46"/>
      <c r="M27" s="46"/>
      <c r="N27" s="46"/>
      <c r="O27" s="46"/>
      <c r="P27" s="664"/>
    </row>
  </sheetData>
  <mergeCells count="7">
    <mergeCell ref="D1:N2"/>
    <mergeCell ref="D24:E24"/>
    <mergeCell ref="D25:E25"/>
    <mergeCell ref="I5:K5"/>
    <mergeCell ref="I11:K11"/>
    <mergeCell ref="D5:F5"/>
    <mergeCell ref="D8: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595CD-A019-457A-8741-5FBA9C55F978}">
  <sheetPr>
    <tabColor theme="4" tint="0.59999389629810485"/>
    <pageSetUpPr autoPageBreaks="0"/>
  </sheetPr>
  <dimension ref="A1:EK59"/>
  <sheetViews>
    <sheetView topLeftCell="DW7" zoomScale="102" workbookViewId="0">
      <selection activeCell="EA23" sqref="EA23"/>
    </sheetView>
  </sheetViews>
  <sheetFormatPr defaultRowHeight="15"/>
  <cols>
    <col min="3" max="3" width="63" customWidth="1"/>
    <col min="11" max="11" width="40.5703125" bestFit="1" customWidth="1"/>
    <col min="12" max="12" width="23.42578125" bestFit="1" customWidth="1"/>
    <col min="16" max="16" width="18.140625" bestFit="1" customWidth="1"/>
    <col min="18" max="18" width="47.85546875" customWidth="1"/>
    <col min="19" max="19" width="21.28515625" customWidth="1"/>
    <col min="20" max="20" width="9.140625" customWidth="1"/>
    <col min="21" max="21" width="21.5703125" customWidth="1"/>
    <col min="22" max="23" width="9.140625" customWidth="1"/>
    <col min="24" max="24" width="17.42578125" customWidth="1"/>
    <col min="25" max="25" width="58.42578125" customWidth="1"/>
    <col min="26" max="26" width="9.140625" customWidth="1"/>
    <col min="27" max="27" width="11.42578125" bestFit="1" customWidth="1"/>
    <col min="28" max="29" width="9.140625" customWidth="1"/>
    <col min="30" max="30" width="27.5703125" bestFit="1" customWidth="1"/>
    <col min="31" max="31" width="9.140625" customWidth="1"/>
    <col min="32" max="32" width="16" customWidth="1"/>
    <col min="33" max="33" width="23.5703125" customWidth="1"/>
    <col min="34" max="34" width="9.5703125" customWidth="1"/>
    <col min="35" max="35" width="11.85546875" customWidth="1"/>
    <col min="36" max="37" width="9.140625" customWidth="1"/>
    <col min="38" max="38" width="27.5703125" bestFit="1" customWidth="1"/>
    <col min="39" max="41" width="9.140625" customWidth="1"/>
    <col min="42" max="42" width="19.7109375" bestFit="1" customWidth="1"/>
    <col min="43" max="43" width="9.140625" customWidth="1"/>
    <col min="44" max="44" width="31.7109375" bestFit="1" customWidth="1"/>
    <col min="46" max="46" width="30.28515625" bestFit="1" customWidth="1"/>
    <col min="48" max="48" width="27.5703125" bestFit="1" customWidth="1"/>
    <col min="49" max="50" width="27.5703125" customWidth="1"/>
    <col min="51" max="51" width="14.85546875" bestFit="1" customWidth="1"/>
    <col min="52" max="52" width="27.5703125" bestFit="1" customWidth="1"/>
    <col min="53" max="53" width="13.140625" bestFit="1" customWidth="1"/>
    <col min="54" max="54" width="27.5703125" bestFit="1" customWidth="1"/>
    <col min="55" max="55" width="23.7109375" bestFit="1" customWidth="1"/>
    <col min="56" max="56" width="27.5703125" bestFit="1" customWidth="1"/>
    <col min="58" max="58" width="16" bestFit="1" customWidth="1"/>
    <col min="59" max="60" width="16" customWidth="1"/>
    <col min="62" max="62" width="27.5703125" bestFit="1" customWidth="1"/>
    <col min="64" max="64" width="24" bestFit="1" customWidth="1"/>
    <col min="66" max="66" width="27.5703125" bestFit="1" customWidth="1"/>
    <col min="67" max="67" width="17" customWidth="1"/>
    <col min="74" max="74" width="27.5703125" bestFit="1" customWidth="1"/>
    <col min="83" max="83" width="27.5703125" bestFit="1" customWidth="1"/>
    <col min="85" max="85" width="16.85546875" bestFit="1" customWidth="1"/>
    <col min="87" max="87" width="19" bestFit="1" customWidth="1"/>
    <col min="89" max="89" width="19.7109375" bestFit="1" customWidth="1"/>
    <col min="91" max="91" width="27.5703125" bestFit="1" customWidth="1"/>
    <col min="93" max="93" width="24.5703125" bestFit="1" customWidth="1"/>
    <col min="95" max="95" width="16.28515625" bestFit="1" customWidth="1"/>
    <col min="97" max="97" width="27.5703125" bestFit="1" customWidth="1"/>
    <col min="99" max="99" width="24.5703125" bestFit="1" customWidth="1"/>
    <col min="101" max="101" width="14" bestFit="1" customWidth="1"/>
    <col min="103" max="103" width="16" bestFit="1" customWidth="1"/>
    <col min="105" max="105" width="27.5703125" bestFit="1" customWidth="1"/>
    <col min="107" max="107" width="12.28515625" bestFit="1" customWidth="1"/>
    <col min="109" max="109" width="12" bestFit="1" customWidth="1"/>
    <col min="111" max="111" width="27.5703125" bestFit="1" customWidth="1"/>
    <col min="119" max="119" width="27.5703125" bestFit="1" customWidth="1"/>
    <col min="130" max="130" width="27.5703125" bestFit="1" customWidth="1"/>
    <col min="135" max="135" width="27.5703125" bestFit="1" customWidth="1"/>
  </cols>
  <sheetData>
    <row r="1" spans="1:141">
      <c r="A1" s="995" t="s">
        <v>617</v>
      </c>
      <c r="B1" s="995"/>
      <c r="C1" s="995"/>
    </row>
    <row r="2" spans="1:141">
      <c r="A2" s="360" t="s">
        <v>240</v>
      </c>
      <c r="B2" s="361">
        <f>P29</f>
        <v>3</v>
      </c>
      <c r="C2" s="373" t="str">
        <f>IF(B2=0,"","Gets ("&amp; B2 &amp;") 6"" wide isolation wrap")</f>
        <v>Gets (3) 6" wide isolation wrap</v>
      </c>
      <c r="D2" s="358">
        <f>IF(M8&gt;1,M8+1,M8)</f>
        <v>3</v>
      </c>
    </row>
    <row r="3" spans="1:141">
      <c r="A3" s="364" t="s">
        <v>246</v>
      </c>
      <c r="B3" s="365">
        <f>Q29</f>
        <v>3</v>
      </c>
      <c r="C3" s="373" t="str">
        <f>IF(B3=0,"","Gets (" &amp; B3 &amp; ") 12"" by 15' isolation wrap")</f>
        <v>Gets (3) 12" by 15' isolation wrap</v>
      </c>
      <c r="D3" s="358"/>
    </row>
    <row r="4" spans="1:141">
      <c r="A4" s="364" t="s">
        <v>253</v>
      </c>
      <c r="B4" s="365">
        <f>R29</f>
        <v>0</v>
      </c>
      <c r="C4" s="373" t="str">
        <f>IF(B4=0,"","Gets (" &amp; B4 &amp; ") 12"" by 30' isolation wrap")</f>
        <v/>
      </c>
      <c r="D4" s="373" t="str">
        <f>IF(N17=0,"","30' isolation wrap split into 20ft and 10ft rolls")</f>
        <v/>
      </c>
    </row>
    <row r="5" spans="1:141">
      <c r="A5" s="358"/>
      <c r="B5" s="358"/>
      <c r="C5" s="358"/>
      <c r="D5" s="358"/>
      <c r="M5" s="375" t="s">
        <v>616</v>
      </c>
      <c r="W5" s="375" t="s">
        <v>616</v>
      </c>
    </row>
    <row r="6" spans="1:141">
      <c r="A6" s="995" t="s">
        <v>622</v>
      </c>
      <c r="B6" s="995"/>
      <c r="C6" s="995"/>
      <c r="D6" s="358"/>
    </row>
    <row r="7" spans="1:141">
      <c r="A7" s="360" t="s">
        <v>240</v>
      </c>
      <c r="B7" s="489" t="str">
        <f>IF(M7,'(GW) (IW) (Full) (Combo)'!AJ44,0)</f>
        <v xml:space="preserve">Each one gets cut into (4) equal pieces that are (21) ft long </v>
      </c>
      <c r="C7" s="373" t="str">
        <f>IF('(GW) (IW) (Full) (Combo)'!AJ44=0,"","Each one gets cut into (" &amp; '(GW) (IW) (Full) (Combo)'!Q44*2 &amp; ") equal pieces that are (" &amp; '(GW) (IW) (Full) (Combo)'!J40 &amp; ") ft long ")</f>
        <v xml:space="preserve">Each one gets cut into (0) equal pieces that are (21) ft long </v>
      </c>
      <c r="K7" s="358"/>
      <c r="L7" s="359" t="s">
        <v>30</v>
      </c>
      <c r="M7" s="366">
        <f>'Girth Weld Calc (GW)'!G1</f>
        <v>10</v>
      </c>
      <c r="N7" s="358" t="s">
        <v>239</v>
      </c>
      <c r="O7" s="358"/>
      <c r="V7" s="359" t="s">
        <v>30</v>
      </c>
      <c r="W7" s="366">
        <f>M7</f>
        <v>10</v>
      </c>
      <c r="X7" s="358" t="s">
        <v>239</v>
      </c>
    </row>
    <row r="8" spans="1:141">
      <c r="A8" s="364" t="s">
        <v>246</v>
      </c>
      <c r="B8" s="488" t="str">
        <f>'(GW) (IW) (Full) (Combo)'!AJ46</f>
        <v>Each one gets cut into (2) equal pieces that are (21) ft long</v>
      </c>
      <c r="C8" s="373" t="str">
        <f>IF('(GW) (IW) (Full) (Combo)'!AJ46=0,"","Each one gets cut into (" &amp; '(GW) (IW) (Full) (Combo)'!Q46 &amp; ") equal pieces that are (" &amp; '(GW) (IW) (Full) (Combo)'!J40 &amp; ") ft long")</f>
        <v>Each one gets cut into () equal pieces that are (21) ft long</v>
      </c>
      <c r="J8" s="262"/>
      <c r="K8" s="358"/>
      <c r="L8" s="362" t="s">
        <v>244</v>
      </c>
      <c r="M8" s="419">
        <f>('Girth Weld Calc (GW)'!G2)+1</f>
        <v>2</v>
      </c>
      <c r="N8" s="358" t="s">
        <v>245</v>
      </c>
      <c r="O8" s="358"/>
      <c r="V8" s="362" t="s">
        <v>244</v>
      </c>
      <c r="W8" s="419">
        <f>M8</f>
        <v>2</v>
      </c>
      <c r="X8" s="358" t="s">
        <v>245</v>
      </c>
    </row>
    <row r="9" spans="1:141">
      <c r="A9" s="364" t="s">
        <v>253</v>
      </c>
      <c r="B9" s="488" t="str">
        <f>'(GW) (IW) (Full) (Combo)'!AJ48</f>
        <v>Each one gets cut into (1) equal pieces that are (21) ft long</v>
      </c>
      <c r="C9" s="373" t="str">
        <f>IF('(GW) (IW) (Full) (Combo)'!AJ48=0,"","Each one gets cut into (" &amp; '(GW) (IW) (Full) (Combo)'!Q48 &amp; ") equal pieces that are (" &amp; '(GW) (IW) (Full) (Combo)'!J40 &amp; ") ft long")</f>
        <v>Each one gets cut into () equal pieces that are (21) ft long</v>
      </c>
      <c r="J9" s="262"/>
      <c r="K9" s="358"/>
      <c r="L9" s="358"/>
      <c r="M9" s="358"/>
      <c r="N9" s="358"/>
      <c r="O9" s="358"/>
      <c r="V9" s="358"/>
      <c r="W9" s="358"/>
      <c r="X9" s="358"/>
    </row>
    <row r="10" spans="1:141" ht="15.75" thickBot="1">
      <c r="J10" s="262"/>
      <c r="K10" s="358"/>
      <c r="L10" s="358"/>
      <c r="M10" s="358"/>
      <c r="N10" s="358"/>
      <c r="O10" s="358"/>
      <c r="V10" s="358"/>
      <c r="W10" s="358"/>
      <c r="X10" s="358"/>
    </row>
    <row r="11" spans="1:141">
      <c r="DV11" s="528"/>
      <c r="DW11" s="210"/>
      <c r="DX11" s="210"/>
      <c r="DY11" s="210"/>
      <c r="DZ11" s="210"/>
      <c r="EA11" s="210"/>
      <c r="EB11" s="210"/>
      <c r="EC11" s="210"/>
      <c r="ED11" s="210"/>
      <c r="EE11" s="210"/>
      <c r="EF11" s="210"/>
      <c r="EG11" s="210"/>
      <c r="EH11" s="210"/>
      <c r="EI11" s="210"/>
      <c r="EJ11" s="210"/>
      <c r="EK11" s="211"/>
    </row>
    <row r="12" spans="1:141">
      <c r="DV12" s="532"/>
      <c r="EK12" s="47"/>
    </row>
    <row r="13" spans="1:141" ht="51.75" customHeight="1">
      <c r="K13" s="358"/>
      <c r="N13" s="358"/>
      <c r="O13" s="358"/>
      <c r="X13" s="358"/>
      <c r="DV13" s="532"/>
      <c r="EK13" s="47"/>
    </row>
    <row r="14" spans="1:141">
      <c r="K14" s="358"/>
      <c r="L14" s="358"/>
      <c r="M14" s="358"/>
      <c r="N14" s="358"/>
      <c r="O14" s="358"/>
      <c r="V14" s="358"/>
      <c r="W14" s="358"/>
      <c r="X14" s="358"/>
      <c r="DV14" s="532"/>
      <c r="EK14" s="47"/>
    </row>
    <row r="15" spans="1:141">
      <c r="K15" s="358" t="s">
        <v>265</v>
      </c>
      <c r="L15" s="1291">
        <f>'Girth Weld Calc (GW)'!R7</f>
        <v>5.25</v>
      </c>
      <c r="M15" s="1207"/>
      <c r="N15" s="1208"/>
      <c r="O15" s="358"/>
      <c r="P15" s="358"/>
      <c r="Q15" s="358"/>
      <c r="R15" s="358"/>
      <c r="S15" s="358"/>
      <c r="V15" s="1291">
        <f>SUM(((W7*PI())*2)/12)</f>
        <v>5.2359877559829888</v>
      </c>
      <c r="W15" s="1207"/>
      <c r="X15" s="1208"/>
      <c r="DV15" s="532"/>
      <c r="EK15" s="47"/>
    </row>
    <row r="16" spans="1:141" ht="16.5" thickBot="1">
      <c r="P16" s="358"/>
      <c r="Q16" s="358"/>
      <c r="R16" s="358"/>
      <c r="S16" s="358"/>
      <c r="AR16" s="694" t="s">
        <v>546</v>
      </c>
      <c r="AT16" s="694" t="s">
        <v>546</v>
      </c>
      <c r="AV16" s="694" t="s">
        <v>1312</v>
      </c>
      <c r="AX16" s="694" t="s">
        <v>1313</v>
      </c>
      <c r="BJ16" s="694" t="s">
        <v>1314</v>
      </c>
      <c r="CK16" s="694" t="s">
        <v>546</v>
      </c>
      <c r="CM16" s="694" t="s">
        <v>546</v>
      </c>
      <c r="CO16" s="694" t="s">
        <v>1312</v>
      </c>
      <c r="CQ16" s="694" t="s">
        <v>1313</v>
      </c>
      <c r="DC16" s="694" t="s">
        <v>1314</v>
      </c>
      <c r="DV16" s="532"/>
      <c r="EK16" s="47"/>
    </row>
    <row r="17" spans="10:141" ht="16.5" thickBot="1">
      <c r="M17">
        <f>IF(L15&lt;=16,15,30)</f>
        <v>15</v>
      </c>
      <c r="N17">
        <f>IF(AND(L15&gt;16,L15&lt;2=20),1,0)</f>
        <v>0</v>
      </c>
      <c r="O17" s="358"/>
      <c r="P17" s="358"/>
      <c r="Q17" s="358"/>
      <c r="R17" s="358" t="s">
        <v>624</v>
      </c>
      <c r="S17" s="358"/>
      <c r="W17">
        <f>IF(V15&lt;=16,15,30)</f>
        <v>15</v>
      </c>
      <c r="X17">
        <f>IF(AND(V15&gt;16,V15&lt;2=20),1,0)</f>
        <v>0</v>
      </c>
      <c r="AR17" s="438" cm="1">
        <f t="array" ref="AR17">IFERROR(MIN(_xlfn._xlws.FILTER(CHOOSE({1,2,3,4,5},AR20,AR23,AR27,AR31,AR34),CHOOSE({1,2,3,4,5},AR20,AR23,AR27,AR31,AR34)&lt;&gt;0)),0)</f>
        <v>15</v>
      </c>
      <c r="AT17" s="438" cm="1">
        <f t="array" ref="AT17">IFERROR(MIN(_xlfn._xlws.FILTER(CHOOSE({1,2,3,4,5},AT20,AT23,AT27,AT31,AT34),CHOOSE({1,2,3,4,5},AT20,AT23,AT27,AT31,AT34)&lt;&gt;0)),0)</f>
        <v>30</v>
      </c>
      <c r="AV17" s="438" cm="1">
        <f t="array" ref="AV17">IFERROR(MIN(_xlfn._xlws.FILTER(CHOOSE({1,2,3,4,5},AV20,AV23,AV27,AV31,AV34),CHOOSE({1,2,3,4,5},AV20,AV23,AV27,AV31,AV34)&lt;&gt;0)),0)</f>
        <v>2</v>
      </c>
      <c r="AX17" s="438" cm="1">
        <f t="array" ref="AX17">IFERROR(MIN(_xlfn._xlws.FILTER(CHOOSE({1,2,3,4,5},AX20,AX23,AX27,AX31,AX34),CHOOSE({1,2,3,4,5},AX20,AX23,AX27,AX31,AX34)&lt;&gt;0)),0)</f>
        <v>18</v>
      </c>
      <c r="BJ17" s="438">
        <f>MAX(BJ20,BJ23,BJ27,BJ31,BJ34)</f>
        <v>3</v>
      </c>
      <c r="BV17" s="1230" t="s">
        <v>518</v>
      </c>
      <c r="BW17" s="1232"/>
      <c r="BZ17" s="1221" t="s">
        <v>521</v>
      </c>
      <c r="CA17" s="1221"/>
      <c r="CB17" s="1221"/>
      <c r="CK17" s="438" cm="1">
        <f t="array" ref="CK17">IFERROR(MIN(_xlfn._xlws.FILTER(CHOOSE({1,2,3,4,5},CK20,CK23,CK27,CK31,CK34),CHOOSE({1,2,3,4,5},CK20,CK23,CK27,CK31,CK34)&lt;&gt;0)),0)</f>
        <v>0</v>
      </c>
      <c r="CM17" s="438" cm="1">
        <f t="array" ref="CM17">IFERROR(MIN(_xlfn._xlws.FILTER(CHOOSE({1,2,3,4,5},CM20,CM23,CM27,CM31,CM34),CHOOSE({1,2,3,4,5},CM20,CM23,CM27,CM31,CM34)&lt;&gt;0)),0)</f>
        <v>60</v>
      </c>
      <c r="CO17" s="438" cm="1">
        <f t="array" ref="CO17">IFERROR(MIN(_xlfn._xlws.FILTER(CHOOSE({1,2,3,4,5},CO20,CO23,CO27,CO31,CO34),CHOOSE({1,2,3,4,5},CO20,CO23,CO27,CO31,CO34)&lt;&gt;0)),0)</f>
        <v>2</v>
      </c>
      <c r="CQ17" s="438" cm="1">
        <f t="array" ref="CQ17">IFERROR(MIN(_xlfn._xlws.FILTER(CHOOSE({1,2,3,4,5},CQ20,CQ23,CQ27,CQ31,CQ34),CHOOSE({1,2,3,4,5},CQ20,CQ23,CQ27,CQ31,CQ34)&lt;&gt;0)),0)</f>
        <v>24</v>
      </c>
      <c r="DC17" s="438">
        <f>MAX(DC20,DC23,DC27,DC31,DC34)</f>
        <v>4</v>
      </c>
      <c r="DO17" s="1230" t="s">
        <v>1315</v>
      </c>
      <c r="DP17" s="1232"/>
      <c r="DV17" s="532"/>
      <c r="DZ17" s="1230" t="s">
        <v>518</v>
      </c>
      <c r="EA17" s="1232"/>
      <c r="EE17" s="1230" t="s">
        <v>1315</v>
      </c>
      <c r="EF17" s="1232"/>
      <c r="EK17" s="47"/>
    </row>
    <row r="18" spans="10:141" ht="15.75" thickBot="1">
      <c r="J18" s="1414" t="s">
        <v>518</v>
      </c>
      <c r="K18" s="1415"/>
      <c r="L18" s="1415"/>
      <c r="M18" s="1415"/>
      <c r="N18" s="1415"/>
      <c r="O18" s="1415"/>
      <c r="P18" s="1415"/>
      <c r="Q18" s="1415"/>
      <c r="R18" s="1416"/>
      <c r="S18" s="358"/>
      <c r="T18" s="1414" t="s">
        <v>1316</v>
      </c>
      <c r="U18" s="1415"/>
      <c r="V18" s="1415"/>
      <c r="W18" s="1415"/>
      <c r="X18" s="1415"/>
      <c r="Y18" s="1415"/>
      <c r="Z18" s="1415"/>
      <c r="AA18" s="1415"/>
      <c r="AB18" s="1416"/>
      <c r="AH18" s="1230" t="s">
        <v>518</v>
      </c>
      <c r="AI18" s="1231"/>
      <c r="AJ18" s="1232"/>
      <c r="BZ18" s="320" t="b">
        <f>Materials!D1</f>
        <v>0</v>
      </c>
      <c r="CA18" s="320">
        <f>Materials!E1</f>
        <v>6</v>
      </c>
      <c r="CB18" s="320">
        <f>Materials!F1</f>
        <v>20</v>
      </c>
      <c r="DV18" s="532"/>
      <c r="EK18" s="47"/>
    </row>
    <row r="19" spans="10:141" ht="15.75">
      <c r="O19" s="358"/>
      <c r="P19" s="358"/>
      <c r="Q19" s="358"/>
      <c r="R19" s="358"/>
      <c r="S19" s="358"/>
      <c r="Y19" s="358"/>
      <c r="Z19" s="358"/>
      <c r="AA19" s="358"/>
      <c r="AB19" s="358"/>
      <c r="AD19" s="693" t="s">
        <v>90</v>
      </c>
      <c r="AE19" s="694" t="s">
        <v>91</v>
      </c>
      <c r="AG19" s="358"/>
      <c r="AH19" s="358"/>
      <c r="AI19" s="358"/>
      <c r="AJ19" s="358"/>
      <c r="AL19" s="693" t="s">
        <v>90</v>
      </c>
      <c r="AM19" s="694" t="s">
        <v>91</v>
      </c>
      <c r="AN19" s="694" t="s">
        <v>513</v>
      </c>
      <c r="AP19" s="694" t="s">
        <v>1317</v>
      </c>
      <c r="AR19" s="694" t="s">
        <v>1317</v>
      </c>
      <c r="AT19" s="694" t="s">
        <v>1318</v>
      </c>
      <c r="AV19" s="694" t="s">
        <v>1319</v>
      </c>
      <c r="AX19" s="694" t="s">
        <v>1320</v>
      </c>
      <c r="AZ19" s="693" t="s">
        <v>90</v>
      </c>
      <c r="BB19" s="694" t="s">
        <v>1321</v>
      </c>
      <c r="BD19" s="694" t="s">
        <v>1322</v>
      </c>
      <c r="BF19" s="694" t="s">
        <v>1312</v>
      </c>
      <c r="BH19" s="694" t="s">
        <v>1313</v>
      </c>
      <c r="BJ19" s="694" t="s">
        <v>1249</v>
      </c>
      <c r="BL19" s="694" t="s">
        <v>1323</v>
      </c>
      <c r="BN19" s="693" t="s">
        <v>90</v>
      </c>
      <c r="BO19" s="694" t="s">
        <v>91</v>
      </c>
      <c r="BP19" s="694" t="s">
        <v>513</v>
      </c>
      <c r="BV19" s="693" t="s">
        <v>90</v>
      </c>
      <c r="BW19" s="694" t="s">
        <v>91</v>
      </c>
      <c r="BZ19" s="320" t="b">
        <f>Materials!D2</f>
        <v>0</v>
      </c>
      <c r="CA19" s="320">
        <f>Materials!E2</f>
        <v>12</v>
      </c>
      <c r="CB19" s="320">
        <f>Materials!F2</f>
        <v>15</v>
      </c>
      <c r="CE19" s="693" t="s">
        <v>90</v>
      </c>
      <c r="CF19" s="694" t="s">
        <v>91</v>
      </c>
      <c r="CG19" s="694" t="s">
        <v>513</v>
      </c>
      <c r="CI19" s="694" t="s">
        <v>1317</v>
      </c>
      <c r="CK19" s="694" t="s">
        <v>1317</v>
      </c>
      <c r="CM19" s="694" t="s">
        <v>1318</v>
      </c>
      <c r="CO19" s="694" t="s">
        <v>1319</v>
      </c>
      <c r="CQ19" s="694" t="s">
        <v>1320</v>
      </c>
      <c r="CS19" s="693" t="s">
        <v>90</v>
      </c>
      <c r="CU19" s="694" t="s">
        <v>1321</v>
      </c>
      <c r="CW19" s="694" t="s">
        <v>1322</v>
      </c>
      <c r="CY19" s="694" t="s">
        <v>1312</v>
      </c>
      <c r="DA19" s="694" t="s">
        <v>1313</v>
      </c>
      <c r="DC19" s="694" t="s">
        <v>1249</v>
      </c>
      <c r="DE19" s="694" t="s">
        <v>1323</v>
      </c>
      <c r="DG19" s="693" t="s">
        <v>90</v>
      </c>
      <c r="DH19" s="694" t="s">
        <v>91</v>
      </c>
      <c r="DI19" s="694" t="s">
        <v>513</v>
      </c>
      <c r="DO19" s="693" t="s">
        <v>90</v>
      </c>
      <c r="DP19" s="694" t="s">
        <v>91</v>
      </c>
      <c r="DV19" s="532"/>
      <c r="DZ19" s="693" t="s">
        <v>90</v>
      </c>
      <c r="EA19" s="694" t="s">
        <v>91</v>
      </c>
      <c r="EE19" s="693" t="s">
        <v>90</v>
      </c>
      <c r="EF19" s="694" t="s">
        <v>91</v>
      </c>
      <c r="EK19" s="47"/>
    </row>
    <row r="20" spans="10:141" ht="15.75">
      <c r="O20" s="358"/>
      <c r="P20" s="371">
        <v>0.2638888888888889</v>
      </c>
      <c r="Q20" s="371">
        <v>0.51041666666666663</v>
      </c>
      <c r="R20" s="371">
        <v>0.52083333333333337</v>
      </c>
      <c r="Y20" s="358"/>
      <c r="Z20" s="371">
        <v>0.2638888888888889</v>
      </c>
      <c r="AA20" s="371">
        <v>0.51041666666666663</v>
      </c>
      <c r="AB20" s="371">
        <v>0.52083333333333337</v>
      </c>
      <c r="AD20" s="439" t="s">
        <v>243</v>
      </c>
      <c r="AE20" s="438">
        <f>Z21</f>
        <v>3</v>
      </c>
      <c r="AG20" s="358"/>
      <c r="AH20" s="371">
        <f>Z20</f>
        <v>0.2638888888888889</v>
      </c>
      <c r="AI20" s="371">
        <f>AA20</f>
        <v>0.51041666666666663</v>
      </c>
      <c r="AJ20" s="371">
        <f>AB20</f>
        <v>0.52083333333333337</v>
      </c>
      <c r="AL20" s="439" t="s">
        <v>243</v>
      </c>
      <c r="AM20" s="438">
        <f>AH21</f>
        <v>3</v>
      </c>
      <c r="AN20" s="438">
        <f>AM20*20</f>
        <v>60</v>
      </c>
      <c r="AP20" s="438">
        <f>IF(AM20&gt;0,20,0)</f>
        <v>20</v>
      </c>
      <c r="AR20" s="438">
        <f>AP20</f>
        <v>20</v>
      </c>
      <c r="AT20" s="438">
        <f>AN20</f>
        <v>60</v>
      </c>
      <c r="AV20" s="438">
        <f>AM20</f>
        <v>3</v>
      </c>
      <c r="AX20" s="438">
        <f>IF(AM20=0,0,18)</f>
        <v>18</v>
      </c>
      <c r="AZ20" s="439" t="s">
        <v>243</v>
      </c>
      <c r="BB20" s="438">
        <f>IF($AR20=$AR$17,1,0)</f>
        <v>0</v>
      </c>
      <c r="BD20" s="438">
        <f>IF($AT20=$AT$17,1,0)</f>
        <v>0</v>
      </c>
      <c r="BF20" s="438">
        <f>IF($AV20=$AV$17,1,0)</f>
        <v>0</v>
      </c>
      <c r="BH20" s="438">
        <f>IF($AX20=$AX$17,1,0)</f>
        <v>1</v>
      </c>
      <c r="BJ20" s="438">
        <f>SUM(BB20,BD20,BF20,BH20)</f>
        <v>1</v>
      </c>
      <c r="BL20" s="438">
        <f>IF($BJ20=$BJ$17,1,0)</f>
        <v>0</v>
      </c>
      <c r="BN20" s="439" t="s">
        <v>243</v>
      </c>
      <c r="BO20" s="438">
        <f>IF(BL20=0,0,AM20)</f>
        <v>0</v>
      </c>
      <c r="BP20" s="438">
        <f>IF(BL20=0,0,AN20)</f>
        <v>0</v>
      </c>
      <c r="BV20" s="439" t="s">
        <v>243</v>
      </c>
      <c r="BW20" s="438">
        <f>SUM(BO20+BO23+BO27)</f>
        <v>0</v>
      </c>
      <c r="BZ20" s="320" t="b">
        <f>Materials!D3</f>
        <v>1</v>
      </c>
      <c r="CA20" s="320">
        <f>Materials!E3</f>
        <v>12</v>
      </c>
      <c r="CB20" s="320">
        <f>Materials!F3</f>
        <v>30</v>
      </c>
      <c r="CE20" s="439" t="s">
        <v>243</v>
      </c>
      <c r="CF20" s="438">
        <f>IF($BZ$18=TRUE,AM20,0)</f>
        <v>0</v>
      </c>
      <c r="CG20" s="438">
        <f>IF($BZ$18=TRUE,AN20,0)</f>
        <v>0</v>
      </c>
      <c r="CI20" s="438">
        <f>IF(CF20&gt;0,20,0)</f>
        <v>0</v>
      </c>
      <c r="CK20" s="438">
        <f>CI20</f>
        <v>0</v>
      </c>
      <c r="CM20" s="438">
        <f>CG20</f>
        <v>0</v>
      </c>
      <c r="CO20" s="438">
        <f>CF20</f>
        <v>0</v>
      </c>
      <c r="CQ20" s="438">
        <f>IF(CF20=0,0,18)</f>
        <v>0</v>
      </c>
      <c r="CS20" s="439" t="s">
        <v>243</v>
      </c>
      <c r="CU20" s="438">
        <f>IF(CK20=CK$17,1,0)</f>
        <v>1</v>
      </c>
      <c r="CW20" s="438">
        <f>IF(CM20=CM$17,1,0)</f>
        <v>0</v>
      </c>
      <c r="CY20" s="438">
        <f>IF(CO20=CO$17,1,0)</f>
        <v>0</v>
      </c>
      <c r="DA20" s="438">
        <f>IF(CQ20=CQ$17,1,0)</f>
        <v>0</v>
      </c>
      <c r="DC20" s="438">
        <f>SUM(CU20,CW20,CY20,DA20)</f>
        <v>1</v>
      </c>
      <c r="DE20" s="438">
        <f>IF($DC20=$DC$17,1,0)</f>
        <v>0</v>
      </c>
      <c r="DG20" s="439" t="s">
        <v>243</v>
      </c>
      <c r="DH20" s="438">
        <f>IF(DE20=0,0,CF20)</f>
        <v>0</v>
      </c>
      <c r="DI20" s="438">
        <f>IF(DE20=0,0,CG20)</f>
        <v>0</v>
      </c>
      <c r="DO20" s="439" t="s">
        <v>243</v>
      </c>
      <c r="DP20" s="438">
        <f>SUM(DH20+DH23+DH27)</f>
        <v>0</v>
      </c>
      <c r="DV20" s="532"/>
      <c r="DZ20" s="439" t="s">
        <v>243</v>
      </c>
      <c r="EA20" s="438">
        <f>BW20</f>
        <v>0</v>
      </c>
      <c r="EE20" s="439" t="s">
        <v>243</v>
      </c>
      <c r="EF20" s="438">
        <f>DP20</f>
        <v>0</v>
      </c>
      <c r="EK20" s="47"/>
    </row>
    <row r="21" spans="10:141" ht="15.75">
      <c r="J21" s="1209" t="s">
        <v>282</v>
      </c>
      <c r="K21" s="370" t="s">
        <v>283</v>
      </c>
      <c r="L21" s="1206">
        <f>IF(AND(M17&lt;=20,M7&lt;=12,M8=2),3,0)</f>
        <v>3</v>
      </c>
      <c r="M21" s="1207"/>
      <c r="N21" s="1208"/>
      <c r="O21" s="358"/>
      <c r="P21" s="358">
        <f>L21</f>
        <v>3</v>
      </c>
      <c r="Q21" s="358"/>
      <c r="R21" s="358"/>
      <c r="T21" s="1209" t="s">
        <v>282</v>
      </c>
      <c r="U21" s="370" t="s">
        <v>283</v>
      </c>
      <c r="V21" s="1206">
        <f>IF(AND(W7&lt;=12,W8=2),3*ROUNDUP(V15/20,0),0)</f>
        <v>3</v>
      </c>
      <c r="W21" s="1207"/>
      <c r="X21" s="1208"/>
      <c r="Y21" s="358"/>
      <c r="Z21" s="358">
        <f>V21</f>
        <v>3</v>
      </c>
      <c r="AA21" s="358"/>
      <c r="AB21" s="358"/>
      <c r="AG21" t="s">
        <v>1324</v>
      </c>
      <c r="AH21">
        <f>Z21</f>
        <v>3</v>
      </c>
      <c r="BV21" s="439" t="s">
        <v>252</v>
      </c>
      <c r="BW21" s="438">
        <f>SUM(BO31+BO24)</f>
        <v>2</v>
      </c>
      <c r="DO21" s="439" t="s">
        <v>252</v>
      </c>
      <c r="DP21" s="438">
        <f>SUM(DH31+DH24)</f>
        <v>0</v>
      </c>
      <c r="DV21" s="532"/>
      <c r="DZ21" s="439" t="s">
        <v>252</v>
      </c>
      <c r="EA21" s="438">
        <f>BW21</f>
        <v>2</v>
      </c>
      <c r="EE21" s="439" t="s">
        <v>252</v>
      </c>
      <c r="EF21" s="438">
        <f>DP21</f>
        <v>0</v>
      </c>
      <c r="EK21" s="47"/>
    </row>
    <row r="22" spans="10:141" ht="15.75">
      <c r="J22" s="1014"/>
      <c r="K22" s="358"/>
      <c r="L22" s="358"/>
      <c r="M22" s="358"/>
      <c r="N22" s="358"/>
      <c r="O22" s="358"/>
      <c r="P22" s="358"/>
      <c r="Q22" s="358"/>
      <c r="R22" s="358"/>
      <c r="T22" s="1014"/>
      <c r="U22" s="358"/>
      <c r="V22" s="358"/>
      <c r="W22" s="358"/>
      <c r="X22" s="358"/>
      <c r="Z22" s="358"/>
      <c r="AA22" s="358"/>
      <c r="AB22" s="358"/>
      <c r="AD22" s="693" t="s">
        <v>90</v>
      </c>
      <c r="AE22" s="694" t="s">
        <v>91</v>
      </c>
      <c r="AL22" s="693" t="s">
        <v>90</v>
      </c>
      <c r="AM22" s="694" t="s">
        <v>91</v>
      </c>
      <c r="AN22" s="694" t="s">
        <v>513</v>
      </c>
      <c r="AP22" s="694" t="s">
        <v>1317</v>
      </c>
      <c r="AR22" s="694" t="s">
        <v>1317</v>
      </c>
      <c r="AT22" s="694" t="s">
        <v>1318</v>
      </c>
      <c r="AV22" s="694" t="s">
        <v>1319</v>
      </c>
      <c r="AX22" s="694" t="s">
        <v>1320</v>
      </c>
      <c r="AZ22" s="693" t="s">
        <v>90</v>
      </c>
      <c r="BB22" s="694" t="s">
        <v>1321</v>
      </c>
      <c r="BD22" s="694" t="s">
        <v>1322</v>
      </c>
      <c r="BF22" s="694" t="s">
        <v>1312</v>
      </c>
      <c r="BH22" s="694" t="s">
        <v>1313</v>
      </c>
      <c r="BJ22" s="694" t="s">
        <v>1249</v>
      </c>
      <c r="BL22" s="694" t="s">
        <v>1249</v>
      </c>
      <c r="BN22" s="693" t="s">
        <v>90</v>
      </c>
      <c r="BO22" s="694" t="s">
        <v>91</v>
      </c>
      <c r="BP22" s="694" t="s">
        <v>513</v>
      </c>
      <c r="BV22" s="439" t="s">
        <v>256</v>
      </c>
      <c r="BW22" s="438">
        <f>SUM(BO34+BO28)</f>
        <v>0</v>
      </c>
      <c r="CE22" s="693" t="s">
        <v>90</v>
      </c>
      <c r="CF22" s="694" t="s">
        <v>91</v>
      </c>
      <c r="CG22" s="694" t="s">
        <v>513</v>
      </c>
      <c r="CI22" s="694" t="s">
        <v>1317</v>
      </c>
      <c r="CK22" s="694" t="s">
        <v>1317</v>
      </c>
      <c r="CM22" s="694" t="s">
        <v>1318</v>
      </c>
      <c r="CO22" s="694" t="s">
        <v>1319</v>
      </c>
      <c r="CQ22" s="694" t="s">
        <v>1320</v>
      </c>
      <c r="CS22" s="693" t="s">
        <v>90</v>
      </c>
      <c r="CU22" s="694" t="s">
        <v>1321</v>
      </c>
      <c r="CW22" s="694" t="s">
        <v>1322</v>
      </c>
      <c r="CY22" s="694" t="s">
        <v>1312</v>
      </c>
      <c r="DA22" s="694" t="s">
        <v>1313</v>
      </c>
      <c r="DC22" s="694" t="s">
        <v>1249</v>
      </c>
      <c r="DE22" s="694" t="s">
        <v>1249</v>
      </c>
      <c r="DG22" s="693" t="s">
        <v>90</v>
      </c>
      <c r="DH22" s="694" t="s">
        <v>91</v>
      </c>
      <c r="DI22" s="694" t="s">
        <v>513</v>
      </c>
      <c r="DO22" s="439" t="s">
        <v>256</v>
      </c>
      <c r="DP22" s="438">
        <f>SUM(DH34+DH28)</f>
        <v>2</v>
      </c>
      <c r="DV22" s="532"/>
      <c r="DZ22" s="439" t="s">
        <v>256</v>
      </c>
      <c r="EA22" s="438">
        <f>BW22</f>
        <v>0</v>
      </c>
      <c r="EE22" s="439" t="s">
        <v>256</v>
      </c>
      <c r="EF22" s="438">
        <f>DP22</f>
        <v>2</v>
      </c>
      <c r="EK22" s="47"/>
    </row>
    <row r="23" spans="10:141" ht="15.75">
      <c r="J23" s="1209"/>
      <c r="K23" s="370" t="s">
        <v>290</v>
      </c>
      <c r="L23" s="1205">
        <f>IF(AND(M17&lt;=20,M7&gt;12,M7&lt;20,M8=1),1,0)</f>
        <v>0</v>
      </c>
      <c r="M23" s="1205"/>
      <c r="N23" s="1205"/>
      <c r="O23" s="358"/>
      <c r="P23" s="358">
        <f>L23</f>
        <v>0</v>
      </c>
      <c r="Q23" s="358">
        <f>IF(AND(L23=1,M17&lt;=15),1,0)</f>
        <v>0</v>
      </c>
      <c r="R23" s="358">
        <f>IF(AND(L23=1,M17&gt;15),1,0)</f>
        <v>0</v>
      </c>
      <c r="T23" s="1209"/>
      <c r="U23" s="370" t="s">
        <v>290</v>
      </c>
      <c r="V23" s="1205">
        <f>IF(AND(W7&lt;20,W8=2),1,0)</f>
        <v>1</v>
      </c>
      <c r="W23" s="1205"/>
      <c r="X23" s="1205"/>
      <c r="Z23" s="358">
        <f>V23*ROUNDUP(V15/20,0)</f>
        <v>1</v>
      </c>
      <c r="AA23" s="358">
        <f>IF(AND(V23&gt;=1),V23*ROUNDUP(V15/15,0),0)</f>
        <v>1</v>
      </c>
      <c r="AB23" s="358">
        <f>IF(AND(V23&gt;=1),V23*ROUNDUP(V15/30,0),0)</f>
        <v>1</v>
      </c>
      <c r="AD23" s="439" t="s">
        <v>243</v>
      </c>
      <c r="AE23" s="438">
        <f>Z23</f>
        <v>1</v>
      </c>
      <c r="AG23" t="s">
        <v>1325</v>
      </c>
      <c r="AH23">
        <f>Z23</f>
        <v>1</v>
      </c>
      <c r="AI23">
        <f>AA23</f>
        <v>1</v>
      </c>
      <c r="AJ23">
        <f>AB23</f>
        <v>1</v>
      </c>
      <c r="AL23" s="439" t="s">
        <v>243</v>
      </c>
      <c r="AM23" s="438">
        <f>AH23</f>
        <v>1</v>
      </c>
      <c r="AN23" s="438">
        <f>AM23*20</f>
        <v>20</v>
      </c>
      <c r="AP23" s="438">
        <f>IF(AM23&gt;0,20,0)</f>
        <v>20</v>
      </c>
      <c r="AR23" s="438">
        <f>IF(OR(AM23=0,AM24=0),0,MAX(AP23,AP24))</f>
        <v>20</v>
      </c>
      <c r="AT23" s="438">
        <f>IF(OR(AM23=0,AM24=0),0,AN23+AN24)</f>
        <v>35</v>
      </c>
      <c r="AV23" s="438">
        <f>IF(OR(AM23=0,AM24=0),0,SUM(AM23,AM24))</f>
        <v>2</v>
      </c>
      <c r="AX23" s="438">
        <f>IF(OR(AM24=0,AM23=0),0,18)</f>
        <v>18</v>
      </c>
      <c r="AZ23" s="439" t="s">
        <v>243</v>
      </c>
      <c r="BB23" s="438">
        <f>IF($AR23=$AR$17,1,0)</f>
        <v>0</v>
      </c>
      <c r="BD23" s="438">
        <f>IF($AT23=$AT$17,1,0)</f>
        <v>0</v>
      </c>
      <c r="BF23" s="438">
        <f>IF($AV23=$AV$17,1,0)</f>
        <v>1</v>
      </c>
      <c r="BH23" s="438">
        <f>IF($AX23=$AX$17,1,0)</f>
        <v>1</v>
      </c>
      <c r="BJ23" s="438">
        <f>SUM(BB23,BD23,BF23,BH23)</f>
        <v>2</v>
      </c>
      <c r="BL23" s="438">
        <f>IF($BJ23=$BJ$17,1,0)</f>
        <v>0</v>
      </c>
      <c r="BN23" s="439" t="s">
        <v>243</v>
      </c>
      <c r="BO23" s="438">
        <f>IF(BL23=0,0,AM23)</f>
        <v>0</v>
      </c>
      <c r="BP23" s="438">
        <f>IF(BL23=0,0,AN23)</f>
        <v>0</v>
      </c>
      <c r="CE23" s="439" t="s">
        <v>243</v>
      </c>
      <c r="CF23" s="438">
        <f>IF(AND($BZ$18=TRUE,$BZ$19=TRUE),AM23,0)</f>
        <v>0</v>
      </c>
      <c r="CG23" s="438">
        <f>IF(AND($BZ$18=TRUE,$BZ$19=TRUE),AN23,0)</f>
        <v>0</v>
      </c>
      <c r="CI23" s="438">
        <f>IF(CF23&gt;0,20,0)</f>
        <v>0</v>
      </c>
      <c r="CK23" s="438">
        <f>IF(OR(CF24=0,CF23=0),0,MAX(CI23,CI24))</f>
        <v>0</v>
      </c>
      <c r="CM23" s="438">
        <f>IF(OR(CF24=0,CF23=0),0,CG23+CG24)</f>
        <v>0</v>
      </c>
      <c r="CO23" s="438">
        <f>IF(OR(CF24=0,CF23=0),0,SUM(CF23,CF24))</f>
        <v>0</v>
      </c>
      <c r="CQ23" s="438">
        <f>IF(OR(CF24=0,CF23=0),0,18)</f>
        <v>0</v>
      </c>
      <c r="CS23" s="439" t="s">
        <v>243</v>
      </c>
      <c r="CU23" s="438">
        <f>IF(CK23=CK$17,1,0)</f>
        <v>1</v>
      </c>
      <c r="CW23" s="438">
        <f>IF(CM23=CM$17,1,0)</f>
        <v>0</v>
      </c>
      <c r="CY23" s="438">
        <f>IF(CO23=CO$17,1,0)</f>
        <v>0</v>
      </c>
      <c r="DA23" s="438">
        <f>IF(CQ23=CQ$17,1,0)</f>
        <v>0</v>
      </c>
      <c r="DC23" s="438">
        <f>SUM(CU23,CW23,CY23,DA23)</f>
        <v>1</v>
      </c>
      <c r="DE23" s="438">
        <f>IF($DC23=$DC$17,1,0)</f>
        <v>0</v>
      </c>
      <c r="DG23" s="439" t="s">
        <v>243</v>
      </c>
      <c r="DH23" s="438">
        <f>IF(DE23=0,0,CF23)</f>
        <v>0</v>
      </c>
      <c r="DI23" s="438">
        <f>IF(DE23=0,0,CG23)</f>
        <v>0</v>
      </c>
      <c r="DV23" s="532"/>
      <c r="EK23" s="47"/>
    </row>
    <row r="24" spans="10:141" ht="15.75">
      <c r="J24" s="1014"/>
      <c r="K24" s="358"/>
      <c r="L24" s="358"/>
      <c r="M24" s="358"/>
      <c r="N24" s="358"/>
      <c r="O24" s="358"/>
      <c r="P24" s="358"/>
      <c r="Q24" s="358"/>
      <c r="R24" s="358"/>
      <c r="T24" s="1014"/>
      <c r="U24" s="358"/>
      <c r="V24" s="358"/>
      <c r="W24" s="358"/>
      <c r="X24" s="358"/>
      <c r="Y24" s="358"/>
      <c r="Z24" s="358"/>
      <c r="AA24" s="358"/>
      <c r="AB24" s="358"/>
      <c r="AD24" s="439" t="s">
        <v>252</v>
      </c>
      <c r="AE24" s="438">
        <f>AA23</f>
        <v>1</v>
      </c>
      <c r="AL24" s="439" t="s">
        <v>252</v>
      </c>
      <c r="AM24" s="438">
        <f>AI23</f>
        <v>1</v>
      </c>
      <c r="AN24" s="438">
        <f>AM24*15</f>
        <v>15</v>
      </c>
      <c r="AP24" s="438">
        <f>IF(AM24&gt;0,15,0)</f>
        <v>15</v>
      </c>
      <c r="AZ24" s="439" t="s">
        <v>252</v>
      </c>
      <c r="BN24" s="439" t="s">
        <v>252</v>
      </c>
      <c r="BO24" s="438">
        <f>IF(BL23=0,0,AM24)</f>
        <v>0</v>
      </c>
      <c r="BP24" s="438">
        <f>IF(BL23=0,0,AN24)</f>
        <v>0</v>
      </c>
      <c r="CE24" s="439" t="s">
        <v>252</v>
      </c>
      <c r="CF24" s="438">
        <f>IF(AND($BZ$18=TRUE,$BZ$19=TRUE),AM24,0)</f>
        <v>0</v>
      </c>
      <c r="CG24" s="438">
        <f>IF(AND($BZ$18=TRUE,$BZ$19=TRUE),AN24,0)</f>
        <v>0</v>
      </c>
      <c r="CI24" s="438">
        <f>IF(CF24&gt;0,15,0)</f>
        <v>0</v>
      </c>
      <c r="CS24" s="439" t="s">
        <v>252</v>
      </c>
      <c r="DG24" s="439" t="s">
        <v>252</v>
      </c>
      <c r="DH24" s="438">
        <f>IF(DE23=0,0,CF24)</f>
        <v>0</v>
      </c>
      <c r="DI24" s="438">
        <f>IF(DE23=0,0,CG24)</f>
        <v>0</v>
      </c>
      <c r="DV24" s="532"/>
      <c r="EK24" s="47"/>
    </row>
    <row r="25" spans="10:141">
      <c r="J25" s="1209"/>
      <c r="K25" s="325" t="s">
        <v>300</v>
      </c>
      <c r="L25" s="1205">
        <f>IF(AND(M7&gt;=20,M8=1),1,0)</f>
        <v>0</v>
      </c>
      <c r="M25" s="1205"/>
      <c r="N25" s="1205"/>
      <c r="O25" s="358"/>
      <c r="P25" s="358"/>
      <c r="Q25" s="358">
        <f>IF(AND(L25=1,M17&lt;=15),M8*2,0)</f>
        <v>0</v>
      </c>
      <c r="R25" s="358">
        <f>IF(AND(L25=1,M17&gt;15),1,0)</f>
        <v>0</v>
      </c>
      <c r="T25" s="1209"/>
      <c r="U25" s="325" t="s">
        <v>300</v>
      </c>
      <c r="V25" s="1205">
        <f>1</f>
        <v>1</v>
      </c>
      <c r="W25" s="1205"/>
      <c r="X25" s="1205"/>
      <c r="Y25" s="358"/>
      <c r="Z25" s="358"/>
      <c r="AA25" s="358">
        <f>ROUNDUP(V15/15,0)</f>
        <v>1</v>
      </c>
      <c r="AB25" s="358">
        <f>ROUNDUP(V15/30,0)</f>
        <v>1</v>
      </c>
      <c r="AG25" t="s">
        <v>608</v>
      </c>
      <c r="AI25">
        <f>AA25</f>
        <v>1</v>
      </c>
      <c r="AJ25">
        <f>AB25</f>
        <v>1</v>
      </c>
      <c r="DV25" s="532"/>
      <c r="EK25" s="47"/>
    </row>
    <row r="26" spans="10:141" ht="15.75">
      <c r="J26" s="262"/>
      <c r="K26" s="358"/>
      <c r="L26" s="358"/>
      <c r="M26" s="358"/>
      <c r="N26" s="358"/>
      <c r="O26" s="358"/>
      <c r="P26" s="358"/>
      <c r="Q26" s="358"/>
      <c r="R26" s="358"/>
      <c r="T26" s="262"/>
      <c r="U26" s="358"/>
      <c r="V26" s="358"/>
      <c r="W26" s="358"/>
      <c r="X26" s="358"/>
      <c r="Y26" s="358"/>
      <c r="Z26" s="358"/>
      <c r="AA26" s="358"/>
      <c r="AB26" s="358"/>
      <c r="AD26" s="693" t="s">
        <v>90</v>
      </c>
      <c r="AE26" s="694" t="s">
        <v>91</v>
      </c>
      <c r="AL26" s="693" t="s">
        <v>90</v>
      </c>
      <c r="AM26" s="694" t="s">
        <v>91</v>
      </c>
      <c r="AN26" s="694" t="s">
        <v>513</v>
      </c>
      <c r="AP26" s="694" t="s">
        <v>1317</v>
      </c>
      <c r="AR26" s="694" t="s">
        <v>1317</v>
      </c>
      <c r="AT26" s="694" t="s">
        <v>1318</v>
      </c>
      <c r="AV26" s="694" t="s">
        <v>1319</v>
      </c>
      <c r="AX26" s="694" t="s">
        <v>1320</v>
      </c>
      <c r="AZ26" s="693" t="s">
        <v>90</v>
      </c>
      <c r="BB26" s="694" t="s">
        <v>1321</v>
      </c>
      <c r="BD26" s="694" t="s">
        <v>1322</v>
      </c>
      <c r="BF26" s="694" t="s">
        <v>1312</v>
      </c>
      <c r="BH26" s="694" t="s">
        <v>1313</v>
      </c>
      <c r="BJ26" s="694" t="s">
        <v>1249</v>
      </c>
      <c r="BL26" s="694" t="s">
        <v>1249</v>
      </c>
      <c r="BN26" s="693" t="s">
        <v>90</v>
      </c>
      <c r="BO26" s="694" t="s">
        <v>91</v>
      </c>
      <c r="BP26" s="694" t="s">
        <v>513</v>
      </c>
      <c r="CE26" s="693" t="s">
        <v>90</v>
      </c>
      <c r="CF26" s="694" t="s">
        <v>91</v>
      </c>
      <c r="CG26" s="694" t="s">
        <v>513</v>
      </c>
      <c r="CI26" s="694" t="s">
        <v>1317</v>
      </c>
      <c r="CK26" s="694" t="s">
        <v>1317</v>
      </c>
      <c r="CM26" s="694" t="s">
        <v>1318</v>
      </c>
      <c r="CO26" s="694" t="s">
        <v>1319</v>
      </c>
      <c r="CQ26" s="694" t="s">
        <v>1320</v>
      </c>
      <c r="CS26" s="693" t="s">
        <v>90</v>
      </c>
      <c r="CU26" s="694" t="s">
        <v>1321</v>
      </c>
      <c r="CW26" s="694" t="s">
        <v>1322</v>
      </c>
      <c r="CY26" s="694" t="s">
        <v>1312</v>
      </c>
      <c r="DA26" s="694" t="s">
        <v>1313</v>
      </c>
      <c r="DC26" s="694" t="s">
        <v>1249</v>
      </c>
      <c r="DE26" s="694" t="s">
        <v>1249</v>
      </c>
      <c r="DG26" s="693" t="s">
        <v>90</v>
      </c>
      <c r="DH26" s="694" t="s">
        <v>91</v>
      </c>
      <c r="DI26" s="694" t="s">
        <v>513</v>
      </c>
      <c r="DV26" s="532"/>
      <c r="EK26" s="47"/>
    </row>
    <row r="27" spans="10:141" ht="15.75">
      <c r="J27" s="372" t="s">
        <v>304</v>
      </c>
      <c r="K27" s="370" t="s">
        <v>305</v>
      </c>
      <c r="L27" s="1205">
        <f>IF(M8&gt;1,1,0)</f>
        <v>1</v>
      </c>
      <c r="M27" s="1205"/>
      <c r="N27" s="1205"/>
      <c r="O27" s="358"/>
      <c r="P27" s="358"/>
      <c r="Q27" s="358">
        <f>IF(AND(L27,M17&lt;=15),M8+1,0)</f>
        <v>3</v>
      </c>
      <c r="R27" s="358">
        <f>IF(AND(L27=1,M17&gt;15),M8+1,0)</f>
        <v>0</v>
      </c>
      <c r="AD27" s="439" t="s">
        <v>243</v>
      </c>
      <c r="AE27" s="438">
        <f>Z23</f>
        <v>1</v>
      </c>
      <c r="AL27" s="439" t="s">
        <v>243</v>
      </c>
      <c r="AM27" s="438">
        <f>AH23</f>
        <v>1</v>
      </c>
      <c r="AN27" s="438">
        <f>AM27*20</f>
        <v>20</v>
      </c>
      <c r="AP27" s="438">
        <f>IF(AM27&gt;0,20,0)</f>
        <v>20</v>
      </c>
      <c r="AR27" s="438">
        <f>IF(OR(AM27=0,AM28=0),0,MAX(AP27,AP28))</f>
        <v>30</v>
      </c>
      <c r="AT27" s="438">
        <f>IF(OR(AM27=0,AM28=0),0,AN27+AN28)</f>
        <v>50</v>
      </c>
      <c r="AV27" s="438">
        <f>IF(OR(AM27=0,AM28=0),0,SUM(AM27,AM28))</f>
        <v>2</v>
      </c>
      <c r="AX27" s="438">
        <f>IF(OR(AM28=0,AM27=0),0,18)</f>
        <v>18</v>
      </c>
      <c r="AZ27" s="439" t="s">
        <v>243</v>
      </c>
      <c r="BB27" s="438">
        <f>IF($AR27=$AR$17,1,0)</f>
        <v>0</v>
      </c>
      <c r="BD27" s="438">
        <f>IF($AT27=$AT$17,1,0)</f>
        <v>0</v>
      </c>
      <c r="BF27" s="438">
        <f>IF($AV27=$AV$17,1,0)</f>
        <v>1</v>
      </c>
      <c r="BH27" s="438">
        <f>IF($AX27=$AX$17,1,0)</f>
        <v>1</v>
      </c>
      <c r="BJ27" s="438">
        <f>SUM(BB27,BD27,BF27,BH27)</f>
        <v>2</v>
      </c>
      <c r="BL27" s="438">
        <f>IF($BJ27=$BJ$17,1,0)</f>
        <v>0</v>
      </c>
      <c r="BN27" s="439" t="s">
        <v>243</v>
      </c>
      <c r="BO27" s="438">
        <f>IF(BL27=0,0,AM27)</f>
        <v>0</v>
      </c>
      <c r="BP27" s="438">
        <f>IF(BL27=0,0,AN27)</f>
        <v>0</v>
      </c>
      <c r="CE27" s="439" t="s">
        <v>243</v>
      </c>
      <c r="CF27" s="438">
        <f>IF(AND($BZ$18=TRUE,$BZ$20=TRUE),AM27,0)</f>
        <v>0</v>
      </c>
      <c r="CG27" s="438">
        <f>IF(AND($BZ$18=TRUE,$BZ$20=TRUE),AN27,0)</f>
        <v>0</v>
      </c>
      <c r="CI27" s="438">
        <f>IF(CF27&gt;0,20,0)</f>
        <v>0</v>
      </c>
      <c r="CK27" s="438">
        <f>IF(OR(CF28=0,CF27=0),0,MAX(CI27,CI28))</f>
        <v>0</v>
      </c>
      <c r="CM27" s="438">
        <f>IF(OR(CF28=0,CF27=0),0,CG27+CG28)</f>
        <v>0</v>
      </c>
      <c r="CO27" s="438">
        <f>IF(OR(CF28=0,CF27=0),0,SUM(CF27,CF28))</f>
        <v>0</v>
      </c>
      <c r="CQ27" s="438">
        <f>IF(OR(CF28=0,CF27=0),0,18)</f>
        <v>0</v>
      </c>
      <c r="CS27" s="439" t="s">
        <v>243</v>
      </c>
      <c r="CU27" s="438">
        <f>IF(CK27=CK$17,1,0)</f>
        <v>1</v>
      </c>
      <c r="CW27" s="438">
        <f>IF(CM27=CM$17,1,0)</f>
        <v>0</v>
      </c>
      <c r="CY27" s="438">
        <f>IF(CO27=CO$17,1,0)</f>
        <v>0</v>
      </c>
      <c r="DA27" s="438">
        <f>IF(CQ27=CQ$17,1,0)</f>
        <v>0</v>
      </c>
      <c r="DC27" s="438">
        <f>SUM(CU27,CW27,CY27,DA27)</f>
        <v>1</v>
      </c>
      <c r="DE27" s="438">
        <f>IF($DC27=$DC$17,1,0)</f>
        <v>0</v>
      </c>
      <c r="DG27" s="439" t="s">
        <v>243</v>
      </c>
      <c r="DH27" s="438">
        <f>IF(DE27=0,0,CF27)</f>
        <v>0</v>
      </c>
      <c r="DI27" s="438">
        <f>IF(DE27=0,0,CG27)</f>
        <v>0</v>
      </c>
      <c r="DV27" s="532"/>
      <c r="EK27" s="47"/>
    </row>
    <row r="28" spans="10:141" ht="15.75">
      <c r="J28" s="260"/>
      <c r="K28" s="358"/>
      <c r="L28" s="358"/>
      <c r="M28" s="358"/>
      <c r="N28" s="358"/>
      <c r="O28" s="358"/>
      <c r="P28" s="358"/>
      <c r="Q28" s="358"/>
      <c r="R28" s="358"/>
      <c r="T28" s="260"/>
      <c r="U28" s="358"/>
      <c r="V28" s="358"/>
      <c r="W28" s="358"/>
      <c r="X28" s="358"/>
      <c r="AD28" s="439" t="s">
        <v>256</v>
      </c>
      <c r="AE28" s="438">
        <f>AB23</f>
        <v>1</v>
      </c>
      <c r="AL28" s="439" t="s">
        <v>256</v>
      </c>
      <c r="AM28" s="438">
        <f>AJ23</f>
        <v>1</v>
      </c>
      <c r="AN28" s="438">
        <f>AM28*30</f>
        <v>30</v>
      </c>
      <c r="AP28" s="438">
        <f>IF(AM28&gt;0,30,0)</f>
        <v>30</v>
      </c>
      <c r="AZ28" s="439" t="s">
        <v>256</v>
      </c>
      <c r="BN28" s="439" t="s">
        <v>256</v>
      </c>
      <c r="BO28" s="438">
        <f>IF(BL27=0,0,AM28)</f>
        <v>0</v>
      </c>
      <c r="BP28" s="438">
        <f>IF(BL27=0,0,AN28)</f>
        <v>0</v>
      </c>
      <c r="CE28" s="439" t="s">
        <v>256</v>
      </c>
      <c r="CF28" s="438">
        <f>IF(AND($BZ$18=TRUE,$BZ$20=TRUE),AM28,0)</f>
        <v>0</v>
      </c>
      <c r="CG28" s="438">
        <f>IF(AND($BZ$18=TRUE,$BZ$20=TRUE),AN28,0)</f>
        <v>0</v>
      </c>
      <c r="CI28" s="438">
        <f>IF(CF28&gt;0,30,0)</f>
        <v>0</v>
      </c>
      <c r="CS28" s="439" t="s">
        <v>256</v>
      </c>
      <c r="DG28" s="439" t="s">
        <v>256</v>
      </c>
      <c r="DH28" s="438">
        <f>IF(DE27=0,0,CF28)</f>
        <v>0</v>
      </c>
      <c r="DI28" s="438">
        <f>IF(DE27=0,0,CG28)</f>
        <v>0</v>
      </c>
      <c r="DV28" s="532"/>
      <c r="EK28" s="47"/>
    </row>
    <row r="29" spans="10:141">
      <c r="K29" s="358"/>
      <c r="L29" s="358"/>
      <c r="M29" s="358"/>
      <c r="N29" s="358"/>
      <c r="O29" s="358" t="s">
        <v>307</v>
      </c>
      <c r="P29" s="358">
        <f>SUM(P21,P22,P23,P24,P25,P26,P27)</f>
        <v>3</v>
      </c>
      <c r="Q29" s="358">
        <f>SUM(Q21,Q22,Q23,Q24,Q25,Q26,Q27)</f>
        <v>3</v>
      </c>
      <c r="R29" s="358">
        <f>SUM(R21,R22,R23,R24,R25,R26,R27)</f>
        <v>0</v>
      </c>
      <c r="U29" s="358"/>
      <c r="V29" s="358"/>
      <c r="W29" s="358"/>
      <c r="X29" s="358"/>
      <c r="AC29" s="358"/>
      <c r="AF29" s="358"/>
      <c r="DV29" s="532"/>
      <c r="EK29" s="47"/>
    </row>
    <row r="30" spans="10:141" ht="16.5" thickBot="1">
      <c r="K30" s="358"/>
      <c r="L30" s="358"/>
      <c r="M30" s="358"/>
      <c r="N30" s="358"/>
      <c r="O30" s="358"/>
      <c r="P30" s="358"/>
      <c r="Q30" s="358"/>
      <c r="R30" s="358"/>
      <c r="S30" s="358"/>
      <c r="AD30" s="693" t="s">
        <v>90</v>
      </c>
      <c r="AE30" s="694" t="s">
        <v>91</v>
      </c>
      <c r="AL30" s="693" t="s">
        <v>90</v>
      </c>
      <c r="AM30" s="694" t="s">
        <v>91</v>
      </c>
      <c r="AN30" s="694" t="s">
        <v>513</v>
      </c>
      <c r="AP30" s="694" t="s">
        <v>1317</v>
      </c>
      <c r="AR30" s="694" t="s">
        <v>1317</v>
      </c>
      <c r="AT30" s="694" t="s">
        <v>1318</v>
      </c>
      <c r="AV30" s="694" t="s">
        <v>1319</v>
      </c>
      <c r="AX30" s="694" t="s">
        <v>1320</v>
      </c>
      <c r="AZ30" s="693" t="s">
        <v>90</v>
      </c>
      <c r="BB30" s="694" t="s">
        <v>1321</v>
      </c>
      <c r="BD30" s="694" t="s">
        <v>1322</v>
      </c>
      <c r="BF30" s="694" t="s">
        <v>1312</v>
      </c>
      <c r="BH30" s="694" t="s">
        <v>1313</v>
      </c>
      <c r="BJ30" s="694" t="s">
        <v>1249</v>
      </c>
      <c r="BL30" s="694" t="s">
        <v>1249</v>
      </c>
      <c r="BN30" s="693" t="s">
        <v>90</v>
      </c>
      <c r="BO30" s="694" t="s">
        <v>91</v>
      </c>
      <c r="BP30" s="694" t="s">
        <v>513</v>
      </c>
      <c r="CE30" s="693" t="s">
        <v>90</v>
      </c>
      <c r="CF30" s="694" t="s">
        <v>91</v>
      </c>
      <c r="CG30" s="694" t="s">
        <v>513</v>
      </c>
      <c r="CI30" s="694" t="s">
        <v>1317</v>
      </c>
      <c r="CK30" s="694" t="s">
        <v>1317</v>
      </c>
      <c r="CM30" s="694" t="s">
        <v>1318</v>
      </c>
      <c r="CO30" s="694" t="s">
        <v>1319</v>
      </c>
      <c r="CQ30" s="694" t="s">
        <v>1320</v>
      </c>
      <c r="CS30" s="693" t="s">
        <v>90</v>
      </c>
      <c r="CU30" s="694" t="s">
        <v>1321</v>
      </c>
      <c r="CW30" s="694" t="s">
        <v>1322</v>
      </c>
      <c r="CY30" s="694" t="s">
        <v>1312</v>
      </c>
      <c r="DA30" s="694" t="s">
        <v>1313</v>
      </c>
      <c r="DC30" s="694" t="s">
        <v>1249</v>
      </c>
      <c r="DE30" s="694" t="s">
        <v>1249</v>
      </c>
      <c r="DG30" s="693" t="s">
        <v>90</v>
      </c>
      <c r="DH30" s="694" t="s">
        <v>91</v>
      </c>
      <c r="DI30" s="694" t="s">
        <v>513</v>
      </c>
      <c r="DV30" s="663"/>
      <c r="DW30" s="46"/>
      <c r="DX30" s="46"/>
      <c r="DY30" s="46"/>
      <c r="DZ30" s="46"/>
      <c r="EA30" s="46"/>
      <c r="EB30" s="46"/>
      <c r="EC30" s="46"/>
      <c r="ED30" s="46"/>
      <c r="EE30" s="46"/>
      <c r="EF30" s="46"/>
      <c r="EG30" s="46"/>
      <c r="EH30" s="46"/>
      <c r="EI30" s="46"/>
      <c r="EJ30" s="46"/>
      <c r="EK30" s="664"/>
    </row>
    <row r="31" spans="10:141" ht="15.75">
      <c r="K31" s="358"/>
      <c r="M31" s="358"/>
      <c r="N31" s="358"/>
      <c r="O31" s="358"/>
      <c r="P31" s="358"/>
      <c r="Q31" s="358"/>
      <c r="R31" s="358"/>
      <c r="S31" s="358"/>
      <c r="AD31" s="439" t="s">
        <v>252</v>
      </c>
      <c r="AE31" s="438">
        <f>AA25*W8</f>
        <v>2</v>
      </c>
      <c r="AL31" s="439" t="s">
        <v>252</v>
      </c>
      <c r="AM31" s="438">
        <f>AI25*W8</f>
        <v>2</v>
      </c>
      <c r="AN31" s="438">
        <f>AM31*15</f>
        <v>30</v>
      </c>
      <c r="AP31" s="438">
        <f>IF(AM31&gt;0,15*AI25,0)</f>
        <v>15</v>
      </c>
      <c r="AR31" s="438">
        <f>AP31</f>
        <v>15</v>
      </c>
      <c r="AT31" s="438">
        <f>AN31</f>
        <v>30</v>
      </c>
      <c r="AV31" s="438">
        <f>AM31</f>
        <v>2</v>
      </c>
      <c r="AX31" s="438">
        <f>IF(AM31=0,0,12*$W$8)</f>
        <v>24</v>
      </c>
      <c r="AZ31" s="439" t="s">
        <v>252</v>
      </c>
      <c r="BB31" s="438">
        <f>IF($AR31=$AR$17,1,0)</f>
        <v>1</v>
      </c>
      <c r="BD31" s="438">
        <f>IF($AT31=$AT$17,1,0)</f>
        <v>1</v>
      </c>
      <c r="BF31" s="438">
        <f>IF($AV31=$AV$17,1,0)</f>
        <v>1</v>
      </c>
      <c r="BH31" s="438">
        <f>IF($AX31=$AX$17,1,0)</f>
        <v>0</v>
      </c>
      <c r="BJ31" s="438">
        <f>SUM(BB31,BD31,BF31,BH31)</f>
        <v>3</v>
      </c>
      <c r="BL31" s="438">
        <f>IF($BJ31=$BJ$17,1,0)</f>
        <v>1</v>
      </c>
      <c r="BN31" s="439" t="s">
        <v>252</v>
      </c>
      <c r="BO31" s="438">
        <f>IF(BL31=0,0,AM31)</f>
        <v>2</v>
      </c>
      <c r="BP31" s="438">
        <f>IF(BL31=0,0,AN31)</f>
        <v>30</v>
      </c>
      <c r="CE31" s="439" t="s">
        <v>252</v>
      </c>
      <c r="CF31" s="438">
        <f>IF($BZ$19=TRUE,AM31,0)</f>
        <v>0</v>
      </c>
      <c r="CG31" s="438">
        <f>IF($BZ$19=TRUE,AN31,0)</f>
        <v>0</v>
      </c>
      <c r="CI31" s="438">
        <f>IF(CF31&gt;0,15*CB25,0)</f>
        <v>0</v>
      </c>
      <c r="CK31" s="438">
        <f>CI31</f>
        <v>0</v>
      </c>
      <c r="CM31" s="438">
        <f>CG31</f>
        <v>0</v>
      </c>
      <c r="CO31" s="438">
        <f>CF31</f>
        <v>0</v>
      </c>
      <c r="CQ31" s="438">
        <f>IF(CF31=0,0,12*$W$8)</f>
        <v>0</v>
      </c>
      <c r="CS31" s="439" t="s">
        <v>252</v>
      </c>
      <c r="CU31" s="438">
        <f>IF(CK31=CK$17,1,0)</f>
        <v>1</v>
      </c>
      <c r="CW31" s="438">
        <f>IF(CM31=CM$17,1,0)</f>
        <v>0</v>
      </c>
      <c r="CY31" s="438">
        <f>IF(CO31=CO$17,1,0)</f>
        <v>0</v>
      </c>
      <c r="DA31" s="438">
        <f>IF(CQ31=CQ$17,1,0)</f>
        <v>0</v>
      </c>
      <c r="DC31" s="438">
        <f>SUM(CU31,CW31,CY31,DA31)</f>
        <v>1</v>
      </c>
      <c r="DE31" s="438">
        <f>IF($DC31=$DC$17,1,0)</f>
        <v>0</v>
      </c>
      <c r="DG31" s="439" t="s">
        <v>252</v>
      </c>
      <c r="DH31" s="438">
        <f>IF(DE31=0,0,CF31)</f>
        <v>0</v>
      </c>
      <c r="DI31" s="438">
        <f>IF(DE31=0,0,CG31)</f>
        <v>0</v>
      </c>
    </row>
    <row r="32" spans="10:141">
      <c r="K32" s="358"/>
      <c r="L32" s="358"/>
      <c r="M32" s="358"/>
      <c r="N32" s="358"/>
      <c r="O32" s="358"/>
      <c r="P32" s="358"/>
      <c r="Q32" s="358"/>
      <c r="R32" s="358"/>
      <c r="S32" s="358"/>
    </row>
    <row r="33" spans="9:113" ht="15.75">
      <c r="K33" s="358"/>
      <c r="L33" s="358"/>
      <c r="M33" s="358"/>
      <c r="N33" s="358"/>
      <c r="O33" s="358"/>
      <c r="P33" s="358"/>
      <c r="Q33" s="358"/>
      <c r="R33" s="358"/>
      <c r="S33" s="358"/>
      <c r="AD33" s="693" t="s">
        <v>90</v>
      </c>
      <c r="AE33" s="694" t="s">
        <v>91</v>
      </c>
      <c r="AL33" s="693" t="s">
        <v>90</v>
      </c>
      <c r="AM33" s="694" t="s">
        <v>91</v>
      </c>
      <c r="AN33" s="694" t="s">
        <v>513</v>
      </c>
      <c r="AP33" s="694" t="s">
        <v>1317</v>
      </c>
      <c r="AR33" s="694" t="s">
        <v>1317</v>
      </c>
      <c r="AT33" s="694" t="s">
        <v>1318</v>
      </c>
      <c r="AV33" s="694" t="s">
        <v>1319</v>
      </c>
      <c r="AX33" s="694" t="s">
        <v>1320</v>
      </c>
      <c r="AZ33" s="693" t="s">
        <v>90</v>
      </c>
      <c r="BB33" s="694" t="s">
        <v>1321</v>
      </c>
      <c r="BD33" s="694" t="s">
        <v>1322</v>
      </c>
      <c r="BF33" s="694" t="s">
        <v>1312</v>
      </c>
      <c r="BH33" s="694" t="s">
        <v>1313</v>
      </c>
      <c r="BJ33" s="694" t="s">
        <v>1249</v>
      </c>
      <c r="BL33" s="694" t="s">
        <v>1249</v>
      </c>
      <c r="BN33" s="693" t="s">
        <v>90</v>
      </c>
      <c r="BO33" s="694" t="s">
        <v>91</v>
      </c>
      <c r="BP33" s="694" t="s">
        <v>513</v>
      </c>
      <c r="CE33" s="693" t="s">
        <v>90</v>
      </c>
      <c r="CF33" s="694" t="s">
        <v>91</v>
      </c>
      <c r="CG33" s="694" t="s">
        <v>513</v>
      </c>
      <c r="CI33" s="694" t="s">
        <v>1317</v>
      </c>
      <c r="CK33" s="694" t="s">
        <v>1317</v>
      </c>
      <c r="CM33" s="694" t="s">
        <v>1318</v>
      </c>
      <c r="CO33" s="694" t="s">
        <v>1319</v>
      </c>
      <c r="CQ33" s="694" t="s">
        <v>1320</v>
      </c>
      <c r="CS33" s="693" t="s">
        <v>90</v>
      </c>
      <c r="CU33" s="694" t="s">
        <v>1321</v>
      </c>
      <c r="CW33" s="694" t="s">
        <v>1322</v>
      </c>
      <c r="CY33" s="694" t="s">
        <v>1312</v>
      </c>
      <c r="DA33" s="694" t="s">
        <v>1313</v>
      </c>
      <c r="DC33" s="694" t="s">
        <v>1249</v>
      </c>
      <c r="DE33" s="694" t="s">
        <v>1249</v>
      </c>
      <c r="DG33" s="693" t="s">
        <v>90</v>
      </c>
      <c r="DH33" s="694" t="s">
        <v>91</v>
      </c>
      <c r="DI33" s="694" t="s">
        <v>513</v>
      </c>
    </row>
    <row r="34" spans="9:113" ht="15.75">
      <c r="K34" s="358"/>
      <c r="L34" s="358"/>
      <c r="M34" s="358"/>
      <c r="N34" s="358"/>
      <c r="O34" s="358"/>
      <c r="P34" s="358"/>
      <c r="Q34" s="358"/>
      <c r="R34" s="358"/>
      <c r="S34" s="358"/>
      <c r="AD34" s="439" t="s">
        <v>256</v>
      </c>
      <c r="AE34" s="438">
        <f>AB25*W8</f>
        <v>2</v>
      </c>
      <c r="AL34" s="439" t="s">
        <v>256</v>
      </c>
      <c r="AM34" s="438">
        <f>AJ25*W8</f>
        <v>2</v>
      </c>
      <c r="AN34" s="438">
        <f>AM34*30</f>
        <v>60</v>
      </c>
      <c r="AP34" s="438">
        <f>IF(AM34&gt;0,30*AJ25,0)</f>
        <v>30</v>
      </c>
      <c r="AR34" s="438">
        <f>AP34</f>
        <v>30</v>
      </c>
      <c r="AT34" s="438">
        <f>AN34</f>
        <v>60</v>
      </c>
      <c r="AV34" s="438">
        <f>AM34</f>
        <v>2</v>
      </c>
      <c r="AW34" s="786"/>
      <c r="AX34" s="438">
        <f>IF(AM34=0,0,12*$W$8)</f>
        <v>24</v>
      </c>
      <c r="AZ34" s="439" t="s">
        <v>256</v>
      </c>
      <c r="BB34" s="438">
        <f>IF($AR34=$AR$17,1,0)</f>
        <v>0</v>
      </c>
      <c r="BD34" s="438">
        <f>IF($AT34=$AT$17,1,0)</f>
        <v>0</v>
      </c>
      <c r="BF34" s="438">
        <f>IF($AV34=$AV$17,1,0)</f>
        <v>1</v>
      </c>
      <c r="BH34" s="438">
        <f>IF($AX34=$AX$17,1,0)</f>
        <v>0</v>
      </c>
      <c r="BJ34" s="438">
        <f>SUM(BB34,BD34,BF34,BH34)</f>
        <v>1</v>
      </c>
      <c r="BL34" s="438">
        <f>IF($BJ34=$BJ$17,1,0)</f>
        <v>0</v>
      </c>
      <c r="BN34" s="439" t="s">
        <v>256</v>
      </c>
      <c r="BO34" s="438">
        <f>IF(BL34=0,0,AM34)</f>
        <v>0</v>
      </c>
      <c r="BP34" s="438">
        <f>IF(BL34=0,0,AN34)</f>
        <v>0</v>
      </c>
      <c r="CE34" s="439" t="s">
        <v>256</v>
      </c>
      <c r="CF34" s="438">
        <f>IF($BZ$20=TRUE,AM34,0)</f>
        <v>2</v>
      </c>
      <c r="CG34" s="438">
        <f>IF($BZ$20=TRUE,AN34,0)</f>
        <v>60</v>
      </c>
      <c r="CI34" s="438">
        <f>IF(CF34&gt;0,30*CC25,0)</f>
        <v>0</v>
      </c>
      <c r="CK34" s="438">
        <f>CI34</f>
        <v>0</v>
      </c>
      <c r="CM34" s="438">
        <f>CG34</f>
        <v>60</v>
      </c>
      <c r="CO34" s="438">
        <f>CF34</f>
        <v>2</v>
      </c>
      <c r="CP34" s="786"/>
      <c r="CQ34" s="438">
        <f>IF(CF34=0,0,12*$W$8)</f>
        <v>24</v>
      </c>
      <c r="CS34" s="439" t="s">
        <v>256</v>
      </c>
      <c r="CU34" s="438">
        <f>IF(CK34=CK$17,1,0)</f>
        <v>1</v>
      </c>
      <c r="CW34" s="438">
        <f>IF(CM34=CM$17,1,0)</f>
        <v>1</v>
      </c>
      <c r="CY34" s="438">
        <f>IF(CO34=CO$17,1,0)</f>
        <v>1</v>
      </c>
      <c r="DA34" s="438">
        <f>IF(CQ34=CQ$17,1,0)</f>
        <v>1</v>
      </c>
      <c r="DC34" s="438">
        <f>SUM(CU34,CW34,CY34,DA34)</f>
        <v>4</v>
      </c>
      <c r="DE34" s="438">
        <f>IF($DC34=$DC$17,1,0)</f>
        <v>1</v>
      </c>
      <c r="DG34" s="439" t="s">
        <v>256</v>
      </c>
      <c r="DH34" s="438">
        <f>IF(DE34=0,0,CF34)</f>
        <v>2</v>
      </c>
      <c r="DI34" s="438">
        <f>IF(DE34=0,0,CG34)</f>
        <v>60</v>
      </c>
    </row>
    <row r="35" spans="9:113">
      <c r="K35" s="358"/>
      <c r="L35" s="358"/>
    </row>
    <row r="36" spans="9:113">
      <c r="K36" s="358"/>
      <c r="L36" s="358"/>
    </row>
    <row r="37" spans="9:113">
      <c r="K37" s="358"/>
      <c r="L37" s="358"/>
    </row>
    <row r="38" spans="9:113">
      <c r="I38" s="358" t="s">
        <v>260</v>
      </c>
      <c r="J38" s="482">
        <f>M8+1</f>
        <v>3</v>
      </c>
      <c r="K38" t="s">
        <v>75</v>
      </c>
    </row>
    <row r="39" spans="9:113">
      <c r="I39" s="358"/>
      <c r="J39" s="358"/>
      <c r="BL39" t="str">
        <f>"which are (" &amp; (J40) &amp; ") ft in length"</f>
        <v>which are (21) ft in length</v>
      </c>
    </row>
    <row r="40" spans="9:113">
      <c r="I40" s="358" t="s">
        <v>266</v>
      </c>
      <c r="J40" s="490">
        <v>21</v>
      </c>
      <c r="K40" s="358" t="s">
        <v>75</v>
      </c>
      <c r="N40">
        <f>ROUNDUP(B40,0)</f>
        <v>0</v>
      </c>
    </row>
    <row r="41" spans="9:113" ht="15.75" thickBot="1">
      <c r="I41" s="358" t="s">
        <v>623</v>
      </c>
      <c r="J41" s="370">
        <f>J38*J40</f>
        <v>63</v>
      </c>
      <c r="K41" t="s">
        <v>75</v>
      </c>
    </row>
    <row r="42" spans="9:113" ht="90">
      <c r="O42" s="480" t="str">
        <f>"Linear foot per (" &amp; J40 &amp; ") ft roll"</f>
        <v>Linear foot per (21) ft roll</v>
      </c>
      <c r="P42" s="483" t="s">
        <v>271</v>
      </c>
      <c r="Q42" s="289"/>
      <c r="R42" s="483" t="s">
        <v>625</v>
      </c>
      <c r="T42" s="483" t="s">
        <v>591</v>
      </c>
      <c r="V42" s="480" t="s">
        <v>592</v>
      </c>
      <c r="Y42" s="480" t="s">
        <v>593</v>
      </c>
      <c r="AA42" s="480" t="s">
        <v>594</v>
      </c>
      <c r="AE42" s="480" t="s">
        <v>595</v>
      </c>
      <c r="AF42" s="480" t="s">
        <v>626</v>
      </c>
      <c r="AO42" s="480" t="s">
        <v>627</v>
      </c>
      <c r="AQ42" s="480" t="s">
        <v>628</v>
      </c>
      <c r="AS42" s="480" t="s">
        <v>629</v>
      </c>
      <c r="AU42" s="480" t="s">
        <v>628</v>
      </c>
      <c r="AY42" s="517" t="s">
        <v>630</v>
      </c>
      <c r="BB42" s="325" t="s">
        <v>486</v>
      </c>
      <c r="BC42" s="480" t="s">
        <v>631</v>
      </c>
      <c r="BF42" s="658" t="s">
        <v>596</v>
      </c>
      <c r="BG42" s="787"/>
      <c r="BH42" s="787"/>
      <c r="BI42" s="659" t="s">
        <v>597</v>
      </c>
      <c r="BJ42" s="659" t="s">
        <v>598</v>
      </c>
      <c r="BK42" s="749" t="s">
        <v>599</v>
      </c>
      <c r="BL42" s="750" t="s">
        <v>665</v>
      </c>
      <c r="BM42" s="751" t="s">
        <v>601</v>
      </c>
      <c r="BO42" s="658" t="s">
        <v>597</v>
      </c>
      <c r="BP42" s="659" t="s">
        <v>596</v>
      </c>
      <c r="BQ42" s="210"/>
      <c r="BR42" s="1329" t="s">
        <v>608</v>
      </c>
      <c r="BS42" s="1329"/>
      <c r="BT42" s="1329" t="s">
        <v>608</v>
      </c>
      <c r="BU42" s="1329"/>
      <c r="BV42" s="1329" t="s">
        <v>608</v>
      </c>
      <c r="BW42" s="1329"/>
      <c r="BX42" s="1329" t="s">
        <v>608</v>
      </c>
      <c r="BY42" s="1329"/>
      <c r="BZ42" s="1329" t="s">
        <v>608</v>
      </c>
      <c r="CA42" s="1329"/>
      <c r="CB42" s="1329" t="s">
        <v>608</v>
      </c>
      <c r="CC42" s="1329"/>
      <c r="CD42" s="1329" t="s">
        <v>608</v>
      </c>
      <c r="CE42" s="1329"/>
      <c r="CF42" s="1329" t="s">
        <v>608</v>
      </c>
      <c r="CG42" s="1329"/>
      <c r="CH42" s="1329" t="s">
        <v>608</v>
      </c>
      <c r="CI42" s="1329"/>
      <c r="CJ42" s="1329" t="s">
        <v>608</v>
      </c>
      <c r="CK42" s="1329"/>
      <c r="CL42" s="1329" t="s">
        <v>608</v>
      </c>
      <c r="CM42" s="1329"/>
      <c r="CN42" s="1329" t="s">
        <v>608</v>
      </c>
      <c r="CO42" s="1329"/>
      <c r="CP42" s="1329" t="s">
        <v>608</v>
      </c>
      <c r="CQ42" s="1330"/>
    </row>
    <row r="43" spans="9:113" ht="15.75" thickBot="1">
      <c r="AY43" s="518"/>
      <c r="BF43" s="532"/>
      <c r="BM43" s="47"/>
      <c r="BO43" s="532"/>
      <c r="CQ43" s="47"/>
    </row>
    <row r="44" spans="9:113" ht="28.5" customHeight="1">
      <c r="I44" s="1210" t="s">
        <v>275</v>
      </c>
      <c r="J44" s="481">
        <v>6.2</v>
      </c>
      <c r="K44" s="268">
        <v>6</v>
      </c>
      <c r="L44" s="268">
        <v>20</v>
      </c>
      <c r="N44" s="465">
        <f>ROUNDDOWN((20/J40),0)/2</f>
        <v>0</v>
      </c>
      <c r="O44" s="465">
        <f>IF(N44=0,ROUNDUP((J40/20),0),N44)</f>
        <v>2</v>
      </c>
      <c r="P44" s="464" t="str">
        <f>"which is (" &amp; (O44*2) &amp; ") pieces cut into (" &amp; (J40) &amp; ") ft equal length from 6 inch roll"</f>
        <v>which is (4) pieces cut into (21) ft equal length from 6 inch roll</v>
      </c>
      <c r="Q44" s="477"/>
      <c r="R44" s="484">
        <f>O44*2</f>
        <v>4</v>
      </c>
      <c r="T44" s="484" t="str">
        <f>"which is (" &amp; (O44) &amp; ") Linear foot total"</f>
        <v>which is (2) Linear foot total</v>
      </c>
      <c r="V44" s="486">
        <f>IF(J38-O44&lt;=0,0,J38-O44)</f>
        <v>1</v>
      </c>
      <c r="W44" t="str">
        <f>"which are (" &amp; (J40) &amp; ") ft in length"</f>
        <v>which are (21) ft in length</v>
      </c>
      <c r="Y44" s="484">
        <f>IFERROR(ROUNDUP(V44/O44,0),0)</f>
        <v>1</v>
      </c>
      <c r="AA44" s="491">
        <f>Y44+R44</f>
        <v>5</v>
      </c>
      <c r="AC44" s="325">
        <f>IFERROR(AA44/R44,0)</f>
        <v>1.25</v>
      </c>
      <c r="AE44" s="325">
        <f>ROUNDUP(AC44,0)</f>
        <v>2</v>
      </c>
      <c r="AF44" s="325">
        <f>AE44*R44</f>
        <v>8</v>
      </c>
      <c r="AH44" s="493" t="s">
        <v>240</v>
      </c>
      <c r="AI44" s="494">
        <f>AE44</f>
        <v>2</v>
      </c>
      <c r="AJ44" s="495" t="str">
        <f>IF(AI44=0,"","Each one gets cut into (" &amp; O44*2 &amp; ") equal pieces that are (" &amp; J40 &amp; ") ft long ")</f>
        <v xml:space="preserve">Each one gets cut into (4) equal pieces that are (21) ft long </v>
      </c>
      <c r="AK44" s="373" t="s">
        <v>632</v>
      </c>
      <c r="AL44" s="503">
        <f>AI44*O44</f>
        <v>4</v>
      </c>
      <c r="AM44" s="325" t="s">
        <v>633</v>
      </c>
      <c r="AO44" s="504">
        <f>IFERROR(R44/O44,0)</f>
        <v>2</v>
      </c>
      <c r="AQ44" s="504">
        <f>AL44*AO44</f>
        <v>8</v>
      </c>
      <c r="AS44" s="504">
        <f>J38</f>
        <v>3</v>
      </c>
      <c r="AU44" s="504">
        <f>AS44*AO44</f>
        <v>6</v>
      </c>
      <c r="AY44" s="519">
        <f>AQ44-AU44</f>
        <v>2</v>
      </c>
      <c r="BB44" s="506">
        <v>6.2</v>
      </c>
      <c r="BC44" s="505">
        <f>AI44</f>
        <v>2</v>
      </c>
      <c r="BF44" s="776">
        <v>6.2</v>
      </c>
      <c r="BG44" s="788"/>
      <c r="BH44" s="788"/>
      <c r="BI44" s="765">
        <f>IF(N44=0,AA44,BC44)</f>
        <v>5</v>
      </c>
      <c r="BJ44" s="777">
        <f>IF(N44=0,1,R44)</f>
        <v>1</v>
      </c>
      <c r="BK44" s="766">
        <f>BI44*BJ44</f>
        <v>5</v>
      </c>
      <c r="BL44" s="524" t="str">
        <f>""&amp; K44 &amp;""" " &amp; L44 &amp; "'"</f>
        <v>6" 20'</v>
      </c>
      <c r="BM44" s="752" t="str">
        <f>"6"" " &amp; J40 &amp; "'"</f>
        <v>6" 21'</v>
      </c>
      <c r="BO44" s="778">
        <f>BI44</f>
        <v>5</v>
      </c>
      <c r="BP44" s="770">
        <v>6.2</v>
      </c>
      <c r="BR44" s="507" t="str">
        <f>IF(COLUMN()-COLUMN($BR$44)+1&lt;=$BI$44*$BJ$44,
TEXT(IF($N$44=0,$BM$44,$BL$44),"0.00")&amp;" ("&amp;ROUNDUP((COLUMN()-COLUMN($BR$44)+1)/$BJ$44,0)&amp;")",
"")</f>
        <v>6" 21' (1)</v>
      </c>
      <c r="BS44" s="507" t="str">
        <f t="shared" ref="BS44:CQ44" si="0">IF(COLUMN()-COLUMN($BR$44)+1&lt;=$BI$44*$BJ$44,
TEXT(IF($N$44=0,$BM$44,$BL$44),"0.00")&amp;" ("&amp;ROUNDUP((COLUMN()-COLUMN($BR$44)+1)/$BJ$44,0)&amp;")",
"")</f>
        <v>6" 21' (2)</v>
      </c>
      <c r="BT44" s="507" t="str">
        <f t="shared" si="0"/>
        <v>6" 21' (3)</v>
      </c>
      <c r="BU44" s="507" t="str">
        <f t="shared" si="0"/>
        <v>6" 21' (4)</v>
      </c>
      <c r="BV44" s="507" t="str">
        <f t="shared" si="0"/>
        <v>6" 21' (5)</v>
      </c>
      <c r="BW44" s="507" t="str">
        <f t="shared" si="0"/>
        <v/>
      </c>
      <c r="BX44" s="507" t="str">
        <f t="shared" si="0"/>
        <v/>
      </c>
      <c r="BY44" s="507" t="str">
        <f t="shared" si="0"/>
        <v/>
      </c>
      <c r="BZ44" s="507" t="str">
        <f t="shared" si="0"/>
        <v/>
      </c>
      <c r="CA44" s="507" t="str">
        <f t="shared" si="0"/>
        <v/>
      </c>
      <c r="CB44" s="507" t="str">
        <f t="shared" si="0"/>
        <v/>
      </c>
      <c r="CC44" s="507" t="str">
        <f t="shared" si="0"/>
        <v/>
      </c>
      <c r="CD44" s="507" t="str">
        <f t="shared" si="0"/>
        <v/>
      </c>
      <c r="CE44" s="507" t="str">
        <f t="shared" si="0"/>
        <v/>
      </c>
      <c r="CF44" s="507" t="str">
        <f t="shared" si="0"/>
        <v/>
      </c>
      <c r="CG44" s="507" t="str">
        <f t="shared" si="0"/>
        <v/>
      </c>
      <c r="CH44" s="507" t="str">
        <f t="shared" si="0"/>
        <v/>
      </c>
      <c r="CI44" s="507" t="str">
        <f t="shared" si="0"/>
        <v/>
      </c>
      <c r="CJ44" s="507" t="str">
        <f t="shared" si="0"/>
        <v/>
      </c>
      <c r="CK44" s="507" t="str">
        <f t="shared" si="0"/>
        <v/>
      </c>
      <c r="CL44" s="507" t="str">
        <f t="shared" si="0"/>
        <v/>
      </c>
      <c r="CM44" s="507" t="str">
        <f t="shared" si="0"/>
        <v/>
      </c>
      <c r="CN44" s="507" t="str">
        <f t="shared" si="0"/>
        <v/>
      </c>
      <c r="CO44" s="507" t="str">
        <f t="shared" si="0"/>
        <v/>
      </c>
      <c r="CP44" s="507" t="str">
        <f t="shared" si="0"/>
        <v/>
      </c>
      <c r="CQ44" s="790" t="str">
        <f t="shared" si="0"/>
        <v/>
      </c>
    </row>
    <row r="45" spans="9:113">
      <c r="I45" s="1211"/>
      <c r="J45" s="479"/>
      <c r="K45" s="268"/>
      <c r="L45" s="268"/>
      <c r="N45" s="477"/>
      <c r="O45" s="477"/>
      <c r="P45" s="477"/>
      <c r="Q45" s="477"/>
      <c r="R45" s="485"/>
      <c r="T45" s="485"/>
      <c r="V45" s="487"/>
      <c r="Y45" s="485"/>
      <c r="AH45" s="496"/>
      <c r="AJ45" s="497"/>
      <c r="AY45" s="518"/>
      <c r="BC45" s="268"/>
      <c r="BF45" s="660"/>
      <c r="BG45" s="631"/>
      <c r="BH45" s="631"/>
      <c r="BI45" s="629"/>
      <c r="BJ45" s="629"/>
      <c r="BK45" s="629"/>
      <c r="BM45" s="753"/>
      <c r="BO45" s="748"/>
      <c r="BP45" s="631"/>
      <c r="BR45" s="74"/>
      <c r="BS45" s="74"/>
      <c r="BT45" s="74"/>
      <c r="BU45" s="74"/>
      <c r="BV45" s="74"/>
      <c r="BW45" s="74"/>
      <c r="BX45" s="74"/>
      <c r="BY45" s="74"/>
      <c r="BZ45" s="74"/>
      <c r="CA45" s="74"/>
      <c r="CB45" s="74"/>
      <c r="CC45" s="74"/>
      <c r="CD45" s="74"/>
      <c r="CE45" s="74"/>
      <c r="CF45" s="320"/>
      <c r="CG45" s="320"/>
      <c r="CH45" s="320"/>
      <c r="CI45" s="320"/>
      <c r="CJ45" s="320"/>
      <c r="CK45" s="320"/>
      <c r="CQ45" s="47"/>
    </row>
    <row r="46" spans="9:113" ht="26.25" customHeight="1">
      <c r="I46" s="1211"/>
      <c r="J46" s="481">
        <v>12.15</v>
      </c>
      <c r="K46" s="268">
        <v>12</v>
      </c>
      <c r="L46" s="268">
        <v>15</v>
      </c>
      <c r="N46" s="465">
        <f>ROUNDDOWN((15/J40),0)</f>
        <v>0</v>
      </c>
      <c r="O46" s="465">
        <f>IF(N46=0,ROUNDUP((J40/20),0),N46)</f>
        <v>2</v>
      </c>
      <c r="P46" s="464" t="str">
        <f>"which is (" &amp; (O46) &amp; ") pieces cut into (" &amp; (J40) &amp; ") ft equal length from 12 inch roll"</f>
        <v>which is (2) pieces cut into (21) ft equal length from 12 inch roll</v>
      </c>
      <c r="Q46" s="477"/>
      <c r="R46" s="484">
        <f>O46</f>
        <v>2</v>
      </c>
      <c r="T46" s="484" t="str">
        <f>"which is (" &amp; (O46) &amp; ") Linear foot total"</f>
        <v>which is (2) Linear foot total</v>
      </c>
      <c r="V46" s="486">
        <f>IF(J38-O46&lt;=0,0,J38-O46)</f>
        <v>1</v>
      </c>
      <c r="W46" t="str">
        <f>"which are (" &amp; (J40) &amp; ") ft in length"</f>
        <v>which are (21) ft in length</v>
      </c>
      <c r="Y46" s="484">
        <f>IFERROR(ROUNDUP(V46/O46,0),0)</f>
        <v>1</v>
      </c>
      <c r="AA46" s="491">
        <f>Y46+R46</f>
        <v>3</v>
      </c>
      <c r="AC46" s="325">
        <f>IFERROR(AA46/R46,0)</f>
        <v>1.5</v>
      </c>
      <c r="AE46" s="325">
        <f>ROUNDUP(AC46,0)</f>
        <v>2</v>
      </c>
      <c r="AF46" s="325">
        <f>AE46*R46</f>
        <v>4</v>
      </c>
      <c r="AH46" s="498" t="s">
        <v>246</v>
      </c>
      <c r="AI46" s="489">
        <f>AE46</f>
        <v>2</v>
      </c>
      <c r="AJ46" s="499" t="str">
        <f>IF(AI46=0,"","Each one gets cut into (" &amp; O46 &amp; ") equal pieces that are (" &amp; J40 &amp; ") ft long")</f>
        <v>Each one gets cut into (2) equal pieces that are (21) ft long</v>
      </c>
      <c r="AK46" s="373" t="s">
        <v>632</v>
      </c>
      <c r="AL46" s="503">
        <f>AI46*O46</f>
        <v>4</v>
      </c>
      <c r="AM46" s="325" t="s">
        <v>633</v>
      </c>
      <c r="AO46" s="504">
        <f>IFERROR(R46/O46,0)</f>
        <v>1</v>
      </c>
      <c r="AQ46" s="504">
        <f>AL46*AO46</f>
        <v>4</v>
      </c>
      <c r="AS46" s="504">
        <f>J38</f>
        <v>3</v>
      </c>
      <c r="AU46" s="504">
        <f>AS46*AO46</f>
        <v>3</v>
      </c>
      <c r="AY46" s="519">
        <f>AQ46-AU46</f>
        <v>1</v>
      </c>
      <c r="BB46" s="506">
        <v>12.15</v>
      </c>
      <c r="BC46" s="505">
        <f>AI46</f>
        <v>2</v>
      </c>
      <c r="BF46" s="776">
        <v>12.15</v>
      </c>
      <c r="BG46" s="788"/>
      <c r="BH46" s="788"/>
      <c r="BI46" s="765">
        <f>IF(N46=0,AA46,BC46)</f>
        <v>3</v>
      </c>
      <c r="BJ46" s="777">
        <f>IF(N46=0,1,R46)</f>
        <v>1</v>
      </c>
      <c r="BK46" s="766">
        <f>BI46*BJ46</f>
        <v>3</v>
      </c>
      <c r="BL46" s="524" t="str">
        <f>""&amp; K46 &amp;""" " &amp; L46 &amp; "'"</f>
        <v>12" 15'</v>
      </c>
      <c r="BM46" s="752" t="str">
        <f>"12"" " &amp; J40 &amp; "'"</f>
        <v>12" 21'</v>
      </c>
      <c r="BO46" s="778">
        <f>BI46</f>
        <v>3</v>
      </c>
      <c r="BP46" s="770">
        <v>12.15</v>
      </c>
      <c r="BR46" s="1293" t="str">
        <f>IF(COLUMN()-COLUMN($BR$46)+1&lt;=$BI$46*$BJ$46*2,
TEXT($BM$46,"0.00")&amp;" ("&amp;ROUNDUP((COLUMN()-COLUMN($BR$46)+1)/($BJ$46*2),0)&amp;")",
"")</f>
        <v>12" 21' (1)</v>
      </c>
      <c r="BS46" s="1293"/>
      <c r="BT46" s="1293" t="str">
        <f>IF(COLUMN()-COLUMN($BR$46)+1&lt;=$BI$46*$BJ$46*2,
TEXT($BM$46,"0.00")&amp;" ("&amp;ROUNDUP((COLUMN()-COLUMN($BR$46)+1)/($BJ$46*2),0)&amp;")",
"")</f>
        <v>12" 21' (2)</v>
      </c>
      <c r="BU46" s="1293"/>
      <c r="BV46" s="1293" t="str">
        <f>IF(COLUMN()-COLUMN($BR$46)+1&lt;=$BI$46*$BJ$46*2,
TEXT($BM$46,"0.00")&amp;" ("&amp;ROUNDUP((COLUMN()-COLUMN($BR$46)+1)/($BJ$46*2),0)&amp;")",
"")</f>
        <v>12" 21' (3)</v>
      </c>
      <c r="BW46" s="1293"/>
      <c r="BX46" s="1293" t="str">
        <f>IF(COLUMN()-COLUMN($BR$46)+1&lt;=$BI$46*$BJ$46*2,
TEXT($BM$46,"0.00")&amp;" ("&amp;ROUNDUP((COLUMN()-COLUMN($BR$46)+1)/($BJ$46*2),0)&amp;")",
"")</f>
        <v/>
      </c>
      <c r="BY46" s="1293"/>
      <c r="BZ46" s="1293" t="str">
        <f>IF(COLUMN()-COLUMN($BR$46)+1&lt;=$BI$46*$BJ$46*2,
TEXT($BM$46,"0.00")&amp;" ("&amp;ROUNDUP((COLUMN()-COLUMN($BR$46)+1)/($BJ$46*2),0)&amp;")",
"")</f>
        <v/>
      </c>
      <c r="CA46" s="1293"/>
      <c r="CB46" s="1293" t="str">
        <f>IF(COLUMN()-COLUMN($BR$46)+1&lt;=$BI$46*$BJ$46*2,
TEXT($BM$46,"0.00")&amp;" ("&amp;ROUNDUP((COLUMN()-COLUMN($BR$46)+1)/($BJ$46*2),0)&amp;")",
"")</f>
        <v/>
      </c>
      <c r="CC46" s="1293"/>
      <c r="CD46" s="1293" t="str">
        <f>IF(COLUMN()-COLUMN($BR$46)+1&lt;=$BI$46*$BJ$46*2,
TEXT($BM$46,"0.00")&amp;" ("&amp;ROUNDUP((COLUMN()-COLUMN($BR$46)+1)/($BJ$46*2),0)&amp;")",
"")</f>
        <v/>
      </c>
      <c r="CE46" s="1293"/>
      <c r="CF46" s="1293" t="str">
        <f>IF(COLUMN()-COLUMN($BR$46)+1&lt;=$BI$46*$BJ$46*2,
TEXT($BM$46,"0.00")&amp;" ("&amp;ROUNDUP((COLUMN()-COLUMN($BR$46)+1)/($BJ$46*2),0)&amp;")",
"")</f>
        <v/>
      </c>
      <c r="CG46" s="1293"/>
      <c r="CH46" s="1293" t="str">
        <f>IF(COLUMN()-COLUMN($BR$46)+1&lt;=$BI$46*$BJ$46*2,
TEXT($BM$46,"0.00")&amp;" ("&amp;ROUNDUP((COLUMN()-COLUMN($BR$46)+1)/($BJ$46*2),0)&amp;")",
"")</f>
        <v/>
      </c>
      <c r="CI46" s="1293"/>
      <c r="CJ46" s="1293" t="str">
        <f>IF(COLUMN()-COLUMN($BR$46)+1&lt;=$BI$46*$BJ$46*2,
TEXT($BM$46,"0.00")&amp;" ("&amp;ROUNDUP((COLUMN()-COLUMN($BR$46)+1)/($BJ$46*2),0)&amp;")",
"")</f>
        <v/>
      </c>
      <c r="CK46" s="1293"/>
      <c r="CL46" s="1293" t="str">
        <f>IF(COLUMN()-COLUMN($BR$46)+1&lt;=$BI$46*$BJ$46*2,
TEXT($BM$46,"0.00")&amp;" ("&amp;ROUNDUP((COLUMN()-COLUMN($BR$46)+1)/($BJ$46*2),0)&amp;")",
"")</f>
        <v/>
      </c>
      <c r="CM46" s="1293"/>
      <c r="CN46" s="1293" t="str">
        <f>IF(COLUMN()-COLUMN($BR$46)+1&lt;=$BI$46*$BJ$46*2,
TEXT($BM$46,"0.00")&amp;" ("&amp;ROUNDUP((COLUMN()-COLUMN($BR$46)+1)/($BJ$46*2),0)&amp;")",
"")</f>
        <v/>
      </c>
      <c r="CO46" s="1293"/>
      <c r="CP46" s="1293" t="str">
        <f>IF(COLUMN()-COLUMN($BR$46)+1&lt;=$BI$46*$BJ$46*2,
TEXT($BM$46,"0.00")&amp;" ("&amp;ROUNDUP((COLUMN()-COLUMN($BR$46)+1)/($BJ$46*2),0)&amp;")",
"")</f>
        <v/>
      </c>
      <c r="CQ46" s="1413"/>
    </row>
    <row r="47" spans="9:113">
      <c r="I47" s="1211"/>
      <c r="J47" s="479"/>
      <c r="K47" s="268"/>
      <c r="L47" s="268"/>
      <c r="N47" s="477"/>
      <c r="O47" s="477"/>
      <c r="P47" s="477"/>
      <c r="Q47" s="477"/>
      <c r="R47" s="485"/>
      <c r="T47" s="485"/>
      <c r="V47" s="487"/>
      <c r="Y47" s="485"/>
      <c r="AH47" s="496"/>
      <c r="AJ47" s="497"/>
      <c r="AY47" s="518"/>
      <c r="BC47" s="268"/>
      <c r="BF47" s="660"/>
      <c r="BG47" s="631"/>
      <c r="BH47" s="631"/>
      <c r="BI47" s="629"/>
      <c r="BJ47" s="629"/>
      <c r="BK47" s="629"/>
      <c r="BM47" s="753"/>
      <c r="BO47" s="748"/>
      <c r="BP47" s="631"/>
      <c r="BR47" s="74"/>
      <c r="BS47" s="74"/>
      <c r="BT47" s="74"/>
      <c r="BU47" s="74"/>
      <c r="BV47" s="74"/>
      <c r="BW47" s="74"/>
      <c r="BX47" s="74"/>
      <c r="BY47" s="74"/>
      <c r="BZ47" s="74"/>
      <c r="CA47" s="74"/>
      <c r="CB47" s="74"/>
      <c r="CC47" s="74"/>
      <c r="CD47" s="74"/>
      <c r="CE47" s="74"/>
      <c r="CF47" s="320"/>
      <c r="CG47" s="320"/>
      <c r="CH47" s="320"/>
      <c r="CI47" s="320"/>
      <c r="CJ47" s="320"/>
      <c r="CK47" s="320"/>
      <c r="CQ47" s="47"/>
    </row>
    <row r="48" spans="9:113" ht="33.75" customHeight="1" thickBot="1">
      <c r="I48" s="1212"/>
      <c r="J48" s="481">
        <v>12.3</v>
      </c>
      <c r="K48" s="268">
        <v>12</v>
      </c>
      <c r="L48" s="268">
        <v>30</v>
      </c>
      <c r="N48" s="465">
        <f>ROUNDDOWN((30/J40),0)</f>
        <v>1</v>
      </c>
      <c r="O48" s="465">
        <f>IF(N48=0,ROUNDUP((J40/20),0),N48)</f>
        <v>1</v>
      </c>
      <c r="P48" s="464" t="str">
        <f>"which is (" &amp; (O48) &amp; ") pieces cut into (" &amp; (J40) &amp; ") ft equal length from 12 inch roll"</f>
        <v>which is (1) pieces cut into (21) ft equal length from 12 inch roll</v>
      </c>
      <c r="Q48" s="477"/>
      <c r="R48" s="484">
        <f>O48</f>
        <v>1</v>
      </c>
      <c r="T48" s="484" t="str">
        <f>"which is (" &amp; (O48) &amp; ") Linear foot total"</f>
        <v>which is (1) Linear foot total</v>
      </c>
      <c r="V48" s="486">
        <f>IF(J38-O48&lt;=0,0,J38-O48)</f>
        <v>2</v>
      </c>
      <c r="W48" t="str">
        <f>"which are (" &amp; (J40) &amp; ") ft in length"</f>
        <v>which are (21) ft in length</v>
      </c>
      <c r="Y48" s="484">
        <f>IFERROR(ROUNDUP(V48/O48,0),0)</f>
        <v>2</v>
      </c>
      <c r="AA48" s="491">
        <f>Y48+R48</f>
        <v>3</v>
      </c>
      <c r="AC48" s="325">
        <f>IFERROR(AA48/R48,0)</f>
        <v>3</v>
      </c>
      <c r="AE48" s="325">
        <f>ROUNDUP(AC48,0)</f>
        <v>3</v>
      </c>
      <c r="AF48" s="325">
        <f>AE48*R48</f>
        <v>3</v>
      </c>
      <c r="AH48" s="500" t="s">
        <v>253</v>
      </c>
      <c r="AI48" s="501">
        <f>AE48</f>
        <v>3</v>
      </c>
      <c r="AJ48" s="502" t="str">
        <f>IF(AI48=0,"","Each one gets cut into (" &amp; O48 &amp; ") equal pieces that are (" &amp; J40 &amp; ") ft long")</f>
        <v>Each one gets cut into (1) equal pieces that are (21) ft long</v>
      </c>
      <c r="AK48" s="373" t="s">
        <v>632</v>
      </c>
      <c r="AL48" s="503">
        <f>AI48*O48</f>
        <v>3</v>
      </c>
      <c r="AM48" s="325" t="s">
        <v>633</v>
      </c>
      <c r="AO48" s="504">
        <f>IFERROR(R48/O48,0)</f>
        <v>1</v>
      </c>
      <c r="AQ48" s="504">
        <f>AL48*AO48</f>
        <v>3</v>
      </c>
      <c r="AS48" s="504">
        <f>J38</f>
        <v>3</v>
      </c>
      <c r="AU48" s="504">
        <f>AS48*AO48</f>
        <v>3</v>
      </c>
      <c r="AY48" s="520">
        <f>AQ48-AU48</f>
        <v>0</v>
      </c>
      <c r="BB48" s="506">
        <v>12.3</v>
      </c>
      <c r="BC48" s="505">
        <f>AI48</f>
        <v>3</v>
      </c>
      <c r="BF48" s="779">
        <v>12.3</v>
      </c>
      <c r="BG48" s="789"/>
      <c r="BH48" s="789"/>
      <c r="BI48" s="780">
        <f>IF(N48=0,AA48,BC48)</f>
        <v>3</v>
      </c>
      <c r="BJ48" s="781">
        <f>IF(N48=0,1,R48)</f>
        <v>1</v>
      </c>
      <c r="BK48" s="782">
        <f>BI48*BJ48</f>
        <v>3</v>
      </c>
      <c r="BL48" s="584" t="str">
        <f>""&amp; K48 &amp;""" " &amp; L48 &amp; "'"</f>
        <v>12" 30'</v>
      </c>
      <c r="BM48" s="754" t="str">
        <f>"12"" " &amp; J40 &amp; "'"</f>
        <v>12" 21'</v>
      </c>
      <c r="BO48" s="783">
        <f>BI48</f>
        <v>3</v>
      </c>
      <c r="BP48" s="784">
        <v>12.3</v>
      </c>
      <c r="BQ48" s="46"/>
      <c r="BR48" s="1340" t="str">
        <f>IF(COLUMN()-COLUMN($BR$48)+1&lt;=$BI$48*$BJ$48*2,
TEXT($BM$48,"0.00")&amp;" ("&amp;ROUNDUP((COLUMN()-COLUMN($BR$48)+1)/($BJ$48*2),0)&amp;")",
"")</f>
        <v>12" 21' (1)</v>
      </c>
      <c r="BS48" s="1340"/>
      <c r="BT48" s="1340" t="str">
        <f>IF(COLUMN()-COLUMN($BR$48)+1&lt;=$BI$48*$BJ$48*2,
TEXT($BM$48,"0.00")&amp;" ("&amp;ROUNDUP((COLUMN()-COLUMN($BR$48)+1)/($BJ$48*2),0)&amp;")",
"")</f>
        <v>12" 21' (2)</v>
      </c>
      <c r="BU48" s="1340"/>
      <c r="BV48" s="1340" t="str">
        <f>IF(COLUMN()-COLUMN($BR$48)+1&lt;=$BI$48*$BJ$48*2,
TEXT($BM$48,"0.00")&amp;" ("&amp;ROUNDUP((COLUMN()-COLUMN($BR$48)+1)/($BJ$48*2),0)&amp;")",
"")</f>
        <v>12" 21' (3)</v>
      </c>
      <c r="BW48" s="1340"/>
      <c r="BX48" s="1340" t="str">
        <f>IF(COLUMN()-COLUMN($BR$48)+1&lt;=$BI$48*$BJ$48*2,
TEXT($BM$48,"0.00")&amp;" ("&amp;ROUNDUP((COLUMN()-COLUMN($BR$48)+1)/($BJ$48*2),0)&amp;")",
"")</f>
        <v/>
      </c>
      <c r="BY48" s="1340"/>
      <c r="BZ48" s="1340" t="str">
        <f>IF(COLUMN()-COLUMN($BR$48)+1&lt;=$BI$48*$BJ$48*2,
TEXT($BM$48,"0.00")&amp;" ("&amp;ROUNDUP((COLUMN()-COLUMN($BR$48)+1)/($BJ$48*2),0)&amp;")",
"")</f>
        <v/>
      </c>
      <c r="CA48" s="1340"/>
      <c r="CB48" s="1340" t="str">
        <f>IF(COLUMN()-COLUMN($BR$48)+1&lt;=$BI$48*$BJ$48*2,
TEXT($BM$48,"0.00")&amp;" ("&amp;ROUNDUP((COLUMN()-COLUMN($BR$48)+1)/($BJ$48*2),0)&amp;")",
"")</f>
        <v/>
      </c>
      <c r="CC48" s="1340"/>
      <c r="CD48" s="1340" t="str">
        <f>IF(COLUMN()-COLUMN($BR$48)+1&lt;=$BI$48*$BJ$48*2,
TEXT($BM$48,"0.00")&amp;" ("&amp;ROUNDUP((COLUMN()-COLUMN($BR$48)+1)/($BJ$48*2),0)&amp;")",
"")</f>
        <v/>
      </c>
      <c r="CE48" s="1340"/>
      <c r="CF48" s="1340" t="str">
        <f>IF(COLUMN()-COLUMN($BR$48)+1&lt;=$BI$48*$BJ$48*2,
TEXT($BM$48,"0.00")&amp;" ("&amp;ROUNDUP((COLUMN()-COLUMN($BR$48)+1)/($BJ$48*2),0)&amp;")",
"")</f>
        <v/>
      </c>
      <c r="CG48" s="1340"/>
      <c r="CH48" s="1340" t="str">
        <f>IF(COLUMN()-COLUMN($BR$48)+1&lt;=$BI$48*$BJ$48*2,
TEXT($BM$48,"0.00")&amp;" ("&amp;ROUNDUP((COLUMN()-COLUMN($BR$48)+1)/($BJ$48*2),0)&amp;")",
"")</f>
        <v/>
      </c>
      <c r="CI48" s="1340"/>
      <c r="CJ48" s="1340" t="str">
        <f>IF(COLUMN()-COLUMN($BR$48)+1&lt;=$BI$48*$BJ$48*2,
TEXT($BM$48,"0.00")&amp;" ("&amp;ROUNDUP((COLUMN()-COLUMN($BR$48)+1)/($BJ$48*2),0)&amp;")",
"")</f>
        <v/>
      </c>
      <c r="CK48" s="1340"/>
      <c r="CL48" s="1340" t="str">
        <f>IF(COLUMN()-COLUMN($BR$48)+1&lt;=$BI$48*$BJ$48*2,
TEXT($BM$48,"0.00")&amp;" ("&amp;ROUNDUP((COLUMN()-COLUMN($BR$48)+1)/($BJ$48*2),0)&amp;")",
"")</f>
        <v/>
      </c>
      <c r="CM48" s="1340"/>
      <c r="CN48" s="1340" t="str">
        <f>IF(COLUMN()-COLUMN($BR$48)+1&lt;=$BI$48*$BJ$48*2,
TEXT($BM$48,"0.00")&amp;" ("&amp;ROUNDUP((COLUMN()-COLUMN($BR$48)+1)/($BJ$48*2),0)&amp;")",
"")</f>
        <v/>
      </c>
      <c r="CO48" s="1340"/>
      <c r="CP48" s="1340" t="str">
        <f>IF(COLUMN()-COLUMN($BR$48)+1&lt;=$BI$48*$BJ$48*2,
TEXT($BM$48,"0.00")&amp;" ("&amp;ROUNDUP((COLUMN()-COLUMN($BR$48)+1)/($BJ$48*2),0)&amp;")",
"")</f>
        <v/>
      </c>
      <c r="CQ48" s="1412"/>
    </row>
    <row r="49" spans="15:27" ht="14.45" customHeight="1"/>
    <row r="50" spans="15:27" ht="43.15" customHeight="1"/>
    <row r="52" spans="15:27" ht="43.15" customHeight="1"/>
    <row r="56" spans="15:27">
      <c r="P56" s="358"/>
      <c r="Q56" s="358"/>
      <c r="R56" s="358"/>
      <c r="S56" s="358"/>
      <c r="T56" s="358"/>
      <c r="U56" s="358"/>
      <c r="V56" s="358"/>
      <c r="W56" s="358"/>
      <c r="X56" s="358"/>
      <c r="Y56" s="358"/>
      <c r="Z56" s="358"/>
      <c r="AA56" s="358"/>
    </row>
    <row r="57" spans="15:27">
      <c r="P57" s="358"/>
      <c r="Q57" s="358"/>
      <c r="R57" s="358"/>
      <c r="S57" s="358"/>
      <c r="T57" s="358"/>
      <c r="U57" s="358"/>
      <c r="V57" s="358"/>
      <c r="W57" s="358"/>
      <c r="X57" s="358"/>
      <c r="Y57" s="358"/>
      <c r="Z57" s="358"/>
      <c r="AA57" s="358"/>
    </row>
    <row r="58" spans="15:27">
      <c r="P58" s="358"/>
      <c r="Q58" s="358"/>
      <c r="R58" s="358"/>
      <c r="S58" s="358"/>
      <c r="T58" s="358"/>
      <c r="U58" s="358"/>
      <c r="V58" s="358"/>
      <c r="W58" s="358"/>
      <c r="X58" s="358"/>
      <c r="Y58" s="358"/>
      <c r="Z58" s="358"/>
      <c r="AA58" s="358"/>
    </row>
    <row r="59" spans="15:27">
      <c r="O59" s="358"/>
      <c r="P59" s="358"/>
      <c r="Q59" s="358"/>
      <c r="R59" s="358"/>
      <c r="S59" s="358"/>
      <c r="T59" s="358"/>
      <c r="U59" s="358"/>
      <c r="V59" s="358"/>
      <c r="W59" s="358"/>
      <c r="X59" s="358"/>
      <c r="Y59" s="358"/>
      <c r="Z59" s="358"/>
      <c r="AA59" s="358"/>
    </row>
  </sheetData>
  <mergeCells count="61">
    <mergeCell ref="EE17:EF17"/>
    <mergeCell ref="BZ42:CA42"/>
    <mergeCell ref="CB42:CC42"/>
    <mergeCell ref="BZ46:CA46"/>
    <mergeCell ref="CB46:CC46"/>
    <mergeCell ref="AH18:AJ18"/>
    <mergeCell ref="BV17:BW17"/>
    <mergeCell ref="BZ17:CB17"/>
    <mergeCell ref="DO17:DP17"/>
    <mergeCell ref="DZ17:EA17"/>
    <mergeCell ref="V15:X15"/>
    <mergeCell ref="J18:R18"/>
    <mergeCell ref="T18:AB18"/>
    <mergeCell ref="J21:J25"/>
    <mergeCell ref="L21:N21"/>
    <mergeCell ref="L23:N23"/>
    <mergeCell ref="L25:N25"/>
    <mergeCell ref="T21:T25"/>
    <mergeCell ref="V21:X21"/>
    <mergeCell ref="V23:X23"/>
    <mergeCell ref="V25:X25"/>
    <mergeCell ref="CN48:CO48"/>
    <mergeCell ref="CJ46:CK46"/>
    <mergeCell ref="BR42:BS42"/>
    <mergeCell ref="BT42:BU42"/>
    <mergeCell ref="BV42:BW42"/>
    <mergeCell ref="BX42:BY42"/>
    <mergeCell ref="CH46:CI46"/>
    <mergeCell ref="BZ48:CA48"/>
    <mergeCell ref="CB48:CC48"/>
    <mergeCell ref="CL46:CM46"/>
    <mergeCell ref="CN46:CO46"/>
    <mergeCell ref="BR48:BS48"/>
    <mergeCell ref="BT48:BU48"/>
    <mergeCell ref="BV48:BW48"/>
    <mergeCell ref="BX48:BY48"/>
    <mergeCell ref="CD48:CE48"/>
    <mergeCell ref="CP48:CQ48"/>
    <mergeCell ref="CP42:CQ42"/>
    <mergeCell ref="L27:N27"/>
    <mergeCell ref="A1:C1"/>
    <mergeCell ref="A6:C6"/>
    <mergeCell ref="L15:N15"/>
    <mergeCell ref="CD42:CE42"/>
    <mergeCell ref="CP46:CQ46"/>
    <mergeCell ref="CL42:CM42"/>
    <mergeCell ref="CN42:CO42"/>
    <mergeCell ref="CF42:CG42"/>
    <mergeCell ref="CH42:CI42"/>
    <mergeCell ref="CJ42:CK42"/>
    <mergeCell ref="CD46:CE46"/>
    <mergeCell ref="CF46:CG46"/>
    <mergeCell ref="I44:I48"/>
    <mergeCell ref="CF48:CG48"/>
    <mergeCell ref="CH48:CI48"/>
    <mergeCell ref="CJ48:CK48"/>
    <mergeCell ref="CL48:CM48"/>
    <mergeCell ref="BR46:BS46"/>
    <mergeCell ref="BT46:BU46"/>
    <mergeCell ref="BV46:BW46"/>
    <mergeCell ref="BX46:BY4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539C8-2440-41A7-9F45-BB68502DF2D8}">
  <sheetPr>
    <tabColor theme="4" tint="0.59999389629810485"/>
    <pageSetUpPr autoPageBreaks="0"/>
  </sheetPr>
  <dimension ref="A1:EK59"/>
  <sheetViews>
    <sheetView topLeftCell="EE4" zoomScale="102" workbookViewId="0">
      <selection activeCell="EN16" sqref="EN16"/>
    </sheetView>
  </sheetViews>
  <sheetFormatPr defaultRowHeight="15"/>
  <cols>
    <col min="3" max="3" width="63" customWidth="1"/>
    <col min="11" max="11" width="40.5703125" bestFit="1" customWidth="1"/>
    <col min="12" max="12" width="23.42578125" bestFit="1" customWidth="1"/>
    <col min="16" max="16" width="18.140625" bestFit="1" customWidth="1"/>
    <col min="18" max="18" width="47.85546875" customWidth="1"/>
    <col min="19" max="19" width="21.28515625" customWidth="1"/>
    <col min="20" max="20" width="9.140625" customWidth="1"/>
    <col min="21" max="21" width="21.5703125" customWidth="1"/>
    <col min="22" max="23" width="9.140625" customWidth="1"/>
    <col min="24" max="24" width="17.42578125" customWidth="1"/>
    <col min="25" max="25" width="58.42578125" customWidth="1"/>
    <col min="26" max="26" width="9.140625" customWidth="1"/>
    <col min="27" max="27" width="11.42578125" bestFit="1" customWidth="1"/>
    <col min="28" max="29" width="9.140625" customWidth="1"/>
    <col min="30" max="30" width="27.5703125" bestFit="1" customWidth="1"/>
    <col min="31" max="31" width="9.140625" customWidth="1"/>
    <col min="32" max="32" width="16" customWidth="1"/>
    <col min="33" max="33" width="23.5703125" customWidth="1"/>
    <col min="34" max="34" width="9.5703125" customWidth="1"/>
    <col min="35" max="35" width="11.85546875" customWidth="1"/>
    <col min="36" max="37" width="9.140625" customWidth="1"/>
    <col min="38" max="38" width="27.5703125" bestFit="1" customWidth="1"/>
    <col min="39" max="41" width="9.140625" customWidth="1"/>
    <col min="42" max="42" width="19.7109375" bestFit="1" customWidth="1"/>
    <col min="43" max="43" width="9.140625" customWidth="1"/>
    <col min="44" max="44" width="31.7109375" bestFit="1" customWidth="1"/>
    <col min="46" max="46" width="30.28515625" bestFit="1" customWidth="1"/>
    <col min="48" max="48" width="27.5703125" bestFit="1" customWidth="1"/>
    <col min="49" max="50" width="27.5703125" customWidth="1"/>
    <col min="51" max="51" width="14.85546875" bestFit="1" customWidth="1"/>
    <col min="52" max="52" width="27.5703125" bestFit="1" customWidth="1"/>
    <col min="53" max="53" width="13.140625" bestFit="1" customWidth="1"/>
    <col min="54" max="54" width="27.5703125" bestFit="1" customWidth="1"/>
    <col min="55" max="55" width="23.7109375" bestFit="1" customWidth="1"/>
    <col min="56" max="56" width="27.5703125" bestFit="1" customWidth="1"/>
    <col min="58" max="58" width="16" bestFit="1" customWidth="1"/>
    <col min="59" max="60" width="16" customWidth="1"/>
    <col min="62" max="62" width="27.5703125" bestFit="1" customWidth="1"/>
    <col min="64" max="64" width="24" bestFit="1" customWidth="1"/>
    <col min="66" max="66" width="27.5703125" bestFit="1" customWidth="1"/>
    <col min="67" max="67" width="17" customWidth="1"/>
    <col min="74" max="74" width="27.5703125" bestFit="1" customWidth="1"/>
    <col min="83" max="83" width="27.5703125" bestFit="1" customWidth="1"/>
    <col min="85" max="85" width="16.85546875" bestFit="1" customWidth="1"/>
    <col min="87" max="87" width="19" bestFit="1" customWidth="1"/>
    <col min="89" max="89" width="19.7109375" bestFit="1" customWidth="1"/>
    <col min="91" max="91" width="27.5703125" bestFit="1" customWidth="1"/>
    <col min="93" max="93" width="24.5703125" bestFit="1" customWidth="1"/>
    <col min="95" max="95" width="16.28515625" bestFit="1" customWidth="1"/>
    <col min="97" max="97" width="27.5703125" bestFit="1" customWidth="1"/>
    <col min="99" max="99" width="24.5703125" bestFit="1" customWidth="1"/>
    <col min="101" max="101" width="14" bestFit="1" customWidth="1"/>
    <col min="103" max="103" width="16" bestFit="1" customWidth="1"/>
    <col min="105" max="105" width="27.5703125" bestFit="1" customWidth="1"/>
    <col min="107" max="107" width="12.28515625" bestFit="1" customWidth="1"/>
    <col min="109" max="109" width="12" bestFit="1" customWidth="1"/>
    <col min="111" max="111" width="27.5703125" bestFit="1" customWidth="1"/>
    <col min="119" max="119" width="27.5703125" bestFit="1" customWidth="1"/>
    <col min="130" max="130" width="27.5703125" bestFit="1" customWidth="1"/>
    <col min="135" max="135" width="27.5703125" bestFit="1" customWidth="1"/>
  </cols>
  <sheetData>
    <row r="1" spans="1:141">
      <c r="A1" s="995" t="s">
        <v>617</v>
      </c>
      <c r="B1" s="995"/>
      <c r="C1" s="995"/>
    </row>
    <row r="2" spans="1:141">
      <c r="A2" s="360" t="s">
        <v>240</v>
      </c>
      <c r="B2" s="361">
        <f>P29</f>
        <v>3</v>
      </c>
      <c r="C2" s="373" t="str">
        <f>IF(B2=0,"","Gets ("&amp; B2 &amp;") 6"" wide isolation wrap")</f>
        <v>Gets (3) 6" wide isolation wrap</v>
      </c>
      <c r="D2" s="358">
        <f>IF(M8&gt;1,M8+1,M8)</f>
        <v>3</v>
      </c>
    </row>
    <row r="3" spans="1:141">
      <c r="A3" s="364" t="s">
        <v>246</v>
      </c>
      <c r="B3" s="365">
        <f>Q29</f>
        <v>3</v>
      </c>
      <c r="C3" s="373" t="str">
        <f>IF(B3=0,"","Gets (" &amp; B3 &amp; ") 12"" by 15' isolation wrap")</f>
        <v>Gets (3) 12" by 15' isolation wrap</v>
      </c>
      <c r="D3" s="358"/>
    </row>
    <row r="4" spans="1:141">
      <c r="A4" s="364" t="s">
        <v>253</v>
      </c>
      <c r="B4" s="365">
        <f>R29</f>
        <v>0</v>
      </c>
      <c r="C4" s="373" t="str">
        <f>IF(B4=0,"","Gets (" &amp; B4 &amp; ") 12"" by 30' isolation wrap")</f>
        <v/>
      </c>
      <c r="D4" s="373" t="str">
        <f>IF(N17=0,"","30' isolation wrap split into 20ft and 10ft rolls")</f>
        <v/>
      </c>
    </row>
    <row r="5" spans="1:141">
      <c r="A5" s="358"/>
      <c r="B5" s="358"/>
      <c r="C5" s="358"/>
      <c r="D5" s="358"/>
      <c r="M5" s="375" t="s">
        <v>616</v>
      </c>
      <c r="W5" s="375" t="s">
        <v>616</v>
      </c>
    </row>
    <row r="6" spans="1:141">
      <c r="A6" s="995" t="s">
        <v>622</v>
      </c>
      <c r="B6" s="995"/>
      <c r="C6" s="995"/>
      <c r="D6" s="358"/>
    </row>
    <row r="7" spans="1:141">
      <c r="A7" s="360" t="s">
        <v>240</v>
      </c>
      <c r="B7" s="489" t="str">
        <f>IF(M7,'(Fabric) (Expanded) (X and 2X)'!AF14,0)</f>
        <v xml:space="preserve">Each one gets cut into (4) equal pieces that are (32) ft long </v>
      </c>
      <c r="C7" s="373" t="str">
        <f>IF('(Fabric) (Expanded) (X and 2X)'!AF14=0,"","Each one gets cut into (" &amp; '(Fabric) (Expanded) (X and 2X)'!M14*2 &amp; ") equal pieces that are (" &amp; '(Fabric) (Expanded) (X and 2X)'!F10 &amp; ") ft long ")</f>
        <v xml:space="preserve">Each one gets cut into (0) equal pieces that are (32) ft long </v>
      </c>
      <c r="K7" s="358"/>
      <c r="L7" s="359" t="s">
        <v>30</v>
      </c>
      <c r="M7" s="366">
        <f>'Girth Weld Calc (GW)'!G1</f>
        <v>10</v>
      </c>
      <c r="N7" s="358" t="s">
        <v>239</v>
      </c>
      <c r="O7" s="358"/>
      <c r="V7" s="359" t="s">
        <v>30</v>
      </c>
      <c r="W7" s="366">
        <f>M7</f>
        <v>10</v>
      </c>
      <c r="X7" s="358" t="s">
        <v>239</v>
      </c>
    </row>
    <row r="8" spans="1:141">
      <c r="A8" s="364" t="s">
        <v>246</v>
      </c>
      <c r="B8" s="488" t="str">
        <f>'(Fabric) (Expanded) (X and 2X)'!AF16</f>
        <v>Each one gets cut into (2) equal pieces that are (32) ft long</v>
      </c>
      <c r="C8" s="373" t="str">
        <f>IF('(Fabric) (Expanded) (X and 2X)'!AF16=0,"","Each one gets cut into (" &amp; '(Fabric) (Expanded) (X and 2X)'!M16 &amp; ") equal pieces that are (" &amp; '(Fabric) (Expanded) (X and 2X)'!F10 &amp; ") ft long")</f>
        <v>Each one gets cut into () equal pieces that are (32) ft long</v>
      </c>
      <c r="J8" s="262"/>
      <c r="K8" s="358"/>
      <c r="L8" s="362" t="s">
        <v>244</v>
      </c>
      <c r="M8" s="419">
        <f>('Girth Weld Calc (GW)'!G2)+1</f>
        <v>2</v>
      </c>
      <c r="N8" s="358" t="s">
        <v>245</v>
      </c>
      <c r="O8" s="358"/>
      <c r="V8" s="362" t="s">
        <v>244</v>
      </c>
      <c r="W8" s="419">
        <f>M8</f>
        <v>2</v>
      </c>
      <c r="X8" s="358" t="s">
        <v>245</v>
      </c>
    </row>
    <row r="9" spans="1:141">
      <c r="A9" s="364" t="s">
        <v>253</v>
      </c>
      <c r="B9" s="488" t="str">
        <f>'(Fabric) (Expanded) (X and 2X)'!AF18</f>
        <v>Each one gets cut into (2) equal pieces that are (32) ft long</v>
      </c>
      <c r="C9" s="373" t="str">
        <f>IF('(Fabric) (Expanded) (X and 2X)'!AF18=0,"","Each one gets cut into (" &amp; '(Fabric) (Expanded) (X and 2X)'!M18 &amp; ") equal pieces that are (" &amp; '(Fabric) (Expanded) (X and 2X)'!F10 &amp; ") ft long")</f>
        <v>Each one gets cut into () equal pieces that are (32) ft long</v>
      </c>
      <c r="J9" s="262"/>
      <c r="K9" s="358"/>
      <c r="L9" s="358"/>
      <c r="M9" s="358"/>
      <c r="N9" s="358"/>
      <c r="O9" s="358"/>
      <c r="V9" s="358"/>
      <c r="W9" s="358"/>
      <c r="X9" s="358"/>
    </row>
    <row r="10" spans="1:141" ht="15.75" thickBot="1">
      <c r="J10" s="262"/>
      <c r="K10" s="358"/>
      <c r="L10" s="358"/>
      <c r="M10" s="358"/>
      <c r="N10" s="358"/>
      <c r="O10" s="358"/>
      <c r="V10" s="358"/>
      <c r="W10" s="358"/>
      <c r="X10" s="358"/>
    </row>
    <row r="11" spans="1:141">
      <c r="DV11" s="528"/>
      <c r="DW11" s="210"/>
      <c r="DX11" s="210"/>
      <c r="DY11" s="210"/>
      <c r="DZ11" s="210"/>
      <c r="EA11" s="210"/>
      <c r="EB11" s="210"/>
      <c r="EC11" s="210"/>
      <c r="ED11" s="210"/>
      <c r="EE11" s="210"/>
      <c r="EF11" s="210"/>
      <c r="EG11" s="210"/>
      <c r="EH11" s="210"/>
      <c r="EI11" s="210"/>
      <c r="EJ11" s="210"/>
      <c r="EK11" s="211"/>
    </row>
    <row r="12" spans="1:141">
      <c r="DV12" s="532"/>
      <c r="EK12" s="47"/>
    </row>
    <row r="13" spans="1:141" ht="51.75" customHeight="1">
      <c r="K13" s="358"/>
      <c r="N13" s="358"/>
      <c r="O13" s="358"/>
      <c r="X13" s="358"/>
      <c r="DV13" s="532"/>
      <c r="EK13" s="47"/>
    </row>
    <row r="14" spans="1:141">
      <c r="K14" s="358"/>
      <c r="L14" s="358"/>
      <c r="M14" s="358"/>
      <c r="N14" s="358"/>
      <c r="O14" s="358"/>
      <c r="V14" s="358"/>
      <c r="W14" s="358"/>
      <c r="X14" s="358"/>
      <c r="DV14" s="532"/>
      <c r="EK14" s="47"/>
    </row>
    <row r="15" spans="1:141">
      <c r="K15" s="358" t="s">
        <v>265</v>
      </c>
      <c r="L15" s="1291">
        <f>'Girth Weld Calc (GW)'!R7</f>
        <v>5.25</v>
      </c>
      <c r="M15" s="1207"/>
      <c r="N15" s="1208"/>
      <c r="O15" s="358"/>
      <c r="P15" s="358"/>
      <c r="Q15" s="358"/>
      <c r="R15" s="358"/>
      <c r="S15" s="358"/>
      <c r="V15" s="1291">
        <f>SUM(((W7*PI())*2)/12)</f>
        <v>5.2359877559829888</v>
      </c>
      <c r="W15" s="1207"/>
      <c r="X15" s="1208"/>
      <c r="DV15" s="532"/>
      <c r="EK15" s="47"/>
    </row>
    <row r="16" spans="1:141" ht="16.5" thickBot="1">
      <c r="P16" s="358"/>
      <c r="Q16" s="358"/>
      <c r="R16" s="358"/>
      <c r="S16" s="358"/>
      <c r="AR16" s="694" t="s">
        <v>546</v>
      </c>
      <c r="AT16" s="694" t="s">
        <v>546</v>
      </c>
      <c r="AV16" s="694" t="s">
        <v>1312</v>
      </c>
      <c r="AX16" s="694" t="s">
        <v>1313</v>
      </c>
      <c r="BJ16" s="694" t="s">
        <v>1314</v>
      </c>
      <c r="CK16" s="694" t="s">
        <v>546</v>
      </c>
      <c r="CM16" s="694" t="s">
        <v>546</v>
      </c>
      <c r="CO16" s="694" t="s">
        <v>1312</v>
      </c>
      <c r="CQ16" s="694" t="s">
        <v>1313</v>
      </c>
      <c r="DC16" s="694" t="s">
        <v>1314</v>
      </c>
      <c r="DV16" s="532"/>
      <c r="EK16" s="47"/>
    </row>
    <row r="17" spans="10:141" ht="16.5" thickBot="1">
      <c r="M17">
        <f>IF(L15&lt;=16,15,30)</f>
        <v>15</v>
      </c>
      <c r="N17">
        <f>IF(AND(L15&gt;16,L15&lt;2=20),1,0)</f>
        <v>0</v>
      </c>
      <c r="O17" s="358"/>
      <c r="P17" s="358"/>
      <c r="Q17" s="358"/>
      <c r="R17" s="358" t="s">
        <v>624</v>
      </c>
      <c r="S17" s="358"/>
      <c r="W17">
        <f>IF(V15&lt;=16,15,30)</f>
        <v>15</v>
      </c>
      <c r="X17">
        <f>IF(AND(V15&gt;16,V15&lt;2=20),1,0)</f>
        <v>0</v>
      </c>
      <c r="AR17" s="438" cm="1">
        <f t="array" ref="AR17">IFERROR(MIN(_xlfn._xlws.FILTER(CHOOSE({1,2,3,4,5},AR20,AR23,AR27,AR31,AR34),CHOOSE({1,2,3,4,5},AR20,AR23,AR27,AR31,AR34)&lt;&gt;0)),0)</f>
        <v>15</v>
      </c>
      <c r="AT17" s="438" cm="1">
        <f t="array" ref="AT17">IFERROR(MIN(_xlfn._xlws.FILTER(CHOOSE({1,2,3,4,5},AT20,AT23,AT27,AT31,AT34),CHOOSE({1,2,3,4,5},AT20,AT23,AT27,AT31,AT34)&lt;&gt;0)),0)</f>
        <v>30</v>
      </c>
      <c r="AV17" s="438" cm="1">
        <f t="array" ref="AV17">IFERROR(MIN(_xlfn._xlws.FILTER(CHOOSE({1,2,3,4,5},AV20,AV23,AV27,AV31,AV34),CHOOSE({1,2,3,4,5},AV20,AV23,AV27,AV31,AV34)&lt;&gt;0)),0)</f>
        <v>2</v>
      </c>
      <c r="AX17" s="438" cm="1">
        <f t="array" ref="AX17">IFERROR(MIN(_xlfn._xlws.FILTER(CHOOSE({1,2,3,4,5},AX20,AX23,AX27,AX31,AX34),CHOOSE({1,2,3,4,5},AX20,AX23,AX27,AX31,AX34)&lt;&gt;0)),0)</f>
        <v>18</v>
      </c>
      <c r="BJ17" s="438">
        <f>MAX(BJ20,BJ23,BJ27,BJ31,BJ34)</f>
        <v>3</v>
      </c>
      <c r="BV17" s="1230" t="s">
        <v>518</v>
      </c>
      <c r="BW17" s="1232"/>
      <c r="BZ17" s="1221" t="s">
        <v>521</v>
      </c>
      <c r="CA17" s="1221"/>
      <c r="CB17" s="1221"/>
      <c r="CK17" s="438" cm="1">
        <f t="array" ref="CK17">IFERROR(MIN(_xlfn._xlws.FILTER(CHOOSE({1,2,3,4,5},CK20,CK23,CK27,CK31,CK34),CHOOSE({1,2,3,4,5},CK20,CK23,CK27,CK31,CK34)&lt;&gt;0)),0)</f>
        <v>30</v>
      </c>
      <c r="CM17" s="438" cm="1">
        <f t="array" ref="CM17">IFERROR(MIN(_xlfn._xlws.FILTER(CHOOSE({1,2,3,4,5},CM20,CM23,CM27,CM31,CM34),CHOOSE({1,2,3,4,5},CM20,CM23,CM27,CM31,CM34)&lt;&gt;0)),0)</f>
        <v>60</v>
      </c>
      <c r="CO17" s="438" cm="1">
        <f t="array" ref="CO17">IFERROR(MIN(_xlfn._xlws.FILTER(CHOOSE({1,2,3,4,5},CO20,CO23,CO27,CO31,CO34),CHOOSE({1,2,3,4,5},CO20,CO23,CO27,CO31,CO34)&lt;&gt;0)),0)</f>
        <v>2</v>
      </c>
      <c r="CQ17" s="438" cm="1">
        <f t="array" ref="CQ17">IFERROR(MIN(_xlfn._xlws.FILTER(CHOOSE({1,2,3,4,5},CQ20,CQ23,CQ27,CQ31,CQ34),CHOOSE({1,2,3,4,5},CQ20,CQ23,CQ27,CQ31,CQ34)&lt;&gt;0)),0)</f>
        <v>24</v>
      </c>
      <c r="DC17" s="438">
        <f>MAX(DC20,DC23,DC27,DC31,DC34)</f>
        <v>4</v>
      </c>
      <c r="DO17" s="1230" t="s">
        <v>1315</v>
      </c>
      <c r="DP17" s="1232"/>
      <c r="DV17" s="532"/>
      <c r="DZ17" s="1230" t="s">
        <v>518</v>
      </c>
      <c r="EA17" s="1232"/>
      <c r="EE17" s="1230" t="s">
        <v>1315</v>
      </c>
      <c r="EF17" s="1232"/>
      <c r="EK17" s="47"/>
    </row>
    <row r="18" spans="10:141" ht="15.75" thickBot="1">
      <c r="J18" s="1414" t="s">
        <v>518</v>
      </c>
      <c r="K18" s="1415"/>
      <c r="L18" s="1415"/>
      <c r="M18" s="1415"/>
      <c r="N18" s="1415"/>
      <c r="O18" s="1415"/>
      <c r="P18" s="1415"/>
      <c r="Q18" s="1415"/>
      <c r="R18" s="1416"/>
      <c r="S18" s="358"/>
      <c r="T18" s="1414" t="s">
        <v>1316</v>
      </c>
      <c r="U18" s="1415"/>
      <c r="V18" s="1415"/>
      <c r="W18" s="1415"/>
      <c r="X18" s="1415"/>
      <c r="Y18" s="1415"/>
      <c r="Z18" s="1415"/>
      <c r="AA18" s="1415"/>
      <c r="AB18" s="1416"/>
      <c r="AH18" s="1230" t="s">
        <v>518</v>
      </c>
      <c r="AI18" s="1231"/>
      <c r="AJ18" s="1232"/>
      <c r="BZ18" s="320" t="b">
        <f>Materials!D1</f>
        <v>0</v>
      </c>
      <c r="CA18" s="320">
        <f>Materials!E1</f>
        <v>6</v>
      </c>
      <c r="CB18" s="320">
        <f>Materials!F1</f>
        <v>20</v>
      </c>
      <c r="DV18" s="532"/>
      <c r="EK18" s="47"/>
    </row>
    <row r="19" spans="10:141" ht="15.75">
      <c r="O19" s="358"/>
      <c r="P19" s="358"/>
      <c r="Q19" s="358"/>
      <c r="R19" s="358"/>
      <c r="S19" s="358"/>
      <c r="Y19" s="358"/>
      <c r="Z19" s="358"/>
      <c r="AA19" s="358"/>
      <c r="AB19" s="358"/>
      <c r="AD19" s="693" t="s">
        <v>90</v>
      </c>
      <c r="AE19" s="694" t="s">
        <v>91</v>
      </c>
      <c r="AG19" s="358"/>
      <c r="AH19" s="358"/>
      <c r="AI19" s="358"/>
      <c r="AJ19" s="358"/>
      <c r="AL19" s="693" t="s">
        <v>90</v>
      </c>
      <c r="AM19" s="694" t="s">
        <v>91</v>
      </c>
      <c r="AN19" s="694" t="s">
        <v>513</v>
      </c>
      <c r="AP19" s="694" t="s">
        <v>1317</v>
      </c>
      <c r="AR19" s="694" t="s">
        <v>1317</v>
      </c>
      <c r="AT19" s="694" t="s">
        <v>1318</v>
      </c>
      <c r="AV19" s="694" t="s">
        <v>1319</v>
      </c>
      <c r="AX19" s="694" t="s">
        <v>1320</v>
      </c>
      <c r="AZ19" s="693" t="s">
        <v>90</v>
      </c>
      <c r="BB19" s="694" t="s">
        <v>1321</v>
      </c>
      <c r="BD19" s="694" t="s">
        <v>1322</v>
      </c>
      <c r="BF19" s="694" t="s">
        <v>1312</v>
      </c>
      <c r="BH19" s="694" t="s">
        <v>1313</v>
      </c>
      <c r="BJ19" s="694" t="s">
        <v>1249</v>
      </c>
      <c r="BL19" s="694" t="s">
        <v>1323</v>
      </c>
      <c r="BN19" s="693" t="s">
        <v>90</v>
      </c>
      <c r="BO19" s="694" t="s">
        <v>91</v>
      </c>
      <c r="BP19" s="694" t="s">
        <v>513</v>
      </c>
      <c r="BV19" s="693" t="s">
        <v>90</v>
      </c>
      <c r="BW19" s="694" t="s">
        <v>91</v>
      </c>
      <c r="BZ19" s="320" t="b">
        <f>Materials!D2</f>
        <v>0</v>
      </c>
      <c r="CA19" s="320">
        <f>Materials!E2</f>
        <v>12</v>
      </c>
      <c r="CB19" s="320">
        <f>Materials!F2</f>
        <v>15</v>
      </c>
      <c r="CE19" s="693" t="s">
        <v>90</v>
      </c>
      <c r="CF19" s="694" t="s">
        <v>91</v>
      </c>
      <c r="CG19" s="694" t="s">
        <v>513</v>
      </c>
      <c r="CI19" s="694" t="s">
        <v>1317</v>
      </c>
      <c r="CK19" s="694" t="s">
        <v>1317</v>
      </c>
      <c r="CM19" s="694" t="s">
        <v>1318</v>
      </c>
      <c r="CO19" s="694" t="s">
        <v>1319</v>
      </c>
      <c r="CQ19" s="694" t="s">
        <v>1320</v>
      </c>
      <c r="CS19" s="693" t="s">
        <v>90</v>
      </c>
      <c r="CU19" s="694" t="s">
        <v>1321</v>
      </c>
      <c r="CW19" s="694" t="s">
        <v>1322</v>
      </c>
      <c r="CY19" s="694" t="s">
        <v>1312</v>
      </c>
      <c r="DA19" s="694" t="s">
        <v>1313</v>
      </c>
      <c r="DC19" s="694" t="s">
        <v>1249</v>
      </c>
      <c r="DE19" s="694" t="s">
        <v>1323</v>
      </c>
      <c r="DG19" s="693" t="s">
        <v>90</v>
      </c>
      <c r="DH19" s="694" t="s">
        <v>91</v>
      </c>
      <c r="DI19" s="694" t="s">
        <v>513</v>
      </c>
      <c r="DO19" s="693" t="s">
        <v>90</v>
      </c>
      <c r="DP19" s="694" t="s">
        <v>91</v>
      </c>
      <c r="DV19" s="532"/>
      <c r="DZ19" s="693" t="s">
        <v>90</v>
      </c>
      <c r="EA19" s="694" t="s">
        <v>91</v>
      </c>
      <c r="EE19" s="693" t="s">
        <v>90</v>
      </c>
      <c r="EF19" s="694" t="s">
        <v>91</v>
      </c>
      <c r="EK19" s="47"/>
    </row>
    <row r="20" spans="10:141" ht="15.75">
      <c r="O20" s="358"/>
      <c r="P20" s="371">
        <v>0.2638888888888889</v>
      </c>
      <c r="Q20" s="371">
        <v>0.51041666666666663</v>
      </c>
      <c r="R20" s="371">
        <v>0.52083333333333337</v>
      </c>
      <c r="Y20" s="358"/>
      <c r="Z20" s="371">
        <v>0.2638888888888889</v>
      </c>
      <c r="AA20" s="371">
        <v>0.51041666666666663</v>
      </c>
      <c r="AB20" s="371">
        <v>0.52083333333333337</v>
      </c>
      <c r="AD20" s="439" t="s">
        <v>243</v>
      </c>
      <c r="AE20" s="438">
        <f>Z21*W8*2</f>
        <v>4</v>
      </c>
      <c r="AG20" s="358"/>
      <c r="AH20" s="371">
        <f>Z20</f>
        <v>0.2638888888888889</v>
      </c>
      <c r="AI20" s="371">
        <f>AA20</f>
        <v>0.51041666666666663</v>
      </c>
      <c r="AJ20" s="371">
        <f>AB20</f>
        <v>0.52083333333333337</v>
      </c>
      <c r="AL20" s="439" t="s">
        <v>243</v>
      </c>
      <c r="AM20" s="438">
        <f>AH21*(((W8)*12)-6)/6</f>
        <v>3</v>
      </c>
      <c r="AN20" s="438">
        <f>AM20*20</f>
        <v>60</v>
      </c>
      <c r="AP20" s="438">
        <f>IF(AM20&gt;0,20*AH21,0)</f>
        <v>20</v>
      </c>
      <c r="AR20" s="438">
        <f>AP20</f>
        <v>20</v>
      </c>
      <c r="AT20" s="438">
        <f>AN20</f>
        <v>60</v>
      </c>
      <c r="AV20" s="438">
        <f>AM20</f>
        <v>3</v>
      </c>
      <c r="AX20" s="438">
        <f>IF(AM20=0,0,((W8)*12)-6)</f>
        <v>18</v>
      </c>
      <c r="AZ20" s="439" t="s">
        <v>243</v>
      </c>
      <c r="BB20" s="438">
        <f>IF($AR20=$AR$17,1,0)</f>
        <v>0</v>
      </c>
      <c r="BD20" s="438">
        <f>IF($AT20=$AT$17,1,0)</f>
        <v>0</v>
      </c>
      <c r="BF20" s="438">
        <f>IF($AV20=$AV$17,1,0)</f>
        <v>0</v>
      </c>
      <c r="BH20" s="438">
        <f>IF($AX20=$AX$17,0.5,0)</f>
        <v>0.5</v>
      </c>
      <c r="BJ20" s="438">
        <f>SUM(BB20,BD20,BF20,BH20)</f>
        <v>0.5</v>
      </c>
      <c r="BL20" s="438">
        <f>IF($BJ20=$BJ$17,1,0)</f>
        <v>0</v>
      </c>
      <c r="BN20" s="439" t="s">
        <v>243</v>
      </c>
      <c r="BO20" s="438">
        <f>IF(BL20=0,0,AM20)</f>
        <v>0</v>
      </c>
      <c r="BP20" s="438">
        <f>IF(BL20=0,0,AN20)</f>
        <v>0</v>
      </c>
      <c r="BV20" s="439" t="s">
        <v>243</v>
      </c>
      <c r="BW20" s="438">
        <f>BO20</f>
        <v>0</v>
      </c>
      <c r="BZ20" s="320" t="b">
        <f>Materials!D3</f>
        <v>1</v>
      </c>
      <c r="CA20" s="320">
        <f>Materials!E3</f>
        <v>12</v>
      </c>
      <c r="CB20" s="320">
        <f>Materials!F3</f>
        <v>30</v>
      </c>
      <c r="CE20" s="439" t="s">
        <v>243</v>
      </c>
      <c r="CF20" s="438">
        <f>IF($BZ$18=TRUE,AM20,0)</f>
        <v>0</v>
      </c>
      <c r="CG20" s="438">
        <f>IF($BZ$18=TRUE,AN20,0)</f>
        <v>0</v>
      </c>
      <c r="CI20" s="438">
        <f>IF(CF20&gt;0,20*AH21,0)</f>
        <v>0</v>
      </c>
      <c r="CK20" s="438">
        <f>CI20</f>
        <v>0</v>
      </c>
      <c r="CM20" s="438">
        <f>CG20</f>
        <v>0</v>
      </c>
      <c r="CO20" s="438">
        <f>CF20</f>
        <v>0</v>
      </c>
      <c r="CQ20" s="438">
        <f>IF(CF20=0,0,((W8)*12)-6)</f>
        <v>0</v>
      </c>
      <c r="CS20" s="439" t="s">
        <v>243</v>
      </c>
      <c r="CU20" s="438">
        <f>IF(CK20=CK$17,1,0)</f>
        <v>0</v>
      </c>
      <c r="CW20" s="438">
        <f>IF(CM20=CM$17,1,0)</f>
        <v>0</v>
      </c>
      <c r="CY20" s="438">
        <f>IF(CO20=CO$17,1,0)</f>
        <v>0</v>
      </c>
      <c r="DA20" s="438">
        <f>IF(CQ20=CQ$17,0.5,0)</f>
        <v>0</v>
      </c>
      <c r="DC20" s="438">
        <f>SUM(CU20,CW20,CY20,DA20)</f>
        <v>0</v>
      </c>
      <c r="DE20" s="438">
        <f>IF($DC20=$DC$17,1,0)</f>
        <v>0</v>
      </c>
      <c r="DG20" s="439" t="s">
        <v>243</v>
      </c>
      <c r="DH20" s="438">
        <f>IF(DE20=0,0,CF20)</f>
        <v>0</v>
      </c>
      <c r="DI20" s="438">
        <f>IF(DE20=0,0,CG20)</f>
        <v>0</v>
      </c>
      <c r="DO20" s="439" t="s">
        <v>243</v>
      </c>
      <c r="DP20" s="438">
        <f>SUM(DH20+DH23+DH27)</f>
        <v>0</v>
      </c>
      <c r="DV20" s="532"/>
      <c r="DZ20" s="439" t="s">
        <v>243</v>
      </c>
      <c r="EA20" s="438">
        <f>BW20</f>
        <v>0</v>
      </c>
      <c r="EE20" s="439" t="s">
        <v>243</v>
      </c>
      <c r="EF20" s="438">
        <f>DP20</f>
        <v>0</v>
      </c>
      <c r="EK20" s="47"/>
    </row>
    <row r="21" spans="10:141" ht="15.75">
      <c r="J21" s="1209" t="s">
        <v>282</v>
      </c>
      <c r="K21" s="370" t="s">
        <v>283</v>
      </c>
      <c r="L21" s="1206">
        <f>IF(AND(M17&lt;=20,M7&lt;=12,M8=2),3,0)</f>
        <v>3</v>
      </c>
      <c r="M21" s="1207"/>
      <c r="N21" s="1208"/>
      <c r="O21" s="358"/>
      <c r="P21" s="358">
        <f>L21</f>
        <v>3</v>
      </c>
      <c r="Q21" s="358"/>
      <c r="R21" s="358"/>
      <c r="Y21" s="358"/>
      <c r="Z21" s="358">
        <f>ROUNDUP(V15/20,0)</f>
        <v>1</v>
      </c>
      <c r="AA21" s="358"/>
      <c r="AB21" s="358"/>
      <c r="AG21" t="s">
        <v>1326</v>
      </c>
      <c r="AH21">
        <f>Z21</f>
        <v>1</v>
      </c>
      <c r="BV21" s="439" t="s">
        <v>252</v>
      </c>
      <c r="BW21" s="438">
        <f>BO31</f>
        <v>2</v>
      </c>
      <c r="DO21" s="439" t="s">
        <v>252</v>
      </c>
      <c r="DP21" s="438">
        <f>SUM(DH31+DH24)</f>
        <v>0</v>
      </c>
      <c r="DV21" s="532"/>
      <c r="DZ21" s="439" t="s">
        <v>252</v>
      </c>
      <c r="EA21" s="438">
        <f>BW21</f>
        <v>2</v>
      </c>
      <c r="EE21" s="439" t="s">
        <v>252</v>
      </c>
      <c r="EF21" s="438">
        <f>DP21</f>
        <v>0</v>
      </c>
      <c r="EK21" s="47"/>
    </row>
    <row r="22" spans="10:141" ht="15.75">
      <c r="J22" s="1014"/>
      <c r="K22" s="358"/>
      <c r="L22" s="358"/>
      <c r="M22" s="358"/>
      <c r="N22" s="358"/>
      <c r="O22" s="358"/>
      <c r="P22" s="358"/>
      <c r="Q22" s="358"/>
      <c r="R22" s="358"/>
      <c r="Z22" s="358"/>
      <c r="AA22" s="358"/>
      <c r="AB22" s="358"/>
      <c r="BV22" s="439" t="s">
        <v>256</v>
      </c>
      <c r="BW22" s="438">
        <f>BO34</f>
        <v>0</v>
      </c>
      <c r="DO22" s="439" t="s">
        <v>256</v>
      </c>
      <c r="DP22" s="438">
        <f>SUM(DH34+DH28)</f>
        <v>2</v>
      </c>
      <c r="DV22" s="532"/>
      <c r="DZ22" s="439" t="s">
        <v>256</v>
      </c>
      <c r="EA22" s="438">
        <f>BW22</f>
        <v>0</v>
      </c>
      <c r="EE22" s="439" t="s">
        <v>256</v>
      </c>
      <c r="EF22" s="438">
        <f>DP22</f>
        <v>2</v>
      </c>
      <c r="EK22" s="47"/>
    </row>
    <row r="23" spans="10:141">
      <c r="J23" s="1209"/>
      <c r="K23" s="370" t="s">
        <v>290</v>
      </c>
      <c r="L23" s="1205">
        <f>IF(AND(M17&lt;=20,M7&gt;12,M7&lt;20,M8=1),1,0)</f>
        <v>0</v>
      </c>
      <c r="M23" s="1205"/>
      <c r="N23" s="1205"/>
      <c r="O23" s="358"/>
      <c r="P23" s="358">
        <f>L23</f>
        <v>0</v>
      </c>
      <c r="Q23" s="358">
        <f>IF(AND(L23=1,M17&lt;=15),1,0)</f>
        <v>0</v>
      </c>
      <c r="R23" s="358">
        <f>IF(AND(L23=1,M17&gt;15),1,0)</f>
        <v>0</v>
      </c>
      <c r="DV23" s="532"/>
      <c r="EK23" s="47"/>
    </row>
    <row r="24" spans="10:141">
      <c r="J24" s="1014"/>
      <c r="K24" s="358"/>
      <c r="L24" s="358"/>
      <c r="M24" s="358"/>
      <c r="N24" s="358"/>
      <c r="O24" s="358"/>
      <c r="P24" s="358"/>
      <c r="Q24" s="358"/>
      <c r="R24" s="358"/>
      <c r="Y24" s="358"/>
      <c r="Z24" s="358"/>
      <c r="AA24" s="358"/>
      <c r="AB24" s="358"/>
      <c r="DV24" s="532"/>
      <c r="EK24" s="47"/>
    </row>
    <row r="25" spans="10:141">
      <c r="J25" s="1209"/>
      <c r="K25" s="325" t="s">
        <v>300</v>
      </c>
      <c r="L25" s="1205">
        <f>IF(AND(M7&gt;=20,M8=1),1,0)</f>
        <v>0</v>
      </c>
      <c r="M25" s="1205"/>
      <c r="N25" s="1205"/>
      <c r="O25" s="358"/>
      <c r="P25" s="358"/>
      <c r="Q25" s="358">
        <f>IF(AND(L25=1,M17&lt;=15),M8*2,0)</f>
        <v>0</v>
      </c>
      <c r="R25" s="358">
        <f>IF(AND(L25=1,M17&gt;15),1,0)</f>
        <v>0</v>
      </c>
      <c r="Y25" s="358"/>
      <c r="Z25" s="358"/>
      <c r="AA25" s="358">
        <f>ROUNDUP(V15/15,0)</f>
        <v>1</v>
      </c>
      <c r="AB25" s="358">
        <f>ROUNDUP(V15/30,0)</f>
        <v>1</v>
      </c>
      <c r="AG25" t="s">
        <v>608</v>
      </c>
      <c r="AI25">
        <f>AA25</f>
        <v>1</v>
      </c>
      <c r="AJ25">
        <f>AB25</f>
        <v>1</v>
      </c>
      <c r="DV25" s="532"/>
      <c r="EK25" s="47"/>
    </row>
    <row r="26" spans="10:141">
      <c r="J26" s="262"/>
      <c r="K26" s="358"/>
      <c r="L26" s="358"/>
      <c r="M26" s="358"/>
      <c r="N26" s="358"/>
      <c r="O26" s="358"/>
      <c r="P26" s="358"/>
      <c r="Q26" s="358"/>
      <c r="R26" s="358"/>
      <c r="Y26" s="358"/>
      <c r="Z26" s="358"/>
      <c r="AA26" s="358"/>
      <c r="AB26" s="358"/>
      <c r="DV26" s="532"/>
      <c r="EK26" s="47"/>
    </row>
    <row r="27" spans="10:141">
      <c r="J27" s="372" t="s">
        <v>304</v>
      </c>
      <c r="K27" s="370" t="s">
        <v>305</v>
      </c>
      <c r="L27" s="1205">
        <f>IF(M8&gt;1,1,0)</f>
        <v>1</v>
      </c>
      <c r="M27" s="1205"/>
      <c r="N27" s="1205"/>
      <c r="O27" s="358"/>
      <c r="P27" s="358"/>
      <c r="Q27" s="358">
        <f>IF(AND(L27,M17&lt;=15),M8+1,0)</f>
        <v>3</v>
      </c>
      <c r="R27" s="358">
        <f>IF(AND(L27=1,M17&gt;15),M8+1,0)</f>
        <v>0</v>
      </c>
      <c r="DV27" s="532"/>
      <c r="EK27" s="47"/>
    </row>
    <row r="28" spans="10:141">
      <c r="J28" s="260"/>
      <c r="K28" s="358"/>
      <c r="L28" s="358"/>
      <c r="M28" s="358"/>
      <c r="N28" s="358"/>
      <c r="O28" s="358"/>
      <c r="P28" s="358"/>
      <c r="Q28" s="358"/>
      <c r="R28" s="358"/>
      <c r="T28" s="260"/>
      <c r="U28" s="358"/>
      <c r="V28" s="358"/>
      <c r="W28" s="358"/>
      <c r="X28" s="358"/>
      <c r="DV28" s="532"/>
      <c r="EK28" s="47"/>
    </row>
    <row r="29" spans="10:141">
      <c r="K29" s="358"/>
      <c r="L29" s="358"/>
      <c r="M29" s="358"/>
      <c r="N29" s="358"/>
      <c r="O29" s="358" t="s">
        <v>307</v>
      </c>
      <c r="P29" s="358">
        <f>SUM(P21,P22,P23,P24,P25,P26,P27)</f>
        <v>3</v>
      </c>
      <c r="Q29" s="358">
        <f>SUM(Q21,Q22,Q23,Q24,Q25,Q26,Q27)</f>
        <v>3</v>
      </c>
      <c r="R29" s="358">
        <f>SUM(R21,R22,R23,R24,R25,R26,R27)</f>
        <v>0</v>
      </c>
      <c r="U29" s="358"/>
      <c r="V29" s="358"/>
      <c r="W29" s="358"/>
      <c r="X29" s="358"/>
      <c r="AC29" s="358"/>
      <c r="AF29" s="358"/>
      <c r="DV29" s="532"/>
      <c r="EK29" s="47"/>
    </row>
    <row r="30" spans="10:141" ht="16.5" thickBot="1">
      <c r="K30" s="358"/>
      <c r="L30" s="358"/>
      <c r="M30" s="358"/>
      <c r="N30" s="358"/>
      <c r="O30" s="358"/>
      <c r="P30" s="358"/>
      <c r="Q30" s="358"/>
      <c r="R30" s="358"/>
      <c r="S30" s="358"/>
      <c r="AD30" s="693" t="s">
        <v>90</v>
      </c>
      <c r="AE30" s="694" t="s">
        <v>91</v>
      </c>
      <c r="AL30" s="693" t="s">
        <v>90</v>
      </c>
      <c r="AM30" s="694" t="s">
        <v>91</v>
      </c>
      <c r="AN30" s="694" t="s">
        <v>513</v>
      </c>
      <c r="AP30" s="694" t="s">
        <v>1317</v>
      </c>
      <c r="AR30" s="694" t="s">
        <v>1317</v>
      </c>
      <c r="AT30" s="694" t="s">
        <v>1318</v>
      </c>
      <c r="AV30" s="694" t="s">
        <v>1319</v>
      </c>
      <c r="AX30" s="694" t="s">
        <v>1320</v>
      </c>
      <c r="AZ30" s="693" t="s">
        <v>90</v>
      </c>
      <c r="BB30" s="694" t="s">
        <v>1321</v>
      </c>
      <c r="BD30" s="694" t="s">
        <v>1322</v>
      </c>
      <c r="BF30" s="694" t="s">
        <v>1312</v>
      </c>
      <c r="BH30" s="694" t="s">
        <v>1313</v>
      </c>
      <c r="BJ30" s="694" t="s">
        <v>1249</v>
      </c>
      <c r="BL30" s="694" t="s">
        <v>1249</v>
      </c>
      <c r="BN30" s="693" t="s">
        <v>90</v>
      </c>
      <c r="BO30" s="694" t="s">
        <v>91</v>
      </c>
      <c r="BP30" s="694" t="s">
        <v>513</v>
      </c>
      <c r="CE30" s="693" t="s">
        <v>90</v>
      </c>
      <c r="CF30" s="694" t="s">
        <v>91</v>
      </c>
      <c r="CG30" s="694" t="s">
        <v>513</v>
      </c>
      <c r="CI30" s="694" t="s">
        <v>1317</v>
      </c>
      <c r="CK30" s="694" t="s">
        <v>1317</v>
      </c>
      <c r="CM30" s="694" t="s">
        <v>1318</v>
      </c>
      <c r="CO30" s="694" t="s">
        <v>1319</v>
      </c>
      <c r="CQ30" s="694" t="s">
        <v>1320</v>
      </c>
      <c r="CS30" s="693" t="s">
        <v>90</v>
      </c>
      <c r="CU30" s="694" t="s">
        <v>1321</v>
      </c>
      <c r="CW30" s="694" t="s">
        <v>1322</v>
      </c>
      <c r="CY30" s="694" t="s">
        <v>1312</v>
      </c>
      <c r="DA30" s="694" t="s">
        <v>1313</v>
      </c>
      <c r="DC30" s="694" t="s">
        <v>1249</v>
      </c>
      <c r="DE30" s="694" t="s">
        <v>1249</v>
      </c>
      <c r="DG30" s="693" t="s">
        <v>90</v>
      </c>
      <c r="DH30" s="694" t="s">
        <v>91</v>
      </c>
      <c r="DI30" s="694" t="s">
        <v>513</v>
      </c>
      <c r="DV30" s="663"/>
      <c r="DW30" s="46"/>
      <c r="DX30" s="46"/>
      <c r="DY30" s="46"/>
      <c r="DZ30" s="46"/>
      <c r="EA30" s="46"/>
      <c r="EB30" s="46"/>
      <c r="EC30" s="46"/>
      <c r="ED30" s="46"/>
      <c r="EE30" s="46"/>
      <c r="EF30" s="46"/>
      <c r="EG30" s="46"/>
      <c r="EH30" s="46"/>
      <c r="EI30" s="46"/>
      <c r="EJ30" s="46"/>
      <c r="EK30" s="664"/>
    </row>
    <row r="31" spans="10:141" ht="15.75">
      <c r="K31" s="358"/>
      <c r="M31" s="358"/>
      <c r="N31" s="358"/>
      <c r="O31" s="358"/>
      <c r="P31" s="358"/>
      <c r="Q31" s="358"/>
      <c r="R31" s="358"/>
      <c r="S31" s="358"/>
      <c r="AD31" s="439" t="s">
        <v>252</v>
      </c>
      <c r="AE31" s="438">
        <f>AA25*W8</f>
        <v>2</v>
      </c>
      <c r="AL31" s="439" t="s">
        <v>252</v>
      </c>
      <c r="AM31" s="438">
        <f>AI25*W8</f>
        <v>2</v>
      </c>
      <c r="AN31" s="438">
        <f>AM31*15</f>
        <v>30</v>
      </c>
      <c r="AP31" s="438">
        <f>IF(AM31&gt;0,15*AI25,0)</f>
        <v>15</v>
      </c>
      <c r="AR31" s="438">
        <f>AP31</f>
        <v>15</v>
      </c>
      <c r="AT31" s="438">
        <f>AN31</f>
        <v>30</v>
      </c>
      <c r="AV31" s="438">
        <f>AM31</f>
        <v>2</v>
      </c>
      <c r="AX31" s="438">
        <f>IF(AM31=0,0,12*$W$8)</f>
        <v>24</v>
      </c>
      <c r="AZ31" s="439" t="s">
        <v>252</v>
      </c>
      <c r="BB31" s="438">
        <f>IF($AR31=$AR$17,1,0)</f>
        <v>1</v>
      </c>
      <c r="BD31" s="438">
        <f>IF($AT31=$AT$17,1,0)</f>
        <v>1</v>
      </c>
      <c r="BF31" s="438">
        <f>IF($AV31=$AV$17,1,0)</f>
        <v>1</v>
      </c>
      <c r="BH31" s="438">
        <f>IF($AX31=$AX$17,1,0)</f>
        <v>0</v>
      </c>
      <c r="BJ31" s="438">
        <f>SUM(BB31,BD31,BF31,BH31)</f>
        <v>3</v>
      </c>
      <c r="BL31" s="438">
        <f>IF($BJ31=$BJ$17,1,0)</f>
        <v>1</v>
      </c>
      <c r="BN31" s="439" t="s">
        <v>252</v>
      </c>
      <c r="BO31" s="438">
        <f>IF(BL31=0,0,AM31)</f>
        <v>2</v>
      </c>
      <c r="BP31" s="438">
        <f>IF(BL31=0,0,AN31)</f>
        <v>30</v>
      </c>
      <c r="CE31" s="439" t="s">
        <v>252</v>
      </c>
      <c r="CF31" s="438">
        <f>IF($BZ$19=TRUE,AM31,0)</f>
        <v>0</v>
      </c>
      <c r="CG31" s="438">
        <f>IF($BZ$19=TRUE,AN31,0)</f>
        <v>0</v>
      </c>
      <c r="CI31" s="438">
        <f>IF(CF31&gt;0,15*AI25,0)</f>
        <v>0</v>
      </c>
      <c r="CK31" s="438">
        <f>CI31</f>
        <v>0</v>
      </c>
      <c r="CM31" s="438">
        <f>CG31</f>
        <v>0</v>
      </c>
      <c r="CO31" s="438">
        <f>CF31</f>
        <v>0</v>
      </c>
      <c r="CQ31" s="438">
        <f>IF(CF31=0,0,12*$W$8)</f>
        <v>0</v>
      </c>
      <c r="CS31" s="439" t="s">
        <v>252</v>
      </c>
      <c r="CU31" s="438">
        <f>IF(CK31=CK$17,1,0)</f>
        <v>0</v>
      </c>
      <c r="CW31" s="438">
        <f>IF(CM31=CM$17,1,0)</f>
        <v>0</v>
      </c>
      <c r="CY31" s="438">
        <f>IF(CO31=CO$17,1,0)</f>
        <v>0</v>
      </c>
      <c r="DA31" s="438">
        <f>IF(CQ31=CQ$17,1,0)</f>
        <v>0</v>
      </c>
      <c r="DC31" s="438">
        <f>SUM(CU31,CW31,CY31,DA31)</f>
        <v>0</v>
      </c>
      <c r="DE31" s="438">
        <f>IF($DC31=$DC$17,1,0)</f>
        <v>0</v>
      </c>
      <c r="DG31" s="439" t="s">
        <v>252</v>
      </c>
      <c r="DH31" s="438">
        <f>IF(DE31=0,0,CF31)</f>
        <v>0</v>
      </c>
      <c r="DI31" s="438">
        <f>IF(DE31=0,0,CG31)</f>
        <v>0</v>
      </c>
    </row>
    <row r="32" spans="10:141">
      <c r="K32" s="358"/>
      <c r="L32" s="358"/>
      <c r="M32" s="358"/>
      <c r="N32" s="358"/>
      <c r="O32" s="358"/>
      <c r="P32" s="358"/>
      <c r="Q32" s="358"/>
      <c r="R32" s="358"/>
      <c r="S32" s="358"/>
    </row>
    <row r="33" spans="11:113" ht="15.75">
      <c r="K33" s="358"/>
      <c r="L33" s="358"/>
      <c r="M33" s="358"/>
      <c r="N33" s="358"/>
      <c r="O33" s="358"/>
      <c r="P33" s="358"/>
      <c r="Q33" s="358"/>
      <c r="R33" s="358"/>
      <c r="S33" s="358"/>
      <c r="AD33" s="693" t="s">
        <v>90</v>
      </c>
      <c r="AE33" s="694" t="s">
        <v>91</v>
      </c>
      <c r="AL33" s="693" t="s">
        <v>90</v>
      </c>
      <c r="AM33" s="694" t="s">
        <v>91</v>
      </c>
      <c r="AN33" s="694" t="s">
        <v>513</v>
      </c>
      <c r="AP33" s="694" t="s">
        <v>1317</v>
      </c>
      <c r="AR33" s="694" t="s">
        <v>1317</v>
      </c>
      <c r="AT33" s="694" t="s">
        <v>1318</v>
      </c>
      <c r="AV33" s="694" t="s">
        <v>1319</v>
      </c>
      <c r="AX33" s="694" t="s">
        <v>1320</v>
      </c>
      <c r="AZ33" s="693" t="s">
        <v>90</v>
      </c>
      <c r="BB33" s="694" t="s">
        <v>1321</v>
      </c>
      <c r="BD33" s="694" t="s">
        <v>1322</v>
      </c>
      <c r="BF33" s="694" t="s">
        <v>1312</v>
      </c>
      <c r="BH33" s="694" t="s">
        <v>1313</v>
      </c>
      <c r="BJ33" s="694" t="s">
        <v>1249</v>
      </c>
      <c r="BL33" s="694" t="s">
        <v>1249</v>
      </c>
      <c r="BN33" s="693" t="s">
        <v>90</v>
      </c>
      <c r="BO33" s="694" t="s">
        <v>91</v>
      </c>
      <c r="BP33" s="694" t="s">
        <v>513</v>
      </c>
      <c r="CE33" s="693" t="s">
        <v>90</v>
      </c>
      <c r="CF33" s="694" t="s">
        <v>91</v>
      </c>
      <c r="CG33" s="694" t="s">
        <v>513</v>
      </c>
      <c r="CI33" s="694" t="s">
        <v>1317</v>
      </c>
      <c r="CK33" s="694" t="s">
        <v>1317</v>
      </c>
      <c r="CM33" s="694" t="s">
        <v>1318</v>
      </c>
      <c r="CO33" s="694" t="s">
        <v>1319</v>
      </c>
      <c r="CQ33" s="694" t="s">
        <v>1320</v>
      </c>
      <c r="CS33" s="693" t="s">
        <v>90</v>
      </c>
      <c r="CU33" s="694" t="s">
        <v>1321</v>
      </c>
      <c r="CW33" s="694" t="s">
        <v>1322</v>
      </c>
      <c r="CY33" s="694" t="s">
        <v>1312</v>
      </c>
      <c r="DA33" s="694" t="s">
        <v>1313</v>
      </c>
      <c r="DC33" s="694" t="s">
        <v>1249</v>
      </c>
      <c r="DE33" s="694" t="s">
        <v>1249</v>
      </c>
      <c r="DG33" s="693" t="s">
        <v>90</v>
      </c>
      <c r="DH33" s="694" t="s">
        <v>91</v>
      </c>
      <c r="DI33" s="694" t="s">
        <v>513</v>
      </c>
    </row>
    <row r="34" spans="11:113" ht="15.75">
      <c r="K34" s="358"/>
      <c r="L34" s="358"/>
      <c r="M34" s="358"/>
      <c r="N34" s="358"/>
      <c r="O34" s="358"/>
      <c r="P34" s="358"/>
      <c r="Q34" s="358"/>
      <c r="R34" s="358"/>
      <c r="S34" s="358"/>
      <c r="AD34" s="439" t="s">
        <v>256</v>
      </c>
      <c r="AE34" s="438">
        <f>AB25*W8</f>
        <v>2</v>
      </c>
      <c r="AL34" s="439" t="s">
        <v>256</v>
      </c>
      <c r="AM34" s="438">
        <f>AJ25*W8</f>
        <v>2</v>
      </c>
      <c r="AN34" s="438">
        <f>AM34*30</f>
        <v>60</v>
      </c>
      <c r="AP34" s="438">
        <f>IF(AM34&gt;0,30*AJ25,0)</f>
        <v>30</v>
      </c>
      <c r="AR34" s="438">
        <f>AP34</f>
        <v>30</v>
      </c>
      <c r="AT34" s="438">
        <f>AN34</f>
        <v>60</v>
      </c>
      <c r="AV34" s="438">
        <f>AM34</f>
        <v>2</v>
      </c>
      <c r="AW34" s="786"/>
      <c r="AX34" s="438">
        <f>IF(AM34=0,0,12*$W$8)</f>
        <v>24</v>
      </c>
      <c r="AZ34" s="439" t="s">
        <v>256</v>
      </c>
      <c r="BB34" s="438">
        <f>IF($AR34=$AR$17,1,0)</f>
        <v>0</v>
      </c>
      <c r="BD34" s="438">
        <f>IF($AT34=$AT$17,1,0)</f>
        <v>0</v>
      </c>
      <c r="BF34" s="438">
        <f>IF($AV34=$AV$17,1,0)</f>
        <v>1</v>
      </c>
      <c r="BH34" s="438">
        <f>IF($AX34=$AX$17,1,0)</f>
        <v>0</v>
      </c>
      <c r="BJ34" s="438">
        <f>SUM(BB34,BD34,BF34,BH34)</f>
        <v>1</v>
      </c>
      <c r="BL34" s="438">
        <f>IF($BJ34=$BJ$17,1,0)</f>
        <v>0</v>
      </c>
      <c r="BN34" s="439" t="s">
        <v>256</v>
      </c>
      <c r="BO34" s="438">
        <f>IF(BL34=0,0,AM34)</f>
        <v>0</v>
      </c>
      <c r="BP34" s="438">
        <f>IF(BL34=0,0,AN34)</f>
        <v>0</v>
      </c>
      <c r="CE34" s="439" t="s">
        <v>256</v>
      </c>
      <c r="CF34" s="438">
        <f>IF($BZ$20=TRUE,AM34,0)</f>
        <v>2</v>
      </c>
      <c r="CG34" s="438">
        <f>IF($BZ$20=TRUE,AN34,0)</f>
        <v>60</v>
      </c>
      <c r="CI34" s="438">
        <f>IF(CF34&gt;0,30*AJ25,0)</f>
        <v>30</v>
      </c>
      <c r="CK34" s="438">
        <f>CI34</f>
        <v>30</v>
      </c>
      <c r="CM34" s="438">
        <f>CG34</f>
        <v>60</v>
      </c>
      <c r="CO34" s="438">
        <f>CF34</f>
        <v>2</v>
      </c>
      <c r="CP34" s="786"/>
      <c r="CQ34" s="438">
        <f>IF(CF34=0,0,12*$W$8)</f>
        <v>24</v>
      </c>
      <c r="CS34" s="439" t="s">
        <v>256</v>
      </c>
      <c r="CU34" s="438">
        <f>IF(CK34=CK$17,1,0)</f>
        <v>1</v>
      </c>
      <c r="CW34" s="438">
        <f>IF(CM34=CM$17,1,0)</f>
        <v>1</v>
      </c>
      <c r="CY34" s="438">
        <f>IF(CO34=CO$17,1,0)</f>
        <v>1</v>
      </c>
      <c r="DA34" s="438">
        <f>IF(CQ34=CQ$17,1,0)</f>
        <v>1</v>
      </c>
      <c r="DC34" s="438">
        <f>SUM(CU34,CW34,CY34,DA34)</f>
        <v>4</v>
      </c>
      <c r="DE34" s="438">
        <f>IF($DC34=$DC$17,1,0)</f>
        <v>1</v>
      </c>
      <c r="DG34" s="439" t="s">
        <v>256</v>
      </c>
      <c r="DH34" s="438">
        <f>IF(DE34=0,0,CF34)</f>
        <v>2</v>
      </c>
      <c r="DI34" s="438">
        <f>IF(DE34=0,0,CG34)</f>
        <v>60</v>
      </c>
    </row>
    <row r="35" spans="11:113">
      <c r="K35" s="358"/>
      <c r="L35" s="358"/>
    </row>
    <row r="36" spans="11:113">
      <c r="K36" s="358"/>
      <c r="L36" s="358"/>
    </row>
    <row r="37" spans="11:113">
      <c r="K37" s="358"/>
      <c r="L37" s="358"/>
    </row>
    <row r="44" spans="11:113" ht="28.5" customHeight="1"/>
    <row r="46" spans="11:113" ht="26.25" customHeight="1"/>
    <row r="48" spans="11:113" ht="33.75" customHeight="1"/>
    <row r="49" spans="15:27" ht="14.45" customHeight="1"/>
    <row r="50" spans="15:27" ht="43.15" customHeight="1"/>
    <row r="52" spans="15:27" ht="43.15" customHeight="1"/>
    <row r="56" spans="15:27">
      <c r="P56" s="358"/>
      <c r="Q56" s="358"/>
      <c r="R56" s="358"/>
      <c r="S56" s="358"/>
      <c r="T56" s="358"/>
      <c r="U56" s="358"/>
      <c r="V56" s="358"/>
      <c r="W56" s="358"/>
      <c r="X56" s="358"/>
      <c r="Y56" s="358"/>
      <c r="Z56" s="358"/>
      <c r="AA56" s="358"/>
    </row>
    <row r="57" spans="15:27">
      <c r="P57" s="358"/>
      <c r="Q57" s="358"/>
      <c r="R57" s="358"/>
      <c r="S57" s="358"/>
      <c r="T57" s="358"/>
      <c r="U57" s="358"/>
      <c r="V57" s="358"/>
      <c r="W57" s="358"/>
      <c r="X57" s="358"/>
      <c r="Y57" s="358"/>
      <c r="Z57" s="358"/>
      <c r="AA57" s="358"/>
    </row>
    <row r="58" spans="15:27">
      <c r="P58" s="358"/>
      <c r="Q58" s="358"/>
      <c r="R58" s="358"/>
      <c r="S58" s="358"/>
      <c r="T58" s="358"/>
      <c r="U58" s="358"/>
      <c r="V58" s="358"/>
      <c r="W58" s="358"/>
      <c r="X58" s="358"/>
      <c r="Y58" s="358"/>
      <c r="Z58" s="358"/>
      <c r="AA58" s="358"/>
    </row>
    <row r="59" spans="15:27">
      <c r="O59" s="358"/>
      <c r="P59" s="358"/>
      <c r="Q59" s="358"/>
      <c r="R59" s="358"/>
      <c r="S59" s="358"/>
      <c r="T59" s="358"/>
      <c r="U59" s="358"/>
      <c r="V59" s="358"/>
      <c r="W59" s="358"/>
      <c r="X59" s="358"/>
      <c r="Y59" s="358"/>
      <c r="Z59" s="358"/>
      <c r="AA59" s="358"/>
    </row>
  </sheetData>
  <mergeCells count="17">
    <mergeCell ref="A1:C1"/>
    <mergeCell ref="A6:C6"/>
    <mergeCell ref="L15:N15"/>
    <mergeCell ref="V15:X15"/>
    <mergeCell ref="BV17:BW17"/>
    <mergeCell ref="DO17:DP17"/>
    <mergeCell ref="DZ17:EA17"/>
    <mergeCell ref="EE17:EF17"/>
    <mergeCell ref="J18:R18"/>
    <mergeCell ref="T18:AB18"/>
    <mergeCell ref="AH18:AJ18"/>
    <mergeCell ref="BZ17:CB17"/>
    <mergeCell ref="L27:N27"/>
    <mergeCell ref="J21:J25"/>
    <mergeCell ref="L21:N21"/>
    <mergeCell ref="L23:N23"/>
    <mergeCell ref="L25:N25"/>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BD35-26CE-4EB5-97D6-3986BAF28FE3}">
  <sheetPr>
    <tabColor theme="4" tint="0.59999389629810485"/>
  </sheetPr>
  <dimension ref="B1:IG113"/>
  <sheetViews>
    <sheetView zoomScaleNormal="100" workbookViewId="0">
      <selection activeCell="H8" sqref="H8"/>
    </sheetView>
  </sheetViews>
  <sheetFormatPr defaultRowHeight="15"/>
  <cols>
    <col min="3" max="3" width="41.42578125" customWidth="1"/>
    <col min="9" max="9" width="56.28515625" bestFit="1" customWidth="1"/>
    <col min="11" max="11" width="25.85546875" bestFit="1" customWidth="1"/>
    <col min="13" max="13" width="12.42578125" customWidth="1"/>
    <col min="14" max="14" width="26.140625" customWidth="1"/>
    <col min="16" max="16" width="15.140625" customWidth="1"/>
    <col min="17" max="17" width="9.28515625" customWidth="1"/>
    <col min="18" max="18" width="15.140625" customWidth="1"/>
    <col min="27" max="27" width="17.7109375" bestFit="1" customWidth="1"/>
    <col min="29" max="29" width="40.85546875" customWidth="1"/>
    <col min="54" max="147" width="9.140625" customWidth="1"/>
    <col min="148" max="148" width="17" bestFit="1" customWidth="1"/>
    <col min="149" max="157" width="9.140625" customWidth="1"/>
    <col min="158" max="158" width="15" bestFit="1" customWidth="1"/>
    <col min="159" max="163" width="15" customWidth="1"/>
    <col min="164" max="164" width="19.5703125" bestFit="1" customWidth="1"/>
    <col min="165" max="165" width="15" customWidth="1"/>
    <col min="166" max="166" width="9.140625" customWidth="1"/>
    <col min="167" max="167" width="15" bestFit="1" customWidth="1"/>
    <col min="168" max="172" width="15" customWidth="1"/>
    <col min="173" max="173" width="18" bestFit="1" customWidth="1"/>
    <col min="174" max="174" width="18" customWidth="1"/>
    <col min="175" max="175" width="20.42578125" bestFit="1" customWidth="1"/>
    <col min="176" max="177" width="18" customWidth="1"/>
    <col min="178" max="179" width="9.140625" customWidth="1"/>
    <col min="180" max="199" width="15.42578125" customWidth="1"/>
    <col min="200" max="201" width="9.140625" customWidth="1"/>
    <col min="233" max="233" width="27.5703125" bestFit="1" customWidth="1"/>
    <col min="234" max="234" width="11" customWidth="1"/>
    <col min="237" max="237" width="27.5703125" bestFit="1" customWidth="1"/>
  </cols>
  <sheetData>
    <row r="1" spans="3:241" ht="15.75" thickBot="1">
      <c r="C1" s="528"/>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1221" t="s">
        <v>545</v>
      </c>
      <c r="BN1" s="1221"/>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1221" t="s">
        <v>545</v>
      </c>
      <c r="CR1" s="1221"/>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c r="DR1" s="210"/>
      <c r="DS1" s="210"/>
      <c r="DT1" s="210"/>
      <c r="DU1" s="210"/>
      <c r="DV1" s="210"/>
      <c r="DW1" s="210"/>
      <c r="DX1" s="210"/>
      <c r="DY1" s="210"/>
      <c r="DZ1" s="210"/>
      <c r="EA1" s="210"/>
      <c r="EB1" s="210"/>
      <c r="EC1" s="210"/>
      <c r="ED1" s="210"/>
      <c r="EE1" s="210"/>
      <c r="EF1" s="210"/>
      <c r="EG1" s="210"/>
      <c r="EH1" s="210"/>
      <c r="EI1" s="210"/>
      <c r="EJ1" s="210"/>
      <c r="EK1" s="210"/>
      <c r="EL1" s="210"/>
      <c r="EM1" s="210"/>
      <c r="EN1" s="210"/>
      <c r="EO1" s="210"/>
      <c r="EP1" s="210"/>
      <c r="EQ1" s="210"/>
      <c r="ER1" s="210"/>
      <c r="ES1" s="210"/>
      <c r="ET1" s="210"/>
      <c r="EU1" s="210"/>
      <c r="EV1" s="210"/>
      <c r="EW1" s="210"/>
      <c r="EX1" s="210"/>
      <c r="EY1" s="210"/>
      <c r="EZ1" s="210"/>
      <c r="FA1" s="210"/>
      <c r="FB1" s="210"/>
      <c r="FC1" s="210"/>
      <c r="FD1" s="210"/>
      <c r="FE1" s="210"/>
      <c r="FF1" s="210"/>
      <c r="FG1" s="210"/>
      <c r="FH1" s="210"/>
      <c r="FI1" s="210"/>
      <c r="FJ1" s="210"/>
      <c r="FK1" s="210"/>
      <c r="FL1" s="210"/>
      <c r="FM1" s="210"/>
      <c r="FN1" s="210"/>
      <c r="FO1" s="210"/>
      <c r="FP1" s="210"/>
      <c r="FQ1" s="210"/>
      <c r="FR1" s="210"/>
      <c r="FS1" s="210"/>
      <c r="FT1" s="210"/>
      <c r="FU1" s="210"/>
      <c r="FV1" s="210"/>
      <c r="FW1" s="210"/>
      <c r="FX1" s="210"/>
      <c r="FY1" s="210"/>
      <c r="FZ1" s="210"/>
      <c r="GA1" s="210"/>
      <c r="GB1" s="210"/>
      <c r="GC1" s="210"/>
      <c r="GD1" s="210"/>
      <c r="GE1" s="210"/>
      <c r="GF1" s="210"/>
      <c r="GG1" s="210"/>
      <c r="GH1" s="210"/>
      <c r="GS1" s="210"/>
      <c r="GT1" s="210"/>
      <c r="GU1" s="210"/>
      <c r="GV1" s="210"/>
      <c r="GW1" s="210"/>
      <c r="GX1" s="210"/>
      <c r="GY1" s="210"/>
      <c r="GZ1" s="210"/>
      <c r="HA1" s="211"/>
      <c r="HB1" s="210"/>
      <c r="HC1" s="210"/>
      <c r="HD1" s="210"/>
      <c r="HE1" s="210"/>
      <c r="HF1" s="210"/>
      <c r="HG1" s="210"/>
      <c r="HH1" s="210"/>
      <c r="HI1" s="210"/>
      <c r="HJ1" s="210"/>
      <c r="HK1" s="210"/>
      <c r="HL1" s="210"/>
      <c r="HM1" s="210"/>
      <c r="HN1" s="210"/>
      <c r="HO1" s="210"/>
      <c r="HP1" s="210"/>
      <c r="HQ1" s="210"/>
      <c r="HR1" s="210"/>
      <c r="HS1" s="210"/>
      <c r="HT1" s="210"/>
      <c r="HU1" s="210"/>
      <c r="HV1" s="210"/>
      <c r="HW1" s="211"/>
      <c r="HX1" s="528"/>
      <c r="HY1" s="210"/>
      <c r="HZ1" s="210"/>
      <c r="IA1" s="210"/>
      <c r="IB1" s="210"/>
      <c r="IC1" s="210"/>
      <c r="ID1" s="210"/>
      <c r="IE1" s="210"/>
      <c r="IF1" s="210"/>
      <c r="IG1" s="211"/>
    </row>
    <row r="2" spans="3:241" ht="15.75" thickBot="1">
      <c r="C2" s="1230" t="s">
        <v>179</v>
      </c>
      <c r="D2" s="1231"/>
      <c r="E2" s="1231"/>
      <c r="F2" s="1232"/>
      <c r="G2" s="268"/>
      <c r="BM2" s="264" t="s">
        <v>546</v>
      </c>
      <c r="BN2" s="264" t="s">
        <v>547</v>
      </c>
      <c r="CQ2" s="264" t="s">
        <v>546</v>
      </c>
      <c r="CR2" s="264" t="s">
        <v>547</v>
      </c>
      <c r="HA2" s="47"/>
      <c r="HW2" s="47"/>
      <c r="HX2" s="532"/>
      <c r="IG2" s="47"/>
    </row>
    <row r="3" spans="3:241">
      <c r="C3" s="740" t="s">
        <v>477</v>
      </c>
      <c r="D3" s="588">
        <f>'(GW) (IW) (Full) (Combo)'!M7</f>
        <v>10</v>
      </c>
      <c r="E3" s="268"/>
      <c r="F3" s="268"/>
      <c r="G3" s="268"/>
      <c r="BM3" s="264"/>
      <c r="BN3" s="264"/>
      <c r="CQ3" s="264"/>
      <c r="CR3" s="264"/>
      <c r="HA3" s="47"/>
      <c r="HW3" s="47"/>
      <c r="HX3" s="532"/>
      <c r="IG3" s="47"/>
    </row>
    <row r="4" spans="3:241" ht="15.75" thickBot="1">
      <c r="C4" s="532" t="s">
        <v>548</v>
      </c>
      <c r="D4" s="320">
        <f>MAX(Materials!E1:E3)</f>
        <v>12</v>
      </c>
      <c r="BM4" s="524">
        <f>MIN($E$15,$E$17,$E$19)</f>
        <v>6</v>
      </c>
      <c r="BN4" s="524">
        <f>MAX($E$15,$E$17,$E$19)</f>
        <v>12</v>
      </c>
      <c r="CQ4" s="524">
        <f>MIN($E$15,$E$17,$E$19)</f>
        <v>6</v>
      </c>
      <c r="CR4" s="524">
        <f>MAX($E$15,$E$17,$E$19)</f>
        <v>12</v>
      </c>
      <c r="HA4" s="47"/>
      <c r="HW4" s="47"/>
      <c r="HX4" s="532"/>
      <c r="IG4" s="47"/>
    </row>
    <row r="5" spans="3:241" ht="15.75" thickBot="1">
      <c r="C5" s="661" t="s">
        <v>549</v>
      </c>
      <c r="D5" s="482">
        <f>'Girth Weld Calc (GW)'!B2+1</f>
        <v>2</v>
      </c>
      <c r="E5" t="s">
        <v>75</v>
      </c>
      <c r="H5" s="695"/>
      <c r="K5" t="s">
        <v>550</v>
      </c>
      <c r="AS5" s="1261" t="s">
        <v>551</v>
      </c>
      <c r="AT5" s="1237"/>
      <c r="BB5" t="str">
        <f>AS12</f>
        <v>6.20 (4)</v>
      </c>
      <c r="BC5" s="320" t="str">
        <f>AS26</f>
        <v>12.15 (2)</v>
      </c>
      <c r="BD5" s="320" t="str">
        <f>AS40</f>
        <v>12.30 (2)</v>
      </c>
      <c r="BF5" t="str">
        <f>BB5</f>
        <v>6.20 (4)</v>
      </c>
      <c r="BG5" t="str">
        <f>BC5</f>
        <v>12.15 (2)</v>
      </c>
      <c r="BH5" t="str">
        <f>BD5</f>
        <v>12.30 (2)</v>
      </c>
      <c r="BJ5" t="str" cm="1">
        <f t="array" ref="BJ5">_xlfn.IFS(BF6=BJ6,BF5,BG6=BJ6,BG5,BH6=BJ6,BH5)</f>
        <v>12.15 (2)</v>
      </c>
      <c r="CF5">
        <f>BW12</f>
        <v>0</v>
      </c>
      <c r="CG5" s="320">
        <f>BW26</f>
        <v>0</v>
      </c>
      <c r="CH5" s="320" t="str">
        <f>BW40</f>
        <v>12.30 (2)</v>
      </c>
      <c r="CJ5">
        <f>CF5</f>
        <v>0</v>
      </c>
      <c r="CK5">
        <f>CG5</f>
        <v>0</v>
      </c>
      <c r="CL5" t="str">
        <f>CH5</f>
        <v>12.30 (2)</v>
      </c>
      <c r="CN5" t="str" cm="1">
        <f t="array" ref="CN5">_xlfn.IFS(CJ6=CN6,CJ5,CK6=CN6,CK5,CL6=CN6,CL5)</f>
        <v>12.30 (2)</v>
      </c>
      <c r="HA5" s="47"/>
      <c r="HW5" s="47"/>
      <c r="HX5" s="532"/>
      <c r="IG5" s="47"/>
    </row>
    <row r="6" spans="3:241" ht="45">
      <c r="C6" s="661"/>
      <c r="D6" s="358">
        <f>'Girth Weld Calc (GW)'!R7</f>
        <v>5.25</v>
      </c>
      <c r="K6" t="s">
        <v>552</v>
      </c>
      <c r="AS6" s="727" t="s">
        <v>553</v>
      </c>
      <c r="AT6" s="728">
        <v>3</v>
      </c>
      <c r="AY6" s="289" t="s">
        <v>553</v>
      </c>
      <c r="AZ6">
        <f>MIN(AZ21,AZ35,AZ49)</f>
        <v>2</v>
      </c>
      <c r="BB6">
        <f>IF($AZ21=$AZ6,$AT6,0)</f>
        <v>0</v>
      </c>
      <c r="BC6">
        <f>IF($AZ35=$AZ6,$AT6,0)</f>
        <v>3</v>
      </c>
      <c r="BD6">
        <f>IF($AZ49=$AZ6,$AT6,0)</f>
        <v>3</v>
      </c>
      <c r="BF6">
        <f>SUM(BB6:BB8)</f>
        <v>1.5</v>
      </c>
      <c r="BG6">
        <f>SUM(BC6:BC8)</f>
        <v>4</v>
      </c>
      <c r="BH6">
        <f>SUM(BD6:BD8)</f>
        <v>4</v>
      </c>
      <c r="BJ6">
        <f>MAX(BF6,BG6,BH6)</f>
        <v>4</v>
      </c>
      <c r="BM6" s="263" t="s">
        <v>554</v>
      </c>
      <c r="BN6" s="263" cm="1">
        <f t="array" ref="BN6">_xlfn.IFS(BF6=BJ6,$E$15,BG6=BJ6,$E$17,BH6=BJ6,$E$19)</f>
        <v>12</v>
      </c>
      <c r="CC6" s="289" t="s">
        <v>553</v>
      </c>
      <c r="CD6" cm="1">
        <f t="array" ref="CD6">IFERROR(MIN(_xlfn._xlws.FILTER(CHOOSE({1,2,3},CD21,CD35,CD49),CHOOSE({1,2,3},CD21,CD35,CD49)&lt;&gt;0)),0)</f>
        <v>2</v>
      </c>
      <c r="CF6">
        <f>IF($CD21=$CD6,$AT6,0)</f>
        <v>0</v>
      </c>
      <c r="CG6">
        <f>IF($CD35=$CD6,$AT6,0)</f>
        <v>0</v>
      </c>
      <c r="CH6">
        <f>IF($CD49=$CD6,$AT6,0)</f>
        <v>3</v>
      </c>
      <c r="CJ6">
        <f>SUM(CF6:CF8)</f>
        <v>0</v>
      </c>
      <c r="CK6">
        <f>SUM(CG6:CG8)</f>
        <v>0</v>
      </c>
      <c r="CL6">
        <f>SUM(CH6:CH8)</f>
        <v>4.5</v>
      </c>
      <c r="CN6">
        <f>MAX(CJ6,CK6,CL6)</f>
        <v>4.5</v>
      </c>
      <c r="CQ6" s="263" t="s">
        <v>554</v>
      </c>
      <c r="CR6" s="263" cm="1">
        <f t="array" ref="CR6">_xlfn.IFS(CJ6=CN6,$E$15,CK6=CN6,$E$17,CL6=CN6,$E$19)</f>
        <v>12</v>
      </c>
      <c r="HA6" s="47"/>
      <c r="HW6" s="47"/>
      <c r="HX6" s="532"/>
      <c r="IG6" s="47"/>
    </row>
    <row r="7" spans="3:241">
      <c r="C7" s="661" t="s">
        <v>555</v>
      </c>
      <c r="D7" s="591">
        <f>ROUNDUP(D6,0)</f>
        <v>6</v>
      </c>
      <c r="E7" s="358" t="s">
        <v>75</v>
      </c>
      <c r="F7">
        <f>ROUNDUP(D6,0)</f>
        <v>6</v>
      </c>
      <c r="G7" s="358"/>
      <c r="AS7" s="729" t="s">
        <v>556</v>
      </c>
      <c r="AT7" s="730">
        <v>1</v>
      </c>
      <c r="AY7" s="289" t="s">
        <v>556</v>
      </c>
      <c r="AZ7">
        <f>MIN(AZ22,AZ36,AZ50)</f>
        <v>2</v>
      </c>
      <c r="BB7">
        <f>IF($AZ22=$AZ7,$AT7,0)</f>
        <v>1</v>
      </c>
      <c r="BC7">
        <f>IF($AZ35=$AZ7,$AT7,0)</f>
        <v>1</v>
      </c>
      <c r="BD7">
        <f>IF($AZ50=$AZ7,$AT7,0)</f>
        <v>1</v>
      </c>
      <c r="CC7" s="289" t="s">
        <v>556</v>
      </c>
      <c r="CD7" cm="1">
        <f t="array" ref="CD7">IFERROR(MIN(_xlfn._xlws.FILTER(CHOOSE({1,2,3},CD22,CD36,CD50),CHOOSE({1,2,3},CD22,CD36,CD50)&lt;&gt;0)),0)</f>
        <v>2</v>
      </c>
      <c r="CF7">
        <f>IF($CD22=$CD7,$AT7,0)</f>
        <v>0</v>
      </c>
      <c r="CG7">
        <f>IF($CD36=$CD7,$AT7,0)</f>
        <v>0</v>
      </c>
      <c r="CH7">
        <f>IF($CD50=$CD7,$AT7,0)</f>
        <v>1</v>
      </c>
      <c r="HA7" s="47"/>
      <c r="HW7" s="47"/>
      <c r="HX7" s="532"/>
      <c r="IG7" s="47"/>
    </row>
    <row r="8" spans="3:241" ht="30.75" thickBot="1">
      <c r="C8" s="661" t="s">
        <v>557</v>
      </c>
      <c r="D8" s="490">
        <f>D7*D9*D5</f>
        <v>12</v>
      </c>
      <c r="E8" t="s">
        <v>75</v>
      </c>
      <c r="AS8" s="731" t="s">
        <v>558</v>
      </c>
      <c r="AT8" s="732">
        <v>0.5</v>
      </c>
      <c r="AY8" s="289" t="s">
        <v>558</v>
      </c>
      <c r="AZ8">
        <f>MIN(AZ23,AZ37,AZ51)</f>
        <v>-8</v>
      </c>
      <c r="BB8">
        <f>IF($AZ23=$AZ8,$AT8,0)</f>
        <v>0.5</v>
      </c>
      <c r="BC8">
        <f>IF($AZ37=$AZ8,$AT8,0)</f>
        <v>0</v>
      </c>
      <c r="BD8">
        <f>IF($AZ51=$AZ8,$AT8,0)</f>
        <v>0</v>
      </c>
      <c r="CC8" s="289" t="s">
        <v>558</v>
      </c>
      <c r="CD8" cm="1">
        <f t="array" ref="CD8">IFERROR(MIN(_xlfn._xlws.FILTER(CHOOSE({1,2,3},CD23,CD37,CD51),CHOOSE({1,2,3},CD23,CD37,CD51)&lt;&gt;0)),0)</f>
        <v>30</v>
      </c>
      <c r="CF8">
        <f>IF($CD23=$CD8,$AT8,0)</f>
        <v>0</v>
      </c>
      <c r="CG8">
        <f>IF($CD37=$CD8,$AT8,0)</f>
        <v>0</v>
      </c>
      <c r="CH8">
        <f>IF($CD51=$CD8,$AT8,0)</f>
        <v>0.5</v>
      </c>
      <c r="HA8" s="47"/>
      <c r="HW8" s="47"/>
      <c r="HX8" s="532"/>
      <c r="IG8" s="47"/>
    </row>
    <row r="9" spans="3:241" ht="15.75" thickBot="1">
      <c r="C9" s="532" t="s">
        <v>559</v>
      </c>
      <c r="D9" s="657">
        <v>1</v>
      </c>
      <c r="HA9" s="47"/>
      <c r="HW9" s="47"/>
      <c r="HX9" s="532"/>
      <c r="IG9" s="47"/>
    </row>
    <row r="10" spans="3:241" ht="15.75" thickBot="1">
      <c r="C10" s="532" t="s">
        <v>560</v>
      </c>
      <c r="D10" s="490"/>
      <c r="E10" t="s">
        <v>75</v>
      </c>
      <c r="AY10" s="592"/>
      <c r="BB10" s="1230" t="s">
        <v>561</v>
      </c>
      <c r="BC10" s="1231"/>
      <c r="BD10" s="1231"/>
      <c r="BE10" s="1231"/>
      <c r="BF10" s="1231"/>
      <c r="BG10" s="1231"/>
      <c r="BH10" s="1231"/>
      <c r="BI10" s="1232"/>
      <c r="BJ10" s="268"/>
      <c r="BK10" s="268"/>
      <c r="BL10" s="1230" t="s">
        <v>562</v>
      </c>
      <c r="BM10" s="1231"/>
      <c r="BN10" s="1231"/>
      <c r="BO10" s="1231"/>
      <c r="BP10" s="1231"/>
      <c r="BQ10" s="1231"/>
      <c r="BR10" s="1231"/>
      <c r="BS10" s="1232"/>
      <c r="BT10" s="268"/>
      <c r="BU10" s="268"/>
      <c r="BV10" s="268"/>
      <c r="BW10" s="268"/>
      <c r="BX10" s="268"/>
      <c r="BY10" s="268"/>
      <c r="BZ10" s="268"/>
      <c r="CA10" s="268"/>
      <c r="CB10" s="268"/>
      <c r="CC10" s="268"/>
      <c r="CD10" s="268"/>
      <c r="CF10" s="1230" t="s">
        <v>563</v>
      </c>
      <c r="CG10" s="1231"/>
      <c r="CH10" s="1231"/>
      <c r="CI10" s="1231"/>
      <c r="CJ10" s="1231"/>
      <c r="CK10" s="1231"/>
      <c r="CL10" s="1231"/>
      <c r="CM10" s="1232"/>
      <c r="CN10" s="268"/>
      <c r="CO10" s="268"/>
      <c r="CP10" s="1230" t="s">
        <v>564</v>
      </c>
      <c r="CQ10" s="1231"/>
      <c r="CR10" s="1231"/>
      <c r="CS10" s="1231"/>
      <c r="CT10" s="1231"/>
      <c r="CU10" s="1231"/>
      <c r="CV10" s="1231"/>
      <c r="CW10" s="1232"/>
      <c r="CX10" s="268"/>
      <c r="HA10" s="47"/>
      <c r="HD10" s="1230" t="str">
        <f>BB10</f>
        <v>OPTIMAL</v>
      </c>
      <c r="HE10" s="1231"/>
      <c r="HF10" s="1231"/>
      <c r="HG10" s="1231"/>
      <c r="HH10" s="1231"/>
      <c r="HI10" s="1231"/>
      <c r="HJ10" s="1231"/>
      <c r="HK10" s="1232"/>
      <c r="HN10" s="1230" t="str">
        <f>CF10</f>
        <v>OPTIMAL BASED ON MATERIALS</v>
      </c>
      <c r="HO10" s="1231"/>
      <c r="HP10" s="1231"/>
      <c r="HQ10" s="1231"/>
      <c r="HR10" s="1231"/>
      <c r="HS10" s="1231"/>
      <c r="HT10" s="1231"/>
      <c r="HU10" s="1232"/>
      <c r="HW10" s="47"/>
      <c r="HX10" s="532"/>
      <c r="HY10" s="1230" t="str">
        <f>HD10</f>
        <v>OPTIMAL</v>
      </c>
      <c r="HZ10" s="1231"/>
      <c r="IA10" s="1232"/>
      <c r="IC10" s="1230" t="str">
        <f>HN10</f>
        <v>OPTIMAL BASED ON MATERIALS</v>
      </c>
      <c r="ID10" s="1231"/>
      <c r="IE10" s="1232"/>
      <c r="IG10" s="47"/>
    </row>
    <row r="11" spans="3:241" ht="15.75" thickBot="1">
      <c r="C11" s="532" t="s">
        <v>565</v>
      </c>
      <c r="D11" s="359"/>
      <c r="E11" t="s">
        <v>75</v>
      </c>
      <c r="AN11" t="s">
        <v>566</v>
      </c>
      <c r="AO11" t="s">
        <v>567</v>
      </c>
      <c r="AP11" t="s">
        <v>568</v>
      </c>
      <c r="AQ11" t="s">
        <v>524</v>
      </c>
      <c r="HA11" s="47"/>
      <c r="HW11" s="47"/>
      <c r="HX11" s="532"/>
      <c r="IG11" s="47"/>
    </row>
    <row r="12" spans="3:241" ht="45.75" thickBot="1">
      <c r="C12" s="532"/>
      <c r="AE12" s="696"/>
      <c r="AH12" s="696"/>
      <c r="AN12" t="b">
        <f>IF('(GW) (IW) (Full) (Combo)'!L21=0,FALSE,TRUE)</f>
        <v>1</v>
      </c>
      <c r="AO12" s="320" t="b">
        <f>Materials!$D$1</f>
        <v>0</v>
      </c>
      <c r="AP12" s="320" t="b">
        <f>AND(AN12,AO12)</f>
        <v>0</v>
      </c>
      <c r="AQ12" t="b">
        <f>AND(AP12=TRUE,BI19=20)</f>
        <v>0</v>
      </c>
      <c r="AS12" s="1230" t="str">
        <f>"" &amp; D15 &amp; " (" &amp;ET14 &amp; ")"</f>
        <v>6.20 (4)</v>
      </c>
      <c r="AT12" s="1231"/>
      <c r="AU12" s="1231"/>
      <c r="AV12" s="1231"/>
      <c r="AW12" s="1231"/>
      <c r="AX12" s="1232"/>
      <c r="BB12" s="1230" t="str">
        <f>BJ5</f>
        <v>12.15 (2)</v>
      </c>
      <c r="BC12" s="1231"/>
      <c r="BD12" s="1231"/>
      <c r="BE12" s="1231"/>
      <c r="BF12" s="1231"/>
      <c r="BG12" s="1232"/>
      <c r="BL12" s="1230" t="str">
        <f>BB12</f>
        <v>12.15 (2)</v>
      </c>
      <c r="BM12" s="1231"/>
      <c r="BN12" s="1231"/>
      <c r="BO12" s="1231"/>
      <c r="BP12" s="1231"/>
      <c r="BQ12" s="1232"/>
      <c r="BW12" s="1230">
        <f t="shared" ref="BW12:BW19" si="0">IF($AP$12=TRUE,AS12,0)</f>
        <v>0</v>
      </c>
      <c r="BX12" s="1231"/>
      <c r="BY12" s="1231"/>
      <c r="BZ12" s="1231"/>
      <c r="CA12" s="1231"/>
      <c r="CB12" s="1232"/>
      <c r="CF12" s="1230" t="str">
        <f>CN5</f>
        <v>12.30 (2)</v>
      </c>
      <c r="CG12" s="1231"/>
      <c r="CH12" s="1231"/>
      <c r="CI12" s="1231"/>
      <c r="CJ12" s="1231"/>
      <c r="CK12" s="1232"/>
      <c r="CP12" s="1230" t="str">
        <f>CF12</f>
        <v>12.30 (2)</v>
      </c>
      <c r="CQ12" s="1231"/>
      <c r="CR12" s="1231"/>
      <c r="CS12" s="1231"/>
      <c r="CT12" s="1231"/>
      <c r="CU12" s="1232"/>
      <c r="DA12" s="263">
        <f t="shared" ref="DA12:DF12" si="1">SUM(DA14:DA19)</f>
        <v>1</v>
      </c>
      <c r="DB12" s="263">
        <f t="shared" si="1"/>
        <v>1</v>
      </c>
      <c r="DC12" s="263">
        <f t="shared" si="1"/>
        <v>1</v>
      </c>
      <c r="DD12" s="263">
        <f t="shared" si="1"/>
        <v>1</v>
      </c>
      <c r="DE12" s="263">
        <f t="shared" si="1"/>
        <v>0</v>
      </c>
      <c r="DF12" s="263">
        <f t="shared" si="1"/>
        <v>0</v>
      </c>
      <c r="DG12" s="268"/>
      <c r="DI12" s="689">
        <f t="shared" ref="DI12:DN12" si="2">SUM(DI14:DI19)</f>
        <v>6</v>
      </c>
      <c r="DJ12" s="689">
        <f t="shared" si="2"/>
        <v>6</v>
      </c>
      <c r="DK12" s="689">
        <f t="shared" si="2"/>
        <v>6</v>
      </c>
      <c r="DL12" s="689">
        <f t="shared" si="2"/>
        <v>6</v>
      </c>
      <c r="DM12" s="689">
        <f t="shared" si="2"/>
        <v>0</v>
      </c>
      <c r="DN12" s="263">
        <f t="shared" si="2"/>
        <v>0</v>
      </c>
      <c r="DO12" s="268"/>
      <c r="DP12" s="268"/>
      <c r="DQ12" s="1230" t="s">
        <v>569</v>
      </c>
      <c r="DR12" s="1231"/>
      <c r="DS12" s="1231"/>
      <c r="DT12" s="1231"/>
      <c r="DU12" s="1231"/>
      <c r="DV12" s="1232"/>
      <c r="DW12" s="268"/>
      <c r="DX12" s="268"/>
      <c r="DY12" s="1230" t="s">
        <v>570</v>
      </c>
      <c r="DZ12" s="1231"/>
      <c r="EA12" s="1231"/>
      <c r="EB12" s="1231"/>
      <c r="EC12" s="1231"/>
      <c r="ED12" s="1232"/>
      <c r="EE12" s="268"/>
      <c r="EF12" s="268"/>
      <c r="EG12" s="1230" t="s">
        <v>571</v>
      </c>
      <c r="EH12" s="1231"/>
      <c r="EI12" s="1231"/>
      <c r="EJ12" s="1231"/>
      <c r="EK12" s="1231"/>
      <c r="EL12" s="1232"/>
      <c r="EM12" s="268"/>
      <c r="EN12" s="268"/>
      <c r="EO12" s="724" t="s">
        <v>572</v>
      </c>
      <c r="EP12" s="268"/>
      <c r="EQ12" s="268"/>
      <c r="ER12" s="724" t="s">
        <v>573</v>
      </c>
      <c r="ES12" s="268"/>
      <c r="ET12" s="724" t="s">
        <v>574</v>
      </c>
      <c r="EU12" s="268"/>
      <c r="EV12" s="268"/>
      <c r="EW12" s="268"/>
      <c r="EX12" s="552" t="s">
        <v>575</v>
      </c>
      <c r="EY12" s="268"/>
      <c r="EZ12" s="721" t="s">
        <v>576</v>
      </c>
      <c r="FA12" s="268"/>
      <c r="FB12" s="552" t="s">
        <v>577</v>
      </c>
      <c r="FC12" s="268"/>
      <c r="FD12" s="552" t="s">
        <v>578</v>
      </c>
      <c r="FE12" s="268"/>
      <c r="FF12" s="552" t="s">
        <v>579</v>
      </c>
      <c r="FG12" s="268"/>
      <c r="FH12" s="552" t="s">
        <v>580</v>
      </c>
      <c r="FJ12" s="268"/>
      <c r="FK12" s="552" t="s">
        <v>581</v>
      </c>
      <c r="FL12" s="268"/>
      <c r="FM12" s="552" t="s">
        <v>582</v>
      </c>
      <c r="FN12" s="268"/>
      <c r="FO12" s="552" t="s">
        <v>583</v>
      </c>
      <c r="FP12" s="268"/>
      <c r="FQ12" s="552" t="s">
        <v>584</v>
      </c>
      <c r="FR12" s="268"/>
      <c r="FS12" s="552" t="s">
        <v>585</v>
      </c>
      <c r="FT12" s="268"/>
      <c r="FU12" s="552" t="s">
        <v>586</v>
      </c>
      <c r="FV12" s="268"/>
      <c r="FY12" s="627" t="s">
        <v>587</v>
      </c>
      <c r="FZ12" t="s">
        <v>588</v>
      </c>
      <c r="GA12" s="627" t="s">
        <v>589</v>
      </c>
      <c r="GC12" s="627" t="s">
        <v>587</v>
      </c>
      <c r="GD12" s="627" t="s">
        <v>590</v>
      </c>
      <c r="GE12" s="268"/>
      <c r="GF12" s="627" t="s">
        <v>587</v>
      </c>
      <c r="GG12" s="627" t="s">
        <v>590</v>
      </c>
      <c r="GH12" s="1"/>
      <c r="GI12" s="1"/>
      <c r="GJ12" s="627" t="s">
        <v>589</v>
      </c>
      <c r="GL12" s="627" t="s">
        <v>587</v>
      </c>
      <c r="GM12" s="627" t="s">
        <v>590</v>
      </c>
      <c r="GN12" s="268"/>
      <c r="GO12" s="627" t="s">
        <v>587</v>
      </c>
      <c r="GP12" s="627" t="s">
        <v>590</v>
      </c>
      <c r="GQ12" s="1"/>
      <c r="HA12" s="47"/>
      <c r="HD12" s="1230" t="str">
        <f>BL12</f>
        <v>12.15 (2)</v>
      </c>
      <c r="HE12" s="1231"/>
      <c r="HF12" s="1231"/>
      <c r="HG12" s="1231"/>
      <c r="HH12" s="1231"/>
      <c r="HI12" s="1232"/>
      <c r="HN12" s="1230" t="str">
        <f t="shared" ref="HN12:HN19" si="3">CP12</f>
        <v>12.30 (2)</v>
      </c>
      <c r="HO12" s="1231"/>
      <c r="HP12" s="1231"/>
      <c r="HQ12" s="1231"/>
      <c r="HR12" s="1231"/>
      <c r="HS12" s="1232"/>
      <c r="HW12" s="47"/>
      <c r="HX12" s="532"/>
      <c r="IG12" s="47"/>
    </row>
    <row r="13" spans="3:241" ht="60.75" thickBot="1">
      <c r="C13" s="532"/>
      <c r="H13" s="480" t="str">
        <f>"Linear foot per (" &amp; D7 &amp; ") ft roll"</f>
        <v>Linear foot per (6) ft roll</v>
      </c>
      <c r="I13" s="483" t="s">
        <v>271</v>
      </c>
      <c r="K13" s="483" t="s">
        <v>591</v>
      </c>
      <c r="M13" s="480" t="s">
        <v>592</v>
      </c>
      <c r="P13" s="480" t="s">
        <v>593</v>
      </c>
      <c r="R13" s="480" t="s">
        <v>594</v>
      </c>
      <c r="V13" s="480" t="s">
        <v>595</v>
      </c>
      <c r="X13" s="658" t="s">
        <v>596</v>
      </c>
      <c r="Y13" s="659" t="s">
        <v>597</v>
      </c>
      <c r="Z13" s="659" t="s">
        <v>598</v>
      </c>
      <c r="AA13" s="659" t="s">
        <v>599</v>
      </c>
      <c r="AB13" s="659" t="s">
        <v>600</v>
      </c>
      <c r="AC13" s="659" t="s">
        <v>601</v>
      </c>
      <c r="AE13" s="291" t="s">
        <v>602</v>
      </c>
      <c r="AF13" s="480" t="s">
        <v>603</v>
      </c>
      <c r="AG13" s="480" t="s">
        <v>604</v>
      </c>
      <c r="AH13" s="480" t="s">
        <v>605</v>
      </c>
      <c r="AK13" s="418" t="s">
        <v>606</v>
      </c>
      <c r="AL13" s="291" t="s">
        <v>607</v>
      </c>
      <c r="AS13" s="1256" t="s">
        <v>608</v>
      </c>
      <c r="AT13" s="1262"/>
      <c r="AU13" s="1256" t="s">
        <v>608</v>
      </c>
      <c r="AV13" s="1262"/>
      <c r="AW13" s="1256" t="s">
        <v>608</v>
      </c>
      <c r="AX13" s="1262"/>
      <c r="AY13" s="1263" t="s">
        <v>544</v>
      </c>
      <c r="AZ13" s="1234"/>
      <c r="BA13" s="268"/>
      <c r="BB13" s="1256" t="s">
        <v>608</v>
      </c>
      <c r="BC13" s="1262"/>
      <c r="BD13" s="1256" t="s">
        <v>608</v>
      </c>
      <c r="BE13" s="1262"/>
      <c r="BF13" s="1256" t="s">
        <v>608</v>
      </c>
      <c r="BG13" s="1262"/>
      <c r="BH13" s="1233" t="s">
        <v>544</v>
      </c>
      <c r="BI13" s="1234"/>
      <c r="BJ13" s="268"/>
      <c r="BK13" s="268"/>
      <c r="BL13" s="1230" t="s">
        <v>608</v>
      </c>
      <c r="BM13" s="1264"/>
      <c r="BN13" s="1265" t="s">
        <v>608</v>
      </c>
      <c r="BO13" s="1264"/>
      <c r="BP13" s="1265" t="s">
        <v>608</v>
      </c>
      <c r="BQ13" s="1232"/>
      <c r="BR13" s="1233" t="s">
        <v>544</v>
      </c>
      <c r="BS13" s="1234"/>
      <c r="BT13" s="268"/>
      <c r="BU13" s="268"/>
      <c r="BV13" s="268"/>
      <c r="BW13" s="1256" t="s">
        <v>608</v>
      </c>
      <c r="BX13" s="1262"/>
      <c r="BY13" s="1256" t="s">
        <v>608</v>
      </c>
      <c r="BZ13" s="1262"/>
      <c r="CA13" s="1256" t="s">
        <v>608</v>
      </c>
      <c r="CB13" s="1262"/>
      <c r="CC13" s="1233" t="s">
        <v>544</v>
      </c>
      <c r="CD13" s="1234"/>
      <c r="CE13" s="268"/>
      <c r="CF13" s="1256" t="s">
        <v>608</v>
      </c>
      <c r="CG13" s="1262"/>
      <c r="CH13" s="1256" t="s">
        <v>608</v>
      </c>
      <c r="CI13" s="1262"/>
      <c r="CJ13" s="1256" t="s">
        <v>608</v>
      </c>
      <c r="CK13" s="1262"/>
      <c r="CL13" s="1233" t="s">
        <v>544</v>
      </c>
      <c r="CM13" s="1234"/>
      <c r="CN13" s="268"/>
      <c r="CO13" s="268"/>
      <c r="CP13" s="1261" t="s">
        <v>608</v>
      </c>
      <c r="CQ13" s="1262"/>
      <c r="CR13" s="1256" t="s">
        <v>608</v>
      </c>
      <c r="CS13" s="1262"/>
      <c r="CT13" s="1256" t="s">
        <v>608</v>
      </c>
      <c r="CU13" s="1237"/>
      <c r="CV13" s="1233" t="s">
        <v>544</v>
      </c>
      <c r="CW13" s="1234"/>
      <c r="CX13" s="268"/>
      <c r="CY13" s="268"/>
      <c r="EO13" s="374"/>
      <c r="ER13" s="374"/>
      <c r="ET13" s="374"/>
      <c r="GH13" s="1"/>
      <c r="GI13" s="1"/>
      <c r="GQ13" s="1"/>
      <c r="GS13" s="724" t="s">
        <v>437</v>
      </c>
      <c r="HA13" s="47"/>
      <c r="HD13" s="1266" t="str">
        <f>BL13</f>
        <v>12"</v>
      </c>
      <c r="HE13" s="1267"/>
      <c r="HF13" s="1266" t="str">
        <f>BD13</f>
        <v>12"</v>
      </c>
      <c r="HG13" s="1267"/>
      <c r="HH13" s="1266" t="str">
        <f>BF13</f>
        <v>12"</v>
      </c>
      <c r="HI13" s="1267"/>
      <c r="HJ13" s="1266" t="str">
        <f>BH13</f>
        <v>OVERFLOW</v>
      </c>
      <c r="HK13" s="1267"/>
      <c r="HN13" s="1266" t="str">
        <f t="shared" si="3"/>
        <v>12"</v>
      </c>
      <c r="HO13" s="1267"/>
      <c r="HP13" s="1266" t="str">
        <f>BN13</f>
        <v>12"</v>
      </c>
      <c r="HQ13" s="1267"/>
      <c r="HR13" s="1266" t="str">
        <f>BP13</f>
        <v>12"</v>
      </c>
      <c r="HS13" s="1267"/>
      <c r="HT13" s="1266" t="str">
        <f>BR13</f>
        <v>OVERFLOW</v>
      </c>
      <c r="HU13" s="1267"/>
      <c r="HW13" s="47"/>
      <c r="HX13" s="532"/>
      <c r="HY13" s="693" t="s">
        <v>90</v>
      </c>
      <c r="HZ13" s="694" t="s">
        <v>91</v>
      </c>
      <c r="IC13" s="693" t="s">
        <v>90</v>
      </c>
      <c r="ID13" s="694" t="s">
        <v>91</v>
      </c>
      <c r="IG13" s="47"/>
    </row>
    <row r="14" spans="3:241" ht="16.5" thickBot="1">
      <c r="C14" s="532"/>
      <c r="E14" s="264" t="s">
        <v>609</v>
      </c>
      <c r="F14" s="264" t="s">
        <v>84</v>
      </c>
      <c r="X14" s="532"/>
      <c r="AS14" s="690" t="str">
        <f t="shared" ref="AS14:AX14" si="4">_xlfn.LET(
_xlpm.total,IF($H$15=0,$D$7,$AL$15),
_xlpm.fullName,IF($H$15=0,$AH$15,$AC$15),
_xlpm.leftName,$AE$15,
_xlpm.perNum,$Z$15,
_xlpm.allowCols,IF($D$5=1,1,$AF$15),
_xlpm.fullCount,INT(_xlpm.total/_xlpm.fullName),
_xlpm.leftOver,MOD(_xlpm.total,_xlpm.fullName),
_xlpm.maxCount,_xlpm.fullCount+IF(_xlpm.leftOver&gt;0,1,0),
_xlpm.rowsPerCol,IF($H$15=0,_xlpm.maxCount,$D$9),
_xlpm.rowInCol,ROW()-ROW($AS$14)+1,
_xlpm.colBlock,INT((COLUMN()-COLUMN($AS$14))/2),
_xlpm.n,IF(
    $H$15=0,
    _xlpm.rowInCol,
    (_xlpm.rowInCol-1)*_xlpm.allowCols+_xlpm.colBlock+1
),
IF($H$15&lt;&gt;0,
    IF(OR(
        _xlpm.rowInCol&gt;_xlpm.rowsPerCol,
        _xlpm.colBlock+1&gt;_xlpm.allowCols,
        _xlpm.n&gt;$AF$15*$AK$15
    ),
        "",
        TEXT(_xlpm.fullName,"0.00")&amp;" ("&amp;ROUNDUP(_xlpm.n/_xlpm.perNum,0)&amp;")"
    ),
    IF(OR(_xlpm.rowInCol&gt;_xlpm.rowsPerCol,_xlpm.colBlock+1&gt;_xlpm.allowCols),
        "",
        IF(_xlpm.n&lt;=_xlpm.fullCount,
            TEXT(_xlpm.fullName,"0")&amp;"' ("&amp;_xlpm.n&amp;")",
            TEXT(_xlpm.leftName,"0")&amp;"' ("&amp;_xlpm.n&amp;")"
        )
    )
)
)</f>
        <v xml:space="preserve"> 6' (1)</v>
      </c>
      <c r="AT14" s="713" t="str">
        <f t="shared" si="4"/>
        <v xml:space="preserve"> 6' (1)</v>
      </c>
      <c r="AU14" s="690" t="str">
        <f t="shared" si="4"/>
        <v xml:space="preserve"> 6' (2)</v>
      </c>
      <c r="AV14" s="713" t="str">
        <f t="shared" si="4"/>
        <v xml:space="preserve"> 6' (2)</v>
      </c>
      <c r="AW14" s="690" t="str">
        <f t="shared" si="4"/>
        <v/>
      </c>
      <c r="AX14" s="713" t="str">
        <f t="shared" si="4"/>
        <v/>
      </c>
      <c r="AY14" s="1268" t="str">
        <f>GY14</f>
        <v>Total -8'</v>
      </c>
      <c r="AZ14" s="1269"/>
      <c r="BA14" s="1"/>
      <c r="BB14" s="1261" t="str" cm="1">
        <f t="array" ref="BB14">_xlfn.IFS($AS$12=$BB$12,AS14,$AS$26=$BB$12,AS28,$AS$40=$BB$12,AS42)</f>
        <v xml:space="preserve"> 6' (1)</v>
      </c>
      <c r="BC14" s="1237"/>
      <c r="BD14" s="1261" t="str" cm="1">
        <f t="array" ref="BD14">_xlfn.IFS($AS$12=$BB$12,AU14,$AS$26=$BB$12,AU28,$AS$40=$BB$12,AU42)</f>
        <v xml:space="preserve"> 6' (1)</v>
      </c>
      <c r="BE14" s="1237"/>
      <c r="BF14" s="1261" t="str" cm="1">
        <f t="array" ref="BF14">_xlfn.IFS($AS$12=$BB$12,AW14,$AS$26=$BB$12,AW28,$AS$40=$BB$12,AW42)</f>
        <v/>
      </c>
      <c r="BG14" s="1237"/>
      <c r="BH14" s="1261" t="str" cm="1">
        <f t="array" ref="BH14">_xlfn.IFS($AS$12=$BB$12,AY14,$AS$26=$BB$12,AY28,$AS$40=$BB$12,AY42)</f>
        <v>Total 15'</v>
      </c>
      <c r="BI14" s="1237"/>
      <c r="BJ14" s="268"/>
      <c r="BK14" s="268"/>
      <c r="BL14" s="737" t="str">
        <f t="shared" ref="BL14:BM19" si="5">IF($BN$6=$BN$4,BB28,BB42)</f>
        <v>                6</v>
      </c>
      <c r="BM14" s="739" t="str">
        <f t="shared" si="5"/>
        <v>' (1)          ┃</v>
      </c>
      <c r="BN14" s="739" t="str">
        <f t="shared" ref="BN14:BN19" si="6">IF($BN$6=$BN$4,BD28,BD42)</f>
        <v>                6</v>
      </c>
      <c r="BO14" s="739" t="str">
        <f t="shared" ref="BO14:BO19" si="7">IF($BN$6=$BN$4,BE28,BE42)</f>
        <v>' (1)          ┃</v>
      </c>
      <c r="BP14" s="739" t="str">
        <f t="shared" ref="BP14:BP19" si="8">IF($BN$6=$BN$4,BF28,BF42)</f>
        <v/>
      </c>
      <c r="BQ14" s="733" t="str">
        <f t="shared" ref="BQ14:BQ19" si="9">IF($BN$6=$BN$4,BG28,BG42)</f>
        <v>          ┃          ┃</v>
      </c>
      <c r="BR14" s="1270" t="str">
        <f>BH14</f>
        <v>Total 15'</v>
      </c>
      <c r="BS14" s="1267"/>
      <c r="BT14" s="268"/>
      <c r="BU14" s="268"/>
      <c r="BV14" s="268"/>
      <c r="BW14" s="1261">
        <f t="shared" si="0"/>
        <v>0</v>
      </c>
      <c r="BX14" s="1262"/>
      <c r="BY14" s="1256">
        <f t="shared" ref="BY14:BY19" si="10">IF($AP$12=TRUE,AU14,0)</f>
        <v>0</v>
      </c>
      <c r="BZ14" s="1262"/>
      <c r="CA14" s="1256">
        <f t="shared" ref="CA14:CA19" si="11">IF($AP$12=TRUE,AW14,0)</f>
        <v>0</v>
      </c>
      <c r="CB14" s="1262"/>
      <c r="CC14" s="1265">
        <f>IF($AP$12=TRUE,AY14,0)</f>
        <v>0</v>
      </c>
      <c r="CD14" s="1232"/>
      <c r="CE14" s="1"/>
      <c r="CF14" s="1261" t="str" cm="1">
        <f t="array" ref="CF14">_xlfn.IFS($BW$12=$CF$12,BW14,$BW$26=$CF$12,BW28,$BW$40=$CF$12,BW42)</f>
        <v xml:space="preserve"> 6' (1)</v>
      </c>
      <c r="CG14" s="1237"/>
      <c r="CH14" s="1261" t="str" cm="1">
        <f t="array" ref="CH14">_xlfn.IFS($BW$12=$CF$12,BY14,$BW$26=$CF$12,BY28,$BW$40=$CF$12,BY42)</f>
        <v xml:space="preserve"> 6' (1)</v>
      </c>
      <c r="CI14" s="1237"/>
      <c r="CJ14" s="1261" t="str" cm="1">
        <f t="array" ref="CJ14">_xlfn.IFS($BW$12=$CF$12,CA14,$BW$26=$CF$12,CA28,$BW$40=$CF$12,CA42)</f>
        <v/>
      </c>
      <c r="CK14" s="1237"/>
      <c r="CL14" s="1261" t="str" cm="1">
        <f t="array" ref="CL14">_xlfn.IFS($BW$12=$CF$12,CC14,$BW$26=$CF$12,CC28,$BW$40=$CF$12,CC42)</f>
        <v>Total 30'</v>
      </c>
      <c r="CM14" s="1237"/>
      <c r="CN14" s="268"/>
      <c r="CO14" s="734"/>
      <c r="CP14" s="737" t="str">
        <f t="shared" ref="CP14:CP19" si="12">IF($CR$6=$CR$4,CF28,CF42)</f>
        <v>                6</v>
      </c>
      <c r="CQ14" s="739" t="str">
        <f t="shared" ref="CQ14:CU19" si="13">IF($CR$6=$CR$4,CG28,CG42)</f>
        <v>' (1)          ┃</v>
      </c>
      <c r="CR14" s="739" t="str">
        <f t="shared" si="13"/>
        <v>                6</v>
      </c>
      <c r="CS14" s="739" t="str">
        <f t="shared" si="13"/>
        <v>' (1)          ┃</v>
      </c>
      <c r="CT14" s="739" t="str">
        <f t="shared" si="13"/>
        <v/>
      </c>
      <c r="CU14" s="733" t="str">
        <f t="shared" si="13"/>
        <v>          ┃          ┃</v>
      </c>
      <c r="CV14" s="1270" t="str">
        <f>CL14</f>
        <v>Total 30'</v>
      </c>
      <c r="CW14" s="1267"/>
      <c r="CX14" s="268"/>
      <c r="CY14" s="1"/>
      <c r="DA14" s="689">
        <f t="shared" ref="DA14:DF19" si="14">IF(LEN(AS14)&gt;0,1,0)</f>
        <v>1</v>
      </c>
      <c r="DB14" s="689">
        <f t="shared" si="14"/>
        <v>1</v>
      </c>
      <c r="DC14" s="689">
        <f t="shared" si="14"/>
        <v>1</v>
      </c>
      <c r="DD14" s="689">
        <f t="shared" si="14"/>
        <v>1</v>
      </c>
      <c r="DE14" s="689">
        <f t="shared" si="14"/>
        <v>0</v>
      </c>
      <c r="DF14" s="689">
        <f t="shared" si="14"/>
        <v>0</v>
      </c>
      <c r="DG14" s="268"/>
      <c r="DI14" s="689">
        <f t="shared" ref="DI14:DN19" si="15">IF(AS14="","",--_xlfn.TEXTBEFORE(AS14,"'"))</f>
        <v>6</v>
      </c>
      <c r="DJ14" s="689">
        <f t="shared" si="15"/>
        <v>6</v>
      </c>
      <c r="DK14" s="689">
        <f t="shared" si="15"/>
        <v>6</v>
      </c>
      <c r="DL14" s="689">
        <f t="shared" si="15"/>
        <v>6</v>
      </c>
      <c r="DM14" s="689" t="str">
        <f t="shared" si="15"/>
        <v/>
      </c>
      <c r="DN14" s="263" t="str">
        <f t="shared" si="15"/>
        <v/>
      </c>
      <c r="DO14" s="268"/>
      <c r="DP14" s="268"/>
      <c r="DQ14" s="689">
        <f t="shared" ref="DQ14:DV19" si="16">IF(DI14=$GS$15,DI14,"")</f>
        <v>6</v>
      </c>
      <c r="DR14" s="689">
        <f t="shared" si="16"/>
        <v>6</v>
      </c>
      <c r="DS14" s="689">
        <f t="shared" si="16"/>
        <v>6</v>
      </c>
      <c r="DT14" s="689">
        <f t="shared" si="16"/>
        <v>6</v>
      </c>
      <c r="DU14" s="689" t="str">
        <f t="shared" si="16"/>
        <v/>
      </c>
      <c r="DV14" s="263" t="str">
        <f t="shared" si="16"/>
        <v/>
      </c>
      <c r="DW14" s="268"/>
      <c r="DX14" s="268"/>
      <c r="DY14" s="689" t="str">
        <f t="shared" ref="DY14:ED19" si="17">IF(DQ14=$GS$15,"",IF(DI14="","",IF(DI14=$GS$15,$AH$15-DI14,$AH$15-$AD$15)))</f>
        <v/>
      </c>
      <c r="DZ14" s="689" t="str">
        <f t="shared" si="17"/>
        <v/>
      </c>
      <c r="EA14" s="689" t="str">
        <f t="shared" si="17"/>
        <v/>
      </c>
      <c r="EB14" s="689" t="str">
        <f t="shared" si="17"/>
        <v/>
      </c>
      <c r="EC14" s="689" t="str">
        <f t="shared" si="17"/>
        <v/>
      </c>
      <c r="ED14" s="263" t="str">
        <f t="shared" si="17"/>
        <v/>
      </c>
      <c r="EG14" s="506">
        <f t="shared" ref="EG14:EG19" si="18">IF(DI14="","",$F$15-DI14)</f>
        <v>14</v>
      </c>
      <c r="EH14" s="506">
        <f t="shared" ref="EH14:EL19" si="19">IF(DJ14="","",$F$15-DJ14)</f>
        <v>14</v>
      </c>
      <c r="EI14" s="506">
        <f t="shared" si="19"/>
        <v>14</v>
      </c>
      <c r="EJ14" s="506">
        <f t="shared" si="19"/>
        <v>14</v>
      </c>
      <c r="EK14" s="506" t="str">
        <f t="shared" si="19"/>
        <v/>
      </c>
      <c r="EL14" s="524" t="str">
        <f t="shared" si="19"/>
        <v/>
      </c>
      <c r="EO14" s="724">
        <f>COUNT(DQ14:DV19)</f>
        <v>4</v>
      </c>
      <c r="ER14" s="725">
        <f>IF(EZ17=0,GL14+GO14,0)</f>
        <v>0</v>
      </c>
      <c r="ET14" s="725">
        <f>EO14+ER14</f>
        <v>4</v>
      </c>
      <c r="EX14" s="718">
        <f>MAX(DY14:ED19)</f>
        <v>0</v>
      </c>
      <c r="EY14" s="320"/>
      <c r="EZ14" s="320"/>
      <c r="FA14" s="320"/>
      <c r="FB14" s="718">
        <f>IF(IFERROR(ROUNDDOWN($F$15/EX14,0),0)&lt;=FU14,IFERROR(ROUNDDOWN($F$15/EX14,0),0),FU14)</f>
        <v>0</v>
      </c>
      <c r="FC14" s="320"/>
      <c r="FD14" s="718">
        <f>FB14*EX14</f>
        <v>0</v>
      </c>
      <c r="FE14" s="320"/>
      <c r="FF14" s="718">
        <f>IF($F$15-FD14=$F$15,0,$F$15-FD14)</f>
        <v>0</v>
      </c>
      <c r="FG14" s="320"/>
      <c r="FH14" s="718">
        <f>IFERROR(ROUNDDOWN(FK14/FD14,0),0)</f>
        <v>0</v>
      </c>
      <c r="FJ14" s="268"/>
      <c r="FK14" s="632">
        <f>SUM(DY14:ED19)</f>
        <v>0</v>
      </c>
      <c r="FM14" s="718">
        <f>IF($F$15-(FK14-FD14)=$F$15,0,$F$15-(FK14-FD14))</f>
        <v>0</v>
      </c>
      <c r="FN14" s="320"/>
      <c r="FO14" s="718">
        <f>IF(FM14=0,0,1)</f>
        <v>0</v>
      </c>
      <c r="FQ14" s="632">
        <f>IFERROR(IF(FF14=0,0,ROUNDUP(FK14/$F$15,0)),0)</f>
        <v>0</v>
      </c>
      <c r="FS14" s="718">
        <f>FQ14*$F$15</f>
        <v>0</v>
      </c>
      <c r="FU14" s="632">
        <f>COUNT(DY14:ED19)</f>
        <v>0</v>
      </c>
      <c r="FY14" s="720">
        <f>GC14+GF14</f>
        <v>0</v>
      </c>
      <c r="GA14" s="718">
        <f>(GC14*GD14)+(GF14*GG14)</f>
        <v>0</v>
      </c>
      <c r="GC14" s="687">
        <f>FH14</f>
        <v>0</v>
      </c>
      <c r="GD14" s="719">
        <f>FF14</f>
        <v>0</v>
      </c>
      <c r="GE14" s="1" t="s">
        <v>441</v>
      </c>
      <c r="GF14" s="687">
        <f>FO14</f>
        <v>0</v>
      </c>
      <c r="GG14" s="719">
        <f>FM14</f>
        <v>0</v>
      </c>
      <c r="GH14" s="1"/>
      <c r="GI14" s="1"/>
      <c r="GJ14" s="718">
        <f>IF($EZ$17=0,GA14,GA17)</f>
        <v>-8</v>
      </c>
      <c r="GL14" s="718">
        <f>IF($EZ$17=0,GC14,GC17)</f>
        <v>1</v>
      </c>
      <c r="GM14" s="718">
        <f>IF($EZ$17=0,GD14,GD17)</f>
        <v>14</v>
      </c>
      <c r="GN14" s="1" t="s">
        <v>441</v>
      </c>
      <c r="GO14" s="718">
        <f>IF($EZ$17=0,GF14,GF17)</f>
        <v>1</v>
      </c>
      <c r="GP14" s="718">
        <f>IF($EZ$17=0,GG14,GG17)</f>
        <v>-22</v>
      </c>
      <c r="GQ14" s="1"/>
      <c r="GS14" s="374"/>
      <c r="GY14" s="1271" t="str">
        <f>"Total " &amp; GJ14&amp; "'"</f>
        <v>Total -8'</v>
      </c>
      <c r="GZ14" s="1272"/>
      <c r="HA14" s="12"/>
      <c r="HB14" s="1"/>
      <c r="HC14" s="1"/>
      <c r="HD14" s="528" t="str">
        <f>BL14</f>
        <v>                6</v>
      </c>
      <c r="HE14" s="210" t="str">
        <f>BM14</f>
        <v>' (1)          ┃</v>
      </c>
      <c r="HF14" s="210" t="str">
        <f t="shared" ref="HF14:HI19" si="20">BN14</f>
        <v>                6</v>
      </c>
      <c r="HG14" s="210" t="str">
        <f t="shared" si="20"/>
        <v>' (1)          ┃</v>
      </c>
      <c r="HH14" s="210" t="str">
        <f t="shared" si="20"/>
        <v/>
      </c>
      <c r="HI14" s="211" t="str">
        <f t="shared" si="20"/>
        <v>          ┃          ┃</v>
      </c>
      <c r="HJ14" s="1270" t="str">
        <f>BR14</f>
        <v>Total 15'</v>
      </c>
      <c r="HK14" s="1267"/>
      <c r="HL14" s="1"/>
      <c r="HN14" s="528" t="str">
        <f t="shared" si="3"/>
        <v>                6</v>
      </c>
      <c r="HO14" s="210" t="str">
        <f t="shared" ref="HO14:HS19" si="21">CQ14</f>
        <v>' (1)          ┃</v>
      </c>
      <c r="HP14" s="210" t="str">
        <f t="shared" si="21"/>
        <v>                6</v>
      </c>
      <c r="HQ14" s="210" t="str">
        <f t="shared" si="21"/>
        <v>' (1)          ┃</v>
      </c>
      <c r="HR14" s="210" t="str">
        <f t="shared" si="21"/>
        <v/>
      </c>
      <c r="HS14" s="211" t="str">
        <f t="shared" si="21"/>
        <v>          ┃          ┃</v>
      </c>
      <c r="HT14" s="1230" t="str">
        <f t="shared" ref="HT14:HT19" si="22">CV14</f>
        <v>Total 30'</v>
      </c>
      <c r="HU14" s="1232"/>
      <c r="HW14" s="47"/>
      <c r="HX14" s="532"/>
      <c r="HY14" s="439" t="s">
        <v>243</v>
      </c>
      <c r="HZ14" s="438">
        <f>IF(HK$19=$F$15,HK$18,0)</f>
        <v>0</v>
      </c>
      <c r="IC14" s="439" t="s">
        <v>243</v>
      </c>
      <c r="ID14" s="438">
        <f>IF(HU$19=$F$15,HU$18,0)</f>
        <v>0</v>
      </c>
      <c r="IG14" s="47"/>
    </row>
    <row r="15" spans="3:241" ht="16.5" thickBot="1">
      <c r="C15" s="1273" t="s">
        <v>275</v>
      </c>
      <c r="D15" s="595" t="str">
        <f>TEXT(6.2,"0.00")</f>
        <v>6.20</v>
      </c>
      <c r="E15" s="712">
        <f>Materials!E1</f>
        <v>6</v>
      </c>
      <c r="F15" s="712">
        <f>Materials!F1</f>
        <v>20</v>
      </c>
      <c r="H15" s="465">
        <f>ROUNDDOWN((F15/D7),0)/(D4/E15)</f>
        <v>1.5</v>
      </c>
      <c r="I15" s="483" t="str">
        <f>"which is (" &amp; (H15) &amp; ") pieces of (" &amp; (D7) &amp; ") ft equal length from 12 inch roll"</f>
        <v>which is (1.5) pieces of (6) ft equal length from 12 inch roll</v>
      </c>
      <c r="K15" s="484" t="str">
        <f>"which is (" &amp; (H15) &amp; ") Linear foot total"</f>
        <v>which is (1.5) Linear foot total</v>
      </c>
      <c r="M15" s="486">
        <f>IF(((D5)-(H15))&lt;=0,0,((D5)-(H15)))</f>
        <v>0.5</v>
      </c>
      <c r="N15" t="str">
        <f>"which are (" &amp; (D7) &amp; ") ft in length"</f>
        <v>which are (6) ft in length</v>
      </c>
      <c r="P15" s="484">
        <f>IFERROR(ROUNDUP(M15/H15,0),M15)</f>
        <v>1</v>
      </c>
      <c r="R15" s="491">
        <f>((P15)+(H15))</f>
        <v>2.5</v>
      </c>
      <c r="T15" s="325">
        <f>IFERROR(R15/H15,R15)*2</f>
        <v>3.3333333333333335</v>
      </c>
      <c r="V15" s="325">
        <f>ROUNDUP(T15,0)</f>
        <v>4</v>
      </c>
      <c r="W15" s="711">
        <f>ROUNDUP(D7/F15,0)</f>
        <v>1</v>
      </c>
      <c r="X15" s="776">
        <v>12.15</v>
      </c>
      <c r="Y15" s="765">
        <f>V15</f>
        <v>4</v>
      </c>
      <c r="Z15" s="765">
        <f>IF((H15)=0,IFERROR(ROUNDUP(IF(((D5)-(H15))&lt;=0,0,((D5)-(H15)))/(H15),0),IF(((D5)-(H15))&lt;=0,0,((D5)-(H15))))+(H15),(H15))</f>
        <v>1.5</v>
      </c>
      <c r="AA15" s="765">
        <f>(Y15*Z15)</f>
        <v>6</v>
      </c>
      <c r="AB15" s="594">
        <f>(AA15/D9)</f>
        <v>6</v>
      </c>
      <c r="AC15" s="491" t="str">
        <f>" " &amp; D7 &amp; "'"</f>
        <v xml:space="preserve"> 6'</v>
      </c>
      <c r="AD15" s="711">
        <f>(W15*AH15)-D7</f>
        <v>14</v>
      </c>
      <c r="AE15" s="263">
        <f>D7-(ROUNDDOWN(D7/F15,0)*F15)</f>
        <v>6</v>
      </c>
      <c r="AF15" s="686">
        <f>D5</f>
        <v>2</v>
      </c>
      <c r="AG15" s="685">
        <f>IFERROR(ROUNDUP(AF15/AB15,0),0)</f>
        <v>1</v>
      </c>
      <c r="AH15" s="524">
        <f>F15</f>
        <v>20</v>
      </c>
      <c r="AK15" s="685">
        <f>AG15*AA15</f>
        <v>6</v>
      </c>
      <c r="AL15" s="263">
        <f>AF15*AK15</f>
        <v>12</v>
      </c>
      <c r="AS15" s="691" t="str">
        <f t="shared" ref="AS15:AX19" si="23">_xlfn.LET(
_xlpm.total,IF($H$15=0,$D$7,$AL$15),
_xlpm.fullName,IF($H$15=0,$AH$15,$AC$15),
_xlpm.leftName,$AE$15,
_xlpm.perNum,$Z$15,
_xlpm.allowCols,IF($D$5=1,1,$AF$15),
_xlpm.fullCount,INT(_xlpm.total/_xlpm.fullName),
_xlpm.leftOver,MOD(_xlpm.total,_xlpm.fullName),
_xlpm.maxCount,_xlpm.fullCount+IF(_xlpm.leftOver&gt;0,1,0),
_xlpm.rowsPerCol,IF($H$15=0,_xlpm.maxCount,$D$9),
_xlpm.rowInCol,ROW()-ROW($AS$14)+1,
_xlpm.colBlock,INT((COLUMN()-COLUMN($AS$14))/2),
_xlpm.n,IF(
    $H$15=0,
    _xlpm.rowInCol,
    (_xlpm.rowInCol-1)*_xlpm.allowCols+_xlpm.colBlock+1
),
IF($H$15&lt;&gt;0,
    IF(OR(
        _xlpm.rowInCol&gt;_xlpm.rowsPerCol,
        _xlpm.colBlock+1&gt;_xlpm.allowCols,
        _xlpm.n&gt;$AF$15*$AK$15
    ),
        "",
        TEXT(_xlpm.fullName,"0.00")&amp;" ("&amp;ROUNDUP(_xlpm.n/_xlpm.perNum,0)&amp;")"
    ),
    IF(OR(_xlpm.rowInCol&gt;_xlpm.rowsPerCol,_xlpm.colBlock+1&gt;_xlpm.allowCols),
        "",
        IF(_xlpm.n&lt;=_xlpm.fullCount,
            TEXT(_xlpm.fullName,"0")&amp;"' ("&amp;_xlpm.n&amp;")",
            TEXT(_xlpm.leftName,"0")&amp;"' ("&amp;_xlpm.n&amp;")"
        )
    )
)
)</f>
        <v/>
      </c>
      <c r="AT15" s="714" t="str">
        <f t="shared" si="23"/>
        <v/>
      </c>
      <c r="AU15" s="691" t="str">
        <f t="shared" si="23"/>
        <v/>
      </c>
      <c r="AV15" s="714" t="str">
        <f t="shared" si="23"/>
        <v/>
      </c>
      <c r="AW15" s="691" t="str">
        <f t="shared" si="23"/>
        <v/>
      </c>
      <c r="AX15" s="714" t="str">
        <f t="shared" si="23"/>
        <v/>
      </c>
      <c r="AY15" s="455">
        <f>GY15</f>
        <v>1</v>
      </c>
      <c r="AZ15" s="455" t="str">
        <f>GZ15</f>
        <v>14' rolls</v>
      </c>
      <c r="BA15" s="1"/>
      <c r="BB15" s="1260" t="str" cm="1">
        <f t="array" ref="BB15">_xlfn.IFS($AS$12=$BB$12,AS15,$AS$26=$BB$12,AS29,$AS$40=$BB$12,AS43)</f>
        <v/>
      </c>
      <c r="BC15" s="1226"/>
      <c r="BD15" s="1260" t="str" cm="1">
        <f t="array" ref="BD15">_xlfn.IFS($AS$12=$BB$12,AU15,$AS$26=$BB$12,AU29,$AS$40=$BB$12,AU43)</f>
        <v/>
      </c>
      <c r="BE15" s="1226"/>
      <c r="BF15" s="1260" t="str" cm="1">
        <f t="array" ref="BF15">_xlfn.IFS($AS$12=$BB$12,AW15,$AS$26=$BB$12,AW29,$AS$40=$BB$12,AW43)</f>
        <v/>
      </c>
      <c r="BG15" s="1226"/>
      <c r="BH15" s="637" cm="1">
        <f t="array" ref="BH15">_xlfn.IFS($AS$12=$BB$12,AY15,$AS$26=$BB$12,AY29,$AS$40=$BB$12,AY43)</f>
        <v>1</v>
      </c>
      <c r="BI15" s="648" t="str" cm="1">
        <f t="array" ref="BI15">_xlfn.IFS($AS$12=$BB$12,AZ15,$AS$26=$BB$12,AZ29,$AS$40=$BB$12,AZ43)</f>
        <v>9' rolls</v>
      </c>
      <c r="BJ15" s="1"/>
      <c r="BK15" s="1"/>
      <c r="BL15" s="740" t="str">
        <f t="shared" si="5"/>
        <v/>
      </c>
      <c r="BM15" s="734" t="str">
        <f t="shared" si="5"/>
        <v>                 ┃          ┃</v>
      </c>
      <c r="BN15" s="734" t="str">
        <f t="shared" si="6"/>
        <v/>
      </c>
      <c r="BO15" s="734" t="str">
        <f t="shared" si="7"/>
        <v>                 ┃          ┃</v>
      </c>
      <c r="BP15" s="734" t="str">
        <f t="shared" si="8"/>
        <v/>
      </c>
      <c r="BQ15" s="735" t="str">
        <f t="shared" si="9"/>
        <v>          ┃          ┃</v>
      </c>
      <c r="BR15" s="633">
        <f>BH15</f>
        <v>1</v>
      </c>
      <c r="BS15" s="633" t="str">
        <f>BI15</f>
        <v>9' rolls</v>
      </c>
      <c r="BT15" s="1"/>
      <c r="BU15" s="1"/>
      <c r="BV15" s="1"/>
      <c r="BW15" s="1260">
        <f t="shared" si="0"/>
        <v>0</v>
      </c>
      <c r="BX15" s="1239"/>
      <c r="BY15" s="1238">
        <f t="shared" si="10"/>
        <v>0</v>
      </c>
      <c r="BZ15" s="1239"/>
      <c r="CA15" s="1238">
        <f t="shared" si="11"/>
        <v>0</v>
      </c>
      <c r="CB15" s="1226"/>
      <c r="CC15" s="637">
        <f>IF($AP$12=TRUE,AY15,0)</f>
        <v>0</v>
      </c>
      <c r="CD15" s="44">
        <f>IF($AP$12=TRUE,AZ15,0)</f>
        <v>0</v>
      </c>
      <c r="CE15" s="1"/>
      <c r="CF15" s="1260" t="str" cm="1">
        <f t="array" ref="CF15">_xlfn.IFS($BW$12=$CF$12,BW15,$BW$26=$CF$12,BW29,$BW$40=$CF$12,BW43)</f>
        <v/>
      </c>
      <c r="CG15" s="1226"/>
      <c r="CH15" s="1260" t="str" cm="1">
        <f t="array" ref="CH15">_xlfn.IFS($BW$12=$CF$12,BY15,$BW$26=$CF$12,BY29,$BW$40=$CF$12,BY43)</f>
        <v/>
      </c>
      <c r="CI15" s="1226"/>
      <c r="CJ15" s="1260" t="str" cm="1">
        <f t="array" ref="CJ15">_xlfn.IFS($BW$12=$CF$12,CA15,$BW$26=$CF$12,CA29,$BW$40=$CF$12,CA43)</f>
        <v/>
      </c>
      <c r="CK15" s="1226"/>
      <c r="CL15" s="637" cm="1">
        <f t="array" ref="CL15">_xlfn.IFS($BW$12=$CF$12,CC15,$BW$26=$CF$12,CC29,$BW$40=$CF$12,CC43)</f>
        <v>1</v>
      </c>
      <c r="CM15" s="637" t="str" cm="1">
        <f t="array" ref="CM15">_xlfn.IFS($BW$12=$CF$12,CD15,$BW$26=$CF$12,CD29,$BW$40=$CF$12,CD43)</f>
        <v>24' rolls</v>
      </c>
      <c r="CN15" s="1"/>
      <c r="CO15" s="743"/>
      <c r="CP15" s="740" t="str">
        <f t="shared" si="12"/>
        <v/>
      </c>
      <c r="CQ15" s="734" t="str">
        <f t="shared" si="13"/>
        <v>                 ┃          ┃</v>
      </c>
      <c r="CR15" s="734" t="str">
        <f t="shared" si="13"/>
        <v/>
      </c>
      <c r="CS15" s="734" t="str">
        <f t="shared" si="13"/>
        <v>                 ┃          ┃</v>
      </c>
      <c r="CT15" s="734" t="str">
        <f t="shared" si="13"/>
        <v/>
      </c>
      <c r="CU15" s="735" t="str">
        <f t="shared" si="13"/>
        <v>          ┃          ┃</v>
      </c>
      <c r="CV15" s="633">
        <f>CL15</f>
        <v>1</v>
      </c>
      <c r="CW15" s="633" t="str">
        <f>CM15</f>
        <v>24' rolls</v>
      </c>
      <c r="CX15" s="1"/>
      <c r="CY15" s="1"/>
      <c r="DA15" s="689">
        <f t="shared" si="14"/>
        <v>0</v>
      </c>
      <c r="DB15" s="689">
        <f t="shared" si="14"/>
        <v>0</v>
      </c>
      <c r="DC15" s="689">
        <f t="shared" si="14"/>
        <v>0</v>
      </c>
      <c r="DD15" s="689">
        <f t="shared" si="14"/>
        <v>0</v>
      </c>
      <c r="DE15" s="689">
        <f t="shared" si="14"/>
        <v>0</v>
      </c>
      <c r="DF15" s="689">
        <f t="shared" si="14"/>
        <v>0</v>
      </c>
      <c r="DG15" s="268"/>
      <c r="DI15" s="689" t="str">
        <f t="shared" si="15"/>
        <v/>
      </c>
      <c r="DJ15" s="689" t="str">
        <f t="shared" si="15"/>
        <v/>
      </c>
      <c r="DK15" s="689" t="str">
        <f t="shared" si="15"/>
        <v/>
      </c>
      <c r="DL15" s="689" t="str">
        <f t="shared" si="15"/>
        <v/>
      </c>
      <c r="DM15" s="689" t="str">
        <f t="shared" si="15"/>
        <v/>
      </c>
      <c r="DN15" s="263" t="str">
        <f t="shared" si="15"/>
        <v/>
      </c>
      <c r="DO15" s="268"/>
      <c r="DP15" s="268"/>
      <c r="DQ15" s="689" t="str">
        <f t="shared" si="16"/>
        <v/>
      </c>
      <c r="DR15" s="689" t="str">
        <f t="shared" si="16"/>
        <v/>
      </c>
      <c r="DS15" s="689" t="str">
        <f t="shared" si="16"/>
        <v/>
      </c>
      <c r="DT15" s="689" t="str">
        <f t="shared" si="16"/>
        <v/>
      </c>
      <c r="DU15" s="689" t="str">
        <f t="shared" si="16"/>
        <v/>
      </c>
      <c r="DV15" s="263" t="str">
        <f t="shared" si="16"/>
        <v/>
      </c>
      <c r="DW15" s="268"/>
      <c r="DX15" s="268"/>
      <c r="DY15" s="689" t="str">
        <f t="shared" si="17"/>
        <v/>
      </c>
      <c r="DZ15" s="689" t="str">
        <f t="shared" si="17"/>
        <v/>
      </c>
      <c r="EA15" s="689" t="str">
        <f t="shared" si="17"/>
        <v/>
      </c>
      <c r="EB15" s="689" t="str">
        <f t="shared" si="17"/>
        <v/>
      </c>
      <c r="EC15" s="689" t="str">
        <f t="shared" si="17"/>
        <v/>
      </c>
      <c r="ED15" s="263" t="str">
        <f t="shared" si="17"/>
        <v/>
      </c>
      <c r="EG15" s="506" t="str">
        <f t="shared" si="18"/>
        <v/>
      </c>
      <c r="EH15" s="506" t="str">
        <f t="shared" si="19"/>
        <v/>
      </c>
      <c r="EI15" s="506" t="str">
        <f t="shared" si="19"/>
        <v/>
      </c>
      <c r="EJ15" s="506" t="str">
        <f t="shared" si="19"/>
        <v/>
      </c>
      <c r="EK15" s="506" t="str">
        <f t="shared" si="19"/>
        <v/>
      </c>
      <c r="EL15" s="524" t="str">
        <f t="shared" si="19"/>
        <v/>
      </c>
      <c r="FY15" s="268"/>
      <c r="GC15" s="268"/>
      <c r="GD15" s="268"/>
      <c r="GE15" s="268"/>
      <c r="GF15" s="268"/>
      <c r="GG15" s="268"/>
      <c r="GH15" s="1"/>
      <c r="GI15" s="1"/>
      <c r="GL15" s="268"/>
      <c r="GM15" s="268"/>
      <c r="GN15" s="268"/>
      <c r="GO15" s="268"/>
      <c r="GP15" s="268"/>
      <c r="GQ15" s="1"/>
      <c r="GS15" s="724">
        <f>MAX(DI14:DJ19)</f>
        <v>6</v>
      </c>
      <c r="GY15" s="723">
        <f>GL14</f>
        <v>1</v>
      </c>
      <c r="GZ15" s="649" t="str">
        <f>""&amp;GM14&amp;"' rolls"</f>
        <v>14' rolls</v>
      </c>
      <c r="HA15" s="12"/>
      <c r="HB15" s="1"/>
      <c r="HC15" s="1"/>
      <c r="HD15" s="532" t="str">
        <f t="shared" ref="HD15:HE19" si="24">BL15</f>
        <v/>
      </c>
      <c r="HE15" t="str">
        <f t="shared" si="24"/>
        <v>                 ┃          ┃</v>
      </c>
      <c r="HF15" t="str">
        <f t="shared" si="20"/>
        <v/>
      </c>
      <c r="HG15" t="str">
        <f t="shared" si="20"/>
        <v>                 ┃          ┃</v>
      </c>
      <c r="HH15" t="str">
        <f t="shared" si="20"/>
        <v/>
      </c>
      <c r="HI15" s="47" t="str">
        <f t="shared" si="20"/>
        <v>          ┃          ┃</v>
      </c>
      <c r="HJ15" s="738">
        <f>BR15</f>
        <v>1</v>
      </c>
      <c r="HK15" s="738" t="str">
        <f>BS15</f>
        <v>9' rolls</v>
      </c>
      <c r="HL15" s="1"/>
      <c r="HN15" s="532" t="str">
        <f t="shared" si="3"/>
        <v/>
      </c>
      <c r="HO15" t="str">
        <f t="shared" si="21"/>
        <v>                 ┃          ┃</v>
      </c>
      <c r="HP15" t="str">
        <f t="shared" si="21"/>
        <v/>
      </c>
      <c r="HQ15" t="str">
        <f t="shared" si="21"/>
        <v>                 ┃          ┃</v>
      </c>
      <c r="HR15" t="str">
        <f t="shared" si="21"/>
        <v/>
      </c>
      <c r="HS15" s="47" t="str">
        <f t="shared" si="21"/>
        <v>          ┃          ┃</v>
      </c>
      <c r="HT15" s="738">
        <f t="shared" si="22"/>
        <v>1</v>
      </c>
      <c r="HU15" s="738" t="str">
        <f>CW15</f>
        <v>24' rolls</v>
      </c>
      <c r="HW15" s="47"/>
      <c r="HX15" s="532"/>
      <c r="HY15" s="439" t="s">
        <v>252</v>
      </c>
      <c r="HZ15" s="438">
        <f>IF(HK$19=$F$17,HK$18,0)</f>
        <v>2</v>
      </c>
      <c r="IC15" s="439" t="s">
        <v>252</v>
      </c>
      <c r="ID15" s="438">
        <f>IF(HU$19=$F$17,HU$18,0)</f>
        <v>0</v>
      </c>
      <c r="IG15" s="47"/>
    </row>
    <row r="16" spans="3:241" ht="16.5" thickBot="1">
      <c r="C16" s="1274"/>
      <c r="D16" s="479"/>
      <c r="E16" s="268"/>
      <c r="F16" s="268"/>
      <c r="H16" s="477"/>
      <c r="I16" s="477"/>
      <c r="K16" s="485"/>
      <c r="M16" s="487"/>
      <c r="P16" s="485"/>
      <c r="X16" s="660"/>
      <c r="Y16" s="629"/>
      <c r="Z16" s="629"/>
      <c r="AA16" s="629"/>
      <c r="AB16" s="268"/>
      <c r="AF16" s="451"/>
      <c r="AG16" s="451"/>
      <c r="AK16" s="451"/>
      <c r="AS16" s="691" t="str">
        <f t="shared" si="23"/>
        <v/>
      </c>
      <c r="AT16" s="714" t="str">
        <f t="shared" si="23"/>
        <v/>
      </c>
      <c r="AU16" s="691" t="str">
        <f t="shared" si="23"/>
        <v/>
      </c>
      <c r="AV16" s="714" t="str">
        <f t="shared" si="23"/>
        <v/>
      </c>
      <c r="AW16" s="691" t="str">
        <f t="shared" si="23"/>
        <v/>
      </c>
      <c r="AX16" s="714" t="str">
        <f t="shared" si="23"/>
        <v/>
      </c>
      <c r="AY16" s="642">
        <f>GY16</f>
        <v>1</v>
      </c>
      <c r="AZ16" s="633" t="str">
        <f>GZ16</f>
        <v>-22' rolls</v>
      </c>
      <c r="BB16" s="1260" t="str" cm="1">
        <f t="array" ref="BB16">_xlfn.IFS($AS$12=$BB$12,AS16,$AS$26=$BB$12,AS30,$AS$40=$BB$12,AS44)</f>
        <v/>
      </c>
      <c r="BC16" s="1226"/>
      <c r="BD16" s="1260" t="str" cm="1">
        <f t="array" ref="BD16">_xlfn.IFS($AS$12=$BB$12,AU16,$AS$26=$BB$12,AU30,$AS$40=$BB$12,AU44)</f>
        <v/>
      </c>
      <c r="BE16" s="1226"/>
      <c r="BF16" s="1260" t="str" cm="1">
        <f t="array" ref="BF16">_xlfn.IFS($AS$12=$BB$12,AW16,$AS$26=$BB$12,AW30,$AS$40=$BB$12,AW44)</f>
        <v/>
      </c>
      <c r="BG16" s="1226"/>
      <c r="BH16" s="642" cm="1">
        <f t="array" ref="BH16">_xlfn.IFS($AS$12=$BB$12,AY16,$AS$26=$BB$12,AY30,$AS$40=$BB$12,AY44)</f>
        <v>1</v>
      </c>
      <c r="BI16" s="649" t="str" cm="1">
        <f t="array" ref="BI16">_xlfn.IFS($AS$12=$BB$12,AZ16,$AS$26=$BB$12,AZ30,$AS$40=$BB$12,AZ44)</f>
        <v>6' rolls</v>
      </c>
      <c r="BL16" s="740" t="str">
        <f t="shared" si="5"/>
        <v/>
      </c>
      <c r="BM16" s="734" t="str">
        <f t="shared" si="5"/>
        <v>                 ┃          ┃</v>
      </c>
      <c r="BN16" s="734" t="str">
        <f t="shared" si="6"/>
        <v/>
      </c>
      <c r="BO16" s="734" t="str">
        <f t="shared" si="7"/>
        <v>                 ┃          ┃</v>
      </c>
      <c r="BP16" s="734" t="str">
        <f t="shared" si="8"/>
        <v/>
      </c>
      <c r="BQ16" s="735" t="str">
        <f t="shared" si="9"/>
        <v>          ┃          ┃</v>
      </c>
      <c r="BR16" s="13">
        <f>BH16</f>
        <v>1</v>
      </c>
      <c r="BS16" s="13" t="str">
        <f>BI16</f>
        <v>6' rolls</v>
      </c>
      <c r="BV16" s="1"/>
      <c r="BW16" s="1260">
        <f t="shared" si="0"/>
        <v>0</v>
      </c>
      <c r="BX16" s="1239"/>
      <c r="BY16" s="1238">
        <f t="shared" si="10"/>
        <v>0</v>
      </c>
      <c r="BZ16" s="1239"/>
      <c r="CA16" s="1238">
        <f t="shared" si="11"/>
        <v>0</v>
      </c>
      <c r="CB16" s="1226"/>
      <c r="CC16" s="642">
        <f>IF($AP$12=TRUE,AY16,0)</f>
        <v>0</v>
      </c>
      <c r="CD16" s="633">
        <f>IF($AP$12=TRUE,AZ16,0)</f>
        <v>0</v>
      </c>
      <c r="CE16" s="1"/>
      <c r="CF16" s="1260" t="str" cm="1">
        <f t="array" ref="CF16">_xlfn.IFS($BW$12=$CF$12,BW16,$BW$26=$CF$12,BW30,$BW$40=$CF$12,BW44)</f>
        <v/>
      </c>
      <c r="CG16" s="1226"/>
      <c r="CH16" s="1260" t="str" cm="1">
        <f t="array" ref="CH16">_xlfn.IFS($BW$12=$CF$12,BY16,$BW$26=$CF$12,BY30,$BW$40=$CF$12,BY44)</f>
        <v/>
      </c>
      <c r="CI16" s="1226"/>
      <c r="CJ16" s="1260" t="str" cm="1">
        <f t="array" ref="CJ16">_xlfn.IFS($BW$12=$CF$12,CA16,$BW$26=$CF$12,CA30,$BW$40=$CF$12,CA44)</f>
        <v/>
      </c>
      <c r="CK16" s="1226"/>
      <c r="CL16" s="642" cm="1">
        <f t="array" ref="CL16">_xlfn.IFS($BW$12=$CF$12,CC16,$BW$26=$CF$12,CC30,$BW$40=$CF$12,CC44)</f>
        <v>1</v>
      </c>
      <c r="CM16" s="649" t="str" cm="1">
        <f t="array" ref="CM16">_xlfn.IFS($BW$12=$CF$12,CD16,$BW$26=$CF$12,CD30,$BW$40=$CF$12,CD44)</f>
        <v>6' rolls</v>
      </c>
      <c r="CO16" s="734"/>
      <c r="CP16" s="740" t="str">
        <f t="shared" si="12"/>
        <v/>
      </c>
      <c r="CQ16" s="734" t="str">
        <f t="shared" si="13"/>
        <v>                 ┃          ┃</v>
      </c>
      <c r="CR16" s="734" t="str">
        <f t="shared" si="13"/>
        <v/>
      </c>
      <c r="CS16" s="734" t="str">
        <f t="shared" si="13"/>
        <v>                 ┃          ┃</v>
      </c>
      <c r="CT16" s="734" t="str">
        <f t="shared" si="13"/>
        <v/>
      </c>
      <c r="CU16" s="735" t="str">
        <f t="shared" si="13"/>
        <v>          ┃          ┃</v>
      </c>
      <c r="CV16" s="13">
        <f>CL16</f>
        <v>1</v>
      </c>
      <c r="CW16" s="13" t="str">
        <f>CM16</f>
        <v>6' rolls</v>
      </c>
      <c r="CY16" s="1"/>
      <c r="DA16" s="689">
        <f t="shared" si="14"/>
        <v>0</v>
      </c>
      <c r="DB16" s="689">
        <f t="shared" si="14"/>
        <v>0</v>
      </c>
      <c r="DC16" s="689">
        <f t="shared" si="14"/>
        <v>0</v>
      </c>
      <c r="DD16" s="689">
        <f t="shared" si="14"/>
        <v>0</v>
      </c>
      <c r="DE16" s="689">
        <f t="shared" si="14"/>
        <v>0</v>
      </c>
      <c r="DF16" s="689">
        <f t="shared" si="14"/>
        <v>0</v>
      </c>
      <c r="DG16" s="268"/>
      <c r="DI16" s="689" t="str">
        <f t="shared" si="15"/>
        <v/>
      </c>
      <c r="DJ16" s="689" t="str">
        <f t="shared" si="15"/>
        <v/>
      </c>
      <c r="DK16" s="689" t="str">
        <f t="shared" si="15"/>
        <v/>
      </c>
      <c r="DL16" s="689" t="str">
        <f t="shared" si="15"/>
        <v/>
      </c>
      <c r="DM16" s="689" t="str">
        <f t="shared" si="15"/>
        <v/>
      </c>
      <c r="DN16" s="263" t="str">
        <f t="shared" si="15"/>
        <v/>
      </c>
      <c r="DO16" s="268"/>
      <c r="DP16" s="268"/>
      <c r="DQ16" s="689" t="str">
        <f t="shared" si="16"/>
        <v/>
      </c>
      <c r="DR16" s="689" t="str">
        <f t="shared" si="16"/>
        <v/>
      </c>
      <c r="DS16" s="689" t="str">
        <f t="shared" si="16"/>
        <v/>
      </c>
      <c r="DT16" s="689" t="str">
        <f t="shared" si="16"/>
        <v/>
      </c>
      <c r="DU16" s="689" t="str">
        <f t="shared" si="16"/>
        <v/>
      </c>
      <c r="DV16" s="263" t="str">
        <f t="shared" si="16"/>
        <v/>
      </c>
      <c r="DW16" s="268"/>
      <c r="DX16" s="268"/>
      <c r="DY16" s="689" t="str">
        <f t="shared" si="17"/>
        <v/>
      </c>
      <c r="DZ16" s="689" t="str">
        <f t="shared" si="17"/>
        <v/>
      </c>
      <c r="EA16" s="689" t="str">
        <f t="shared" si="17"/>
        <v/>
      </c>
      <c r="EB16" s="689" t="str">
        <f t="shared" si="17"/>
        <v/>
      </c>
      <c r="EC16" s="689" t="str">
        <f t="shared" si="17"/>
        <v/>
      </c>
      <c r="ED16" s="263" t="str">
        <f t="shared" si="17"/>
        <v/>
      </c>
      <c r="EG16" s="506" t="str">
        <f t="shared" si="18"/>
        <v/>
      </c>
      <c r="EH16" s="506" t="str">
        <f t="shared" si="19"/>
        <v/>
      </c>
      <c r="EI16" s="506" t="str">
        <f t="shared" si="19"/>
        <v/>
      </c>
      <c r="EJ16" s="506" t="str">
        <f t="shared" si="19"/>
        <v/>
      </c>
      <c r="EK16" s="506" t="str">
        <f t="shared" si="19"/>
        <v/>
      </c>
      <c r="EL16" s="524" t="str">
        <f t="shared" si="19"/>
        <v/>
      </c>
      <c r="GS16" s="374"/>
      <c r="GY16" s="722">
        <f>GO14</f>
        <v>1</v>
      </c>
      <c r="GZ16" s="13" t="str">
        <f>""&amp;GP14&amp;"' rolls"</f>
        <v>-22' rolls</v>
      </c>
      <c r="HA16" s="12"/>
      <c r="HB16" s="1"/>
      <c r="HC16" s="1"/>
      <c r="HD16" s="532" t="str">
        <f t="shared" si="24"/>
        <v/>
      </c>
      <c r="HE16" t="str">
        <f t="shared" si="24"/>
        <v>                 ┃          ┃</v>
      </c>
      <c r="HF16" t="str">
        <f t="shared" si="20"/>
        <v/>
      </c>
      <c r="HG16" t="str">
        <f t="shared" si="20"/>
        <v>                 ┃          ┃</v>
      </c>
      <c r="HH16" t="str">
        <f t="shared" si="20"/>
        <v/>
      </c>
      <c r="HI16" s="47" t="str">
        <f t="shared" si="20"/>
        <v>          ┃          ┃</v>
      </c>
      <c r="HJ16" s="738">
        <f t="shared" ref="HJ16:HK19" si="25">BR16</f>
        <v>1</v>
      </c>
      <c r="HK16" s="738" t="str">
        <f t="shared" si="25"/>
        <v>6' rolls</v>
      </c>
      <c r="HL16" s="1"/>
      <c r="HN16" s="532" t="str">
        <f t="shared" si="3"/>
        <v/>
      </c>
      <c r="HO16" t="str">
        <f t="shared" si="21"/>
        <v>                 ┃          ┃</v>
      </c>
      <c r="HP16" t="str">
        <f t="shared" si="21"/>
        <v/>
      </c>
      <c r="HQ16" t="str">
        <f t="shared" si="21"/>
        <v>                 ┃          ┃</v>
      </c>
      <c r="HR16" t="str">
        <f t="shared" si="21"/>
        <v/>
      </c>
      <c r="HS16" s="47" t="str">
        <f t="shared" si="21"/>
        <v>          ┃          ┃</v>
      </c>
      <c r="HT16" s="738">
        <f t="shared" si="22"/>
        <v>1</v>
      </c>
      <c r="HU16" s="738" t="str">
        <f>CW16</f>
        <v>6' rolls</v>
      </c>
      <c r="HW16" s="47"/>
      <c r="HX16" s="532"/>
      <c r="HY16" s="439" t="s">
        <v>256</v>
      </c>
      <c r="HZ16" s="438">
        <f>IF(HK$19=$F$19,HK$18,0)</f>
        <v>0</v>
      </c>
      <c r="IC16" s="439" t="s">
        <v>256</v>
      </c>
      <c r="ID16" s="438">
        <f>IF(HU$19=$F$19,HU$18,0)</f>
        <v>2</v>
      </c>
      <c r="IG16" s="47"/>
    </row>
    <row r="17" spans="3:241" ht="16.5" customHeight="1" thickBot="1">
      <c r="C17" s="1274"/>
      <c r="D17" s="595" t="str">
        <f>TEXT(12.15,"0.00")</f>
        <v>12.15</v>
      </c>
      <c r="E17" s="712">
        <f>Materials!E2</f>
        <v>12</v>
      </c>
      <c r="F17" s="712">
        <f>Materials!F2</f>
        <v>15</v>
      </c>
      <c r="H17" s="465">
        <f>ROUNDDOWN((F17/D7),0)/(D4/E17)</f>
        <v>2</v>
      </c>
      <c r="I17" s="483" t="str">
        <f>"which is (" &amp; (H17) &amp; ") pieces of (" &amp; (D7) &amp; ") ft equal length from 12 inch roll"</f>
        <v>which is (2) pieces of (6) ft equal length from 12 inch roll</v>
      </c>
      <c r="K17" s="484" t="str">
        <f>"which is (" &amp; (H17) &amp; ") Linear foot total"</f>
        <v>which is (2) Linear foot total</v>
      </c>
      <c r="M17" s="486">
        <f>IF(((D5)-(H17))&lt;=0,0,((D5)-(H17)))</f>
        <v>0</v>
      </c>
      <c r="N17" t="str">
        <f>"which are (" &amp; (D7) &amp; ") ft in length"</f>
        <v>which are (6) ft in length</v>
      </c>
      <c r="P17" s="484">
        <f>IFERROR(ROUNDUP(M17/H17,0),M17)</f>
        <v>0</v>
      </c>
      <c r="R17" s="491">
        <f>((P17)+(H17))</f>
        <v>2</v>
      </c>
      <c r="T17" s="325">
        <f>IFERROR(R17/H17,R17)</f>
        <v>1</v>
      </c>
      <c r="V17" s="325">
        <f>ROUNDUP(T17,0)</f>
        <v>1</v>
      </c>
      <c r="W17" s="711">
        <f>ROUNDUP(D7/F17,0)</f>
        <v>1</v>
      </c>
      <c r="X17" s="776">
        <v>12.15</v>
      </c>
      <c r="Y17" s="765">
        <f>V17</f>
        <v>1</v>
      </c>
      <c r="Z17" s="765">
        <f>IF((H17)=0,IFERROR(ROUNDUP(IF(((D5)-(H17))&lt;=0,0,((D5)-(H17)))/(H17),0),IF(((D5)-(H17))&lt;=0,0,((D5)-(H17))))+(H17),(H17))</f>
        <v>2</v>
      </c>
      <c r="AA17" s="765">
        <f>(Y17*Z17)</f>
        <v>2</v>
      </c>
      <c r="AB17" s="594">
        <f>(AA17/D9)</f>
        <v>2</v>
      </c>
      <c r="AC17" s="491" t="str">
        <f>" " &amp; D7 &amp; "'"</f>
        <v xml:space="preserve"> 6'</v>
      </c>
      <c r="AD17" s="711">
        <f>(W17*AH17)-D7</f>
        <v>9</v>
      </c>
      <c r="AE17" s="263">
        <f>D7-(ROUNDDOWN(D7/F17,0)*F17)</f>
        <v>6</v>
      </c>
      <c r="AF17" s="686">
        <f>D5</f>
        <v>2</v>
      </c>
      <c r="AG17" s="685">
        <f>IFERROR(ROUNDUP(AF17/AB17,0),0)</f>
        <v>1</v>
      </c>
      <c r="AH17" s="524">
        <f>F17</f>
        <v>15</v>
      </c>
      <c r="AK17" s="685">
        <f>AG17*AA17</f>
        <v>2</v>
      </c>
      <c r="AL17" s="263">
        <f>AF17*AK17</f>
        <v>4</v>
      </c>
      <c r="AS17" s="691" t="str">
        <f t="shared" si="23"/>
        <v/>
      </c>
      <c r="AT17" s="714" t="str">
        <f t="shared" si="23"/>
        <v/>
      </c>
      <c r="AU17" s="691" t="str">
        <f t="shared" si="23"/>
        <v/>
      </c>
      <c r="AV17" s="714" t="str">
        <f t="shared" si="23"/>
        <v/>
      </c>
      <c r="AW17" s="691" t="str">
        <f t="shared" si="23"/>
        <v/>
      </c>
      <c r="AX17" s="714" t="str">
        <f t="shared" si="23"/>
        <v/>
      </c>
      <c r="BA17" s="1"/>
      <c r="BB17" s="1260" t="str" cm="1">
        <f t="array" ref="BB17">_xlfn.IFS($AS$12=$BB$12,AS17,$AS$26=$BB$12,AS31,$AS$40=$BB$12,AS45)</f>
        <v/>
      </c>
      <c r="BC17" s="1226"/>
      <c r="BD17" s="1260" t="str" cm="1">
        <f t="array" ref="BD17">_xlfn.IFS($AS$12=$BB$12,AU17,$AS$26=$BB$12,AU31,$AS$40=$BB$12,AU45)</f>
        <v/>
      </c>
      <c r="BE17" s="1226"/>
      <c r="BF17" s="1260" t="str" cm="1">
        <f t="array" ref="BF17">_xlfn.IFS($AS$12=$BB$12,AW17,$AS$26=$BB$12,AW31,$AS$40=$BB$12,AW45)</f>
        <v/>
      </c>
      <c r="BG17" s="1226"/>
      <c r="BH17" s="1276" t="s">
        <v>610</v>
      </c>
      <c r="BI17" s="1277"/>
      <c r="BJ17" s="1"/>
      <c r="BK17" s="1"/>
      <c r="BL17" s="740" t="str">
        <f t="shared" si="5"/>
        <v/>
      </c>
      <c r="BM17" s="734" t="str">
        <f t="shared" si="5"/>
        <v>                 ┃          ┃</v>
      </c>
      <c r="BN17" s="734" t="str">
        <f t="shared" si="6"/>
        <v/>
      </c>
      <c r="BO17" s="734" t="str">
        <f t="shared" si="7"/>
        <v>                 ┃          ┃</v>
      </c>
      <c r="BP17" s="734" t="str">
        <f t="shared" si="8"/>
        <v/>
      </c>
      <c r="BQ17" s="735" t="str">
        <f t="shared" si="9"/>
        <v>          ┃          ┃</v>
      </c>
      <c r="BR17" s="1230" t="s">
        <v>610</v>
      </c>
      <c r="BS17" s="1232"/>
      <c r="BT17" s="1"/>
      <c r="BU17" s="1"/>
      <c r="BV17" s="1"/>
      <c r="BW17" s="1260">
        <f t="shared" si="0"/>
        <v>0</v>
      </c>
      <c r="BX17" s="1239"/>
      <c r="BY17" s="1238">
        <f t="shared" si="10"/>
        <v>0</v>
      </c>
      <c r="BZ17" s="1239"/>
      <c r="CA17" s="1238">
        <f t="shared" si="11"/>
        <v>0</v>
      </c>
      <c r="CB17" s="1226"/>
      <c r="CE17" s="1"/>
      <c r="CF17" s="1260" t="str" cm="1">
        <f t="array" ref="CF17">_xlfn.IFS($BW$12=$CF$12,BW17,$BW$26=$CF$12,BW31,$BW$40=$CF$12,BW45)</f>
        <v/>
      </c>
      <c r="CG17" s="1226"/>
      <c r="CH17" s="1260" t="str" cm="1">
        <f t="array" ref="CH17">_xlfn.IFS($BW$12=$CF$12,BY17,$BW$26=$CF$12,BY31,$BW$40=$CF$12,BY45)</f>
        <v/>
      </c>
      <c r="CI17" s="1226"/>
      <c r="CJ17" s="1260" t="str" cm="1">
        <f t="array" ref="CJ17">_xlfn.IFS($BW$12=$CF$12,CA17,$BW$26=$CF$12,CA31,$BW$40=$CF$12,CA45)</f>
        <v/>
      </c>
      <c r="CK17" s="1226"/>
      <c r="CL17" s="1230" t="s">
        <v>610</v>
      </c>
      <c r="CM17" s="1232"/>
      <c r="CN17" s="1"/>
      <c r="CO17" s="743"/>
      <c r="CP17" s="740" t="str">
        <f t="shared" si="12"/>
        <v/>
      </c>
      <c r="CQ17" s="734" t="str">
        <f t="shared" si="13"/>
        <v>                 ┃          ┃</v>
      </c>
      <c r="CR17" s="734" t="str">
        <f t="shared" si="13"/>
        <v/>
      </c>
      <c r="CS17" s="734" t="str">
        <f t="shared" si="13"/>
        <v>                 ┃          ┃</v>
      </c>
      <c r="CT17" s="734" t="str">
        <f t="shared" si="13"/>
        <v/>
      </c>
      <c r="CU17" s="735" t="str">
        <f t="shared" si="13"/>
        <v>          ┃          ┃</v>
      </c>
      <c r="CV17" s="1231" t="s">
        <v>610</v>
      </c>
      <c r="CW17" s="1232"/>
      <c r="CX17" s="1"/>
      <c r="CY17" s="1"/>
      <c r="DA17" s="689">
        <f t="shared" si="14"/>
        <v>0</v>
      </c>
      <c r="DB17" s="689">
        <f t="shared" si="14"/>
        <v>0</v>
      </c>
      <c r="DC17" s="689">
        <f t="shared" si="14"/>
        <v>0</v>
      </c>
      <c r="DD17" s="689">
        <f t="shared" si="14"/>
        <v>0</v>
      </c>
      <c r="DE17" s="689">
        <f t="shared" si="14"/>
        <v>0</v>
      </c>
      <c r="DF17" s="689">
        <f t="shared" si="14"/>
        <v>0</v>
      </c>
      <c r="DG17" s="268"/>
      <c r="DI17" s="689" t="str">
        <f t="shared" si="15"/>
        <v/>
      </c>
      <c r="DJ17" s="689" t="str">
        <f t="shared" si="15"/>
        <v/>
      </c>
      <c r="DK17" s="689" t="str">
        <f t="shared" si="15"/>
        <v/>
      </c>
      <c r="DL17" s="689" t="str">
        <f t="shared" si="15"/>
        <v/>
      </c>
      <c r="DM17" s="689" t="str">
        <f t="shared" si="15"/>
        <v/>
      </c>
      <c r="DN17" s="263" t="str">
        <f t="shared" si="15"/>
        <v/>
      </c>
      <c r="DO17" s="268"/>
      <c r="DP17" s="268"/>
      <c r="DQ17" s="689" t="str">
        <f t="shared" si="16"/>
        <v/>
      </c>
      <c r="DR17" s="689" t="str">
        <f t="shared" si="16"/>
        <v/>
      </c>
      <c r="DS17" s="689" t="str">
        <f t="shared" si="16"/>
        <v/>
      </c>
      <c r="DT17" s="689" t="str">
        <f t="shared" si="16"/>
        <v/>
      </c>
      <c r="DU17" s="689" t="str">
        <f t="shared" si="16"/>
        <v/>
      </c>
      <c r="DV17" s="263" t="str">
        <f t="shared" si="16"/>
        <v/>
      </c>
      <c r="DW17" s="268"/>
      <c r="DX17" s="268"/>
      <c r="DY17" s="689" t="str">
        <f t="shared" si="17"/>
        <v/>
      </c>
      <c r="DZ17" s="689" t="str">
        <f t="shared" si="17"/>
        <v/>
      </c>
      <c r="EA17" s="689" t="str">
        <f t="shared" si="17"/>
        <v/>
      </c>
      <c r="EB17" s="689" t="str">
        <f t="shared" si="17"/>
        <v/>
      </c>
      <c r="EC17" s="689" t="str">
        <f t="shared" si="17"/>
        <v/>
      </c>
      <c r="ED17" s="263" t="str">
        <f t="shared" si="17"/>
        <v/>
      </c>
      <c r="EG17" s="506" t="str">
        <f t="shared" si="18"/>
        <v/>
      </c>
      <c r="EH17" s="506" t="str">
        <f t="shared" si="19"/>
        <v/>
      </c>
      <c r="EI17" s="506" t="str">
        <f t="shared" si="19"/>
        <v/>
      </c>
      <c r="EJ17" s="506" t="str">
        <f t="shared" si="19"/>
        <v/>
      </c>
      <c r="EK17" s="506" t="str">
        <f t="shared" si="19"/>
        <v/>
      </c>
      <c r="EL17" s="524" t="str">
        <f t="shared" si="19"/>
        <v/>
      </c>
      <c r="EX17" s="718">
        <f>MAX(EG14:EL19)</f>
        <v>14</v>
      </c>
      <c r="EY17" s="320"/>
      <c r="EZ17" s="718">
        <f>IF(EX14+EX17=$F$15,0,EX17)</f>
        <v>14</v>
      </c>
      <c r="FA17" s="320"/>
      <c r="FB17" s="718">
        <f>IF(IFERROR(ROUNDDOWN($F$15/EZ17,0),0)&lt;=FU17,IFERROR(ROUNDDOWN($F$15/EZ17,0),0),FU17)</f>
        <v>1</v>
      </c>
      <c r="FC17" s="320"/>
      <c r="FD17" s="718">
        <f>FB17*EZ17</f>
        <v>14</v>
      </c>
      <c r="FE17" s="320"/>
      <c r="FF17" s="718">
        <f>EZ17</f>
        <v>14</v>
      </c>
      <c r="FG17" s="320"/>
      <c r="FH17" s="718">
        <f>FB17</f>
        <v>1</v>
      </c>
      <c r="FJ17" s="268"/>
      <c r="FK17" s="718">
        <f>IF(EZ17=0,0,SUM(EG14:EL19))</f>
        <v>56</v>
      </c>
      <c r="FM17" s="718">
        <f>IF($F$15-(FK17-FD17)=$F$15,0,$F$15-(FK17-FD17))</f>
        <v>-22</v>
      </c>
      <c r="FN17" s="320"/>
      <c r="FO17" s="718">
        <f>IF(FM17=0,0,1)</f>
        <v>1</v>
      </c>
      <c r="FQ17" s="632">
        <f>IFERROR(IF(FF17=0,0,ROUNDUP(FK17/$F$15,0)),0)</f>
        <v>3</v>
      </c>
      <c r="FS17" s="718">
        <f>FQ17*$F$15</f>
        <v>60</v>
      </c>
      <c r="FU17" s="632">
        <f>COUNT(EG14:EL19)</f>
        <v>4</v>
      </c>
      <c r="FY17" s="720">
        <f>GC17+GF17</f>
        <v>2</v>
      </c>
      <c r="GA17" s="718">
        <f>(GC17*GD17)+(GF17*GG17)</f>
        <v>-8</v>
      </c>
      <c r="GC17" s="687">
        <f>FH17</f>
        <v>1</v>
      </c>
      <c r="GD17" s="719">
        <f>FF17</f>
        <v>14</v>
      </c>
      <c r="GE17" s="1" t="s">
        <v>441</v>
      </c>
      <c r="GF17" s="687">
        <f>FO17</f>
        <v>1</v>
      </c>
      <c r="GG17" s="719">
        <f>FM17</f>
        <v>-22</v>
      </c>
      <c r="GS17" s="268"/>
      <c r="HA17" s="12"/>
      <c r="HB17" s="1"/>
      <c r="HC17" s="1"/>
      <c r="HD17" s="532" t="str">
        <f t="shared" si="24"/>
        <v/>
      </c>
      <c r="HE17" t="str">
        <f t="shared" si="24"/>
        <v>                 ┃          ┃</v>
      </c>
      <c r="HF17" t="str">
        <f t="shared" si="20"/>
        <v/>
      </c>
      <c r="HG17" t="str">
        <f t="shared" si="20"/>
        <v>                 ┃          ┃</v>
      </c>
      <c r="HH17" t="str">
        <f t="shared" si="20"/>
        <v/>
      </c>
      <c r="HI17" s="47" t="str">
        <f t="shared" si="20"/>
        <v>          ┃          ┃</v>
      </c>
      <c r="HJ17" s="1276" t="str">
        <f t="shared" si="25"/>
        <v>MATERIALS</v>
      </c>
      <c r="HK17" s="1278"/>
      <c r="HL17" s="1"/>
      <c r="HN17" s="532" t="str">
        <f t="shared" si="3"/>
        <v/>
      </c>
      <c r="HO17" t="str">
        <f t="shared" si="21"/>
        <v>                 ┃          ┃</v>
      </c>
      <c r="HP17" t="str">
        <f t="shared" si="21"/>
        <v/>
      </c>
      <c r="HQ17" t="str">
        <f t="shared" si="21"/>
        <v>                 ┃          ┃</v>
      </c>
      <c r="HR17" t="str">
        <f t="shared" si="21"/>
        <v/>
      </c>
      <c r="HS17" s="47" t="str">
        <f t="shared" si="21"/>
        <v>          ┃          ┃</v>
      </c>
      <c r="HT17" s="1279" t="str">
        <f t="shared" si="22"/>
        <v>MATERIALS</v>
      </c>
      <c r="HU17" s="1278"/>
      <c r="HW17" s="47"/>
      <c r="HX17" s="532"/>
      <c r="IG17" s="47"/>
    </row>
    <row r="18" spans="3:241" ht="15.75" thickBot="1">
      <c r="C18" s="1274"/>
      <c r="D18" s="479"/>
      <c r="E18" s="268"/>
      <c r="F18" s="268"/>
      <c r="H18" s="477"/>
      <c r="I18" s="477"/>
      <c r="K18" s="485"/>
      <c r="M18" s="487"/>
      <c r="P18" s="485"/>
      <c r="R18" s="320"/>
      <c r="Y18" s="583"/>
      <c r="Z18" s="764"/>
      <c r="AA18" s="764"/>
      <c r="AB18" s="764"/>
      <c r="AS18" s="691" t="str">
        <f t="shared" si="23"/>
        <v/>
      </c>
      <c r="AT18" s="714" t="str">
        <f t="shared" si="23"/>
        <v/>
      </c>
      <c r="AU18" s="691" t="str">
        <f t="shared" si="23"/>
        <v/>
      </c>
      <c r="AV18" s="714" t="str">
        <f t="shared" si="23"/>
        <v/>
      </c>
      <c r="AW18" s="691" t="str">
        <f t="shared" si="23"/>
        <v/>
      </c>
      <c r="AX18" s="714" t="str">
        <f t="shared" si="23"/>
        <v/>
      </c>
      <c r="BB18" s="1260" t="str" cm="1">
        <f t="array" ref="BB18">_xlfn.IFS($AS$12=$BB$12,AS18,$AS$26=$BB$12,AS32,$AS$40=$BB$12,AS46)</f>
        <v/>
      </c>
      <c r="BC18" s="1226"/>
      <c r="BD18" s="1260" t="str" cm="1">
        <f t="array" ref="BD18">_xlfn.IFS($AS$12=$BB$12,AU18,$AS$26=$BB$12,AU32,$AS$40=$BB$12,AU46)</f>
        <v/>
      </c>
      <c r="BE18" s="1226"/>
      <c r="BF18" s="1260" t="str" cm="1">
        <f t="array" ref="BF18">_xlfn.IFS($AS$12=$BB$12,AW18,$AS$26=$BB$12,AW32,$AS$40=$BB$12,AW46)</f>
        <v/>
      </c>
      <c r="BG18" s="1226"/>
      <c r="BH18" s="654" t="s">
        <v>611</v>
      </c>
      <c r="BI18" s="632" cm="1">
        <f t="array" ref="BI18">_xlfn.IFS($AS$12=$BB$12,AZ21,$AS$26=$BB$12,AZ35,$AS$40=$BB$12,AZ49)</f>
        <v>2</v>
      </c>
      <c r="BL18" s="740" t="str">
        <f t="shared" si="5"/>
        <v/>
      </c>
      <c r="BM18" s="734" t="str">
        <f t="shared" si="5"/>
        <v>                 ┃          ┃</v>
      </c>
      <c r="BN18" s="734" t="str">
        <f t="shared" si="6"/>
        <v/>
      </c>
      <c r="BO18" s="734" t="str">
        <f t="shared" si="7"/>
        <v>                 ┃          ┃</v>
      </c>
      <c r="BP18" s="734" t="str">
        <f t="shared" si="8"/>
        <v/>
      </c>
      <c r="BQ18" s="735" t="str">
        <f t="shared" si="9"/>
        <v>          ┃          ┃</v>
      </c>
      <c r="BR18" s="655" t="s">
        <v>611</v>
      </c>
      <c r="BS18" s="683">
        <f>BI18</f>
        <v>2</v>
      </c>
      <c r="BW18" s="1260">
        <f t="shared" si="0"/>
        <v>0</v>
      </c>
      <c r="BX18" s="1239"/>
      <c r="BY18" s="1238">
        <f t="shared" si="10"/>
        <v>0</v>
      </c>
      <c r="BZ18" s="1239"/>
      <c r="CA18" s="1238">
        <f t="shared" si="11"/>
        <v>0</v>
      </c>
      <c r="CB18" s="1226"/>
      <c r="CF18" s="1260" t="str" cm="1">
        <f t="array" ref="CF18">_xlfn.IFS($BW$12=$CF$12,BW18,$BW$26=$CF$12,BW32,$BW$40=$CF$12,BW46)</f>
        <v/>
      </c>
      <c r="CG18" s="1226"/>
      <c r="CH18" s="1260" t="str" cm="1">
        <f t="array" ref="CH18">_xlfn.IFS($BW$12=$CF$12,BY18,$BW$26=$CF$12,BY32,$BW$40=$CF$12,BY46)</f>
        <v/>
      </c>
      <c r="CI18" s="1226"/>
      <c r="CJ18" s="1260" t="str" cm="1">
        <f t="array" ref="CJ18">_xlfn.IFS($BW$12=$CF$12,CA18,$BW$26=$CF$12,CA32,$BW$40=$CF$12,CA46)</f>
        <v/>
      </c>
      <c r="CK18" s="1226"/>
      <c r="CL18" s="655" t="s">
        <v>611</v>
      </c>
      <c r="CM18" s="683" cm="1">
        <f t="array" ref="CM18">_xlfn.IFS($BW$12=$CF$12,CD21,$BW$26=$CF$12,CD35,$BW$40=$CF$12,CD49)</f>
        <v>2</v>
      </c>
      <c r="CO18" s="734"/>
      <c r="CP18" s="740" t="str">
        <f t="shared" si="12"/>
        <v/>
      </c>
      <c r="CQ18" s="734" t="str">
        <f t="shared" si="13"/>
        <v>                 ┃          ┃</v>
      </c>
      <c r="CR18" s="734" t="str">
        <f t="shared" si="13"/>
        <v/>
      </c>
      <c r="CS18" s="734" t="str">
        <f t="shared" si="13"/>
        <v>                 ┃          ┃</v>
      </c>
      <c r="CT18" s="734" t="str">
        <f t="shared" si="13"/>
        <v/>
      </c>
      <c r="CU18" s="735" t="str">
        <f t="shared" si="13"/>
        <v>          ┃          ┃</v>
      </c>
      <c r="CV18" s="656" t="s">
        <v>611</v>
      </c>
      <c r="CW18" s="683">
        <f>CM18</f>
        <v>2</v>
      </c>
      <c r="DA18" s="689">
        <f t="shared" si="14"/>
        <v>0</v>
      </c>
      <c r="DB18" s="689">
        <f t="shared" si="14"/>
        <v>0</v>
      </c>
      <c r="DC18" s="689">
        <f t="shared" si="14"/>
        <v>0</v>
      </c>
      <c r="DD18" s="689">
        <f t="shared" si="14"/>
        <v>0</v>
      </c>
      <c r="DE18" s="689">
        <f t="shared" si="14"/>
        <v>0</v>
      </c>
      <c r="DF18" s="689">
        <f t="shared" si="14"/>
        <v>0</v>
      </c>
      <c r="DG18" s="268"/>
      <c r="DI18" s="689" t="str">
        <f t="shared" si="15"/>
        <v/>
      </c>
      <c r="DJ18" s="689" t="str">
        <f t="shared" si="15"/>
        <v/>
      </c>
      <c r="DK18" s="689" t="str">
        <f t="shared" si="15"/>
        <v/>
      </c>
      <c r="DL18" s="689" t="str">
        <f t="shared" si="15"/>
        <v/>
      </c>
      <c r="DM18" s="689" t="str">
        <f t="shared" si="15"/>
        <v/>
      </c>
      <c r="DN18" s="263" t="str">
        <f t="shared" si="15"/>
        <v/>
      </c>
      <c r="DO18" s="268"/>
      <c r="DP18" s="268"/>
      <c r="DQ18" s="689" t="str">
        <f t="shared" si="16"/>
        <v/>
      </c>
      <c r="DR18" s="689" t="str">
        <f t="shared" si="16"/>
        <v/>
      </c>
      <c r="DS18" s="689" t="str">
        <f t="shared" si="16"/>
        <v/>
      </c>
      <c r="DT18" s="689" t="str">
        <f t="shared" si="16"/>
        <v/>
      </c>
      <c r="DU18" s="689" t="str">
        <f t="shared" si="16"/>
        <v/>
      </c>
      <c r="DV18" s="263" t="str">
        <f t="shared" si="16"/>
        <v/>
      </c>
      <c r="DW18" s="268"/>
      <c r="DX18" s="268"/>
      <c r="DY18" s="689" t="str">
        <f t="shared" si="17"/>
        <v/>
      </c>
      <c r="DZ18" s="689" t="str">
        <f t="shared" si="17"/>
        <v/>
      </c>
      <c r="EA18" s="689" t="str">
        <f t="shared" si="17"/>
        <v/>
      </c>
      <c r="EB18" s="689" t="str">
        <f t="shared" si="17"/>
        <v/>
      </c>
      <c r="EC18" s="689" t="str">
        <f t="shared" si="17"/>
        <v/>
      </c>
      <c r="ED18" s="263" t="str">
        <f t="shared" si="17"/>
        <v/>
      </c>
      <c r="EG18" s="506" t="str">
        <f t="shared" si="18"/>
        <v/>
      </c>
      <c r="EH18" s="506" t="str">
        <f t="shared" si="19"/>
        <v/>
      </c>
      <c r="EI18" s="506" t="str">
        <f t="shared" si="19"/>
        <v/>
      </c>
      <c r="EJ18" s="506" t="str">
        <f t="shared" si="19"/>
        <v/>
      </c>
      <c r="EK18" s="506" t="str">
        <f t="shared" si="19"/>
        <v/>
      </c>
      <c r="EL18" s="524" t="str">
        <f t="shared" si="19"/>
        <v/>
      </c>
      <c r="HA18" s="47"/>
      <c r="HD18" s="532" t="str">
        <f t="shared" si="24"/>
        <v/>
      </c>
      <c r="HE18" t="str">
        <f t="shared" si="24"/>
        <v>                 ┃          ┃</v>
      </c>
      <c r="HF18" t="str">
        <f t="shared" si="20"/>
        <v/>
      </c>
      <c r="HG18" t="str">
        <f t="shared" si="20"/>
        <v>                 ┃          ┃</v>
      </c>
      <c r="HH18" t="str">
        <f t="shared" si="20"/>
        <v/>
      </c>
      <c r="HI18" s="47" t="str">
        <f t="shared" si="20"/>
        <v>          ┃          ┃</v>
      </c>
      <c r="HJ18" s="738" t="str">
        <f t="shared" si="25"/>
        <v>Q</v>
      </c>
      <c r="HK18" s="738">
        <f t="shared" si="25"/>
        <v>2</v>
      </c>
      <c r="HN18" s="532" t="str">
        <f t="shared" si="3"/>
        <v/>
      </c>
      <c r="HO18" t="str">
        <f t="shared" si="21"/>
        <v>                 ┃          ┃</v>
      </c>
      <c r="HP18" t="str">
        <f t="shared" si="21"/>
        <v/>
      </c>
      <c r="HQ18" t="str">
        <f t="shared" si="21"/>
        <v>                 ┃          ┃</v>
      </c>
      <c r="HR18" t="str">
        <f t="shared" si="21"/>
        <v/>
      </c>
      <c r="HS18" s="47" t="str">
        <f t="shared" si="21"/>
        <v>          ┃          ┃</v>
      </c>
      <c r="HT18" s="738" t="str">
        <f t="shared" si="22"/>
        <v>Q</v>
      </c>
      <c r="HU18" s="738">
        <f>CW18</f>
        <v>2</v>
      </c>
      <c r="HW18" s="47"/>
      <c r="HX18" s="532"/>
      <c r="IG18" s="47"/>
    </row>
    <row r="19" spans="3:241" ht="16.5" customHeight="1" thickBot="1">
      <c r="C19" s="1275"/>
      <c r="D19" s="595" t="str">
        <f>TEXT(12.3,"0.00")</f>
        <v>12.30</v>
      </c>
      <c r="E19" s="712">
        <f>Materials!E3</f>
        <v>12</v>
      </c>
      <c r="F19" s="712">
        <f>Materials!F3</f>
        <v>30</v>
      </c>
      <c r="H19" s="465">
        <f>ROUNDDOWN((F19/D7),0)/(D4/E19)</f>
        <v>5</v>
      </c>
      <c r="I19" s="483" t="str">
        <f>"which is (" &amp; (H19) &amp; ") pieces of (" &amp; (D7) &amp; ") ft equal length from 12 inch roll"</f>
        <v>which is (5) pieces of (6) ft equal length from 12 inch roll</v>
      </c>
      <c r="K19" s="484" t="str">
        <f>"which is (" &amp; (H19) &amp; ") Linear foot total"</f>
        <v>which is (5) Linear foot total</v>
      </c>
      <c r="M19" s="486">
        <f>IF(((D5)-(H19))&lt;=0,0,((D5)-(H19)))</f>
        <v>0</v>
      </c>
      <c r="N19" t="str">
        <f>"which are (" &amp; (D9) &amp; ") ft in length"</f>
        <v>which are (1) ft in length</v>
      </c>
      <c r="P19" s="484">
        <f>IFERROR(ROUNDUP(M19/H19,0),M19)</f>
        <v>0</v>
      </c>
      <c r="R19" s="491">
        <f>((P19)+(H19))</f>
        <v>5</v>
      </c>
      <c r="T19" s="325">
        <f>IFERROR(R19/H19,R19)</f>
        <v>1</v>
      </c>
      <c r="V19" s="325">
        <f>ROUNDUP(T19,0)</f>
        <v>1</v>
      </c>
      <c r="W19" s="711">
        <f>ROUNDUP(D7/F19,0)</f>
        <v>1</v>
      </c>
      <c r="X19" s="776">
        <v>12.15</v>
      </c>
      <c r="Y19" s="765">
        <f>V19</f>
        <v>1</v>
      </c>
      <c r="Z19" s="765">
        <f>IF((H19)=0,IFERROR(ROUNDUP(IF(((D5)-(H19))&lt;=0,0,((D5)-(H19)))/(H19),0),IF(((D5)-(H19))&lt;=0,0,((D5)-(H19))))+(H19),(H19))</f>
        <v>5</v>
      </c>
      <c r="AA19" s="765">
        <f>(Y19*Z19)</f>
        <v>5</v>
      </c>
      <c r="AB19" s="594">
        <f>(AA19/D9)</f>
        <v>5</v>
      </c>
      <c r="AC19" s="491" t="str">
        <f>" " &amp; D7 &amp; "'"</f>
        <v xml:space="preserve"> 6'</v>
      </c>
      <c r="AD19" s="711">
        <f>(W19*AH19)-D7</f>
        <v>24</v>
      </c>
      <c r="AE19" s="263">
        <f>D7-(ROUNDDOWN(D7/F19,0)*F19)</f>
        <v>6</v>
      </c>
      <c r="AF19" s="686">
        <f>D5</f>
        <v>2</v>
      </c>
      <c r="AG19" s="685">
        <f>IFERROR(ROUNDUP(AF19/AB19,0),0)</f>
        <v>1</v>
      </c>
      <c r="AH19" s="524">
        <f>F19</f>
        <v>30</v>
      </c>
      <c r="AK19" s="685">
        <f>AG19*AA19</f>
        <v>5</v>
      </c>
      <c r="AL19" s="263">
        <f>AF19*AK19</f>
        <v>10</v>
      </c>
      <c r="AS19" s="692" t="str">
        <f t="shared" si="23"/>
        <v/>
      </c>
      <c r="AT19" s="715" t="str">
        <f t="shared" si="23"/>
        <v/>
      </c>
      <c r="AU19" s="692" t="str">
        <f t="shared" si="23"/>
        <v/>
      </c>
      <c r="AV19" s="715" t="str">
        <f t="shared" si="23"/>
        <v/>
      </c>
      <c r="AW19" s="692" t="str">
        <f t="shared" si="23"/>
        <v/>
      </c>
      <c r="AX19" s="715" t="str">
        <f t="shared" si="23"/>
        <v/>
      </c>
      <c r="AY19" t="s">
        <v>506</v>
      </c>
      <c r="AZ19" s="726">
        <f>ET14</f>
        <v>4</v>
      </c>
      <c r="BB19" s="1257" t="str" cm="1">
        <f t="array" ref="BB19">_xlfn.IFS($AS$12=$BB$12,AS19,$AS$26=$BB$12,AS33,$AS$40=$BB$12,AS47)</f>
        <v/>
      </c>
      <c r="BC19" s="1229"/>
      <c r="BD19" s="1257" t="str" cm="1">
        <f t="array" ref="BD19">_xlfn.IFS($AS$12=$BB$12,AU19,$AS$26=$BB$12,AU33,$AS$40=$BB$12,AU47)</f>
        <v/>
      </c>
      <c r="BE19" s="1229"/>
      <c r="BF19" s="1257" t="str" cm="1">
        <f t="array" ref="BF19">_xlfn.IFS($AS$12=$BB$12,AW19,$AS$26=$BB$12,AW33,$AS$40=$BB$12,AW47)</f>
        <v/>
      </c>
      <c r="BG19" s="1229"/>
      <c r="BH19" s="744" cm="1">
        <f t="array" ref="BH19">_xlfn.IFS($AS$12=$BB$12,E15,$AS$26=$BB$12,E17,$AS$40=$BB$12,E19)</f>
        <v>12</v>
      </c>
      <c r="BI19" s="716" cm="1">
        <f t="array" ref="BI19">_xlfn.IFS($AS$12=$BB$12,F15,$AS$26=$BB$12,F17,$AS$40=$BB$12,F19)</f>
        <v>15</v>
      </c>
      <c r="BJ19" s="597"/>
      <c r="BK19" s="597"/>
      <c r="BL19" s="741" t="str">
        <f t="shared" si="5"/>
        <v/>
      </c>
      <c r="BM19" s="742" t="str">
        <f t="shared" si="5"/>
        <v>                 ┃          ┃</v>
      </c>
      <c r="BN19" s="742" t="str">
        <f t="shared" si="6"/>
        <v/>
      </c>
      <c r="BO19" s="742" t="str">
        <f t="shared" si="7"/>
        <v>                 ┃          ┃</v>
      </c>
      <c r="BP19" s="742" t="str">
        <f t="shared" si="8"/>
        <v/>
      </c>
      <c r="BQ19" s="736" t="str">
        <f t="shared" si="9"/>
        <v>          ┃          ┃</v>
      </c>
      <c r="BR19" s="717">
        <f>BH19</f>
        <v>12</v>
      </c>
      <c r="BS19" s="552">
        <f>BI19</f>
        <v>15</v>
      </c>
      <c r="BT19" s="597"/>
      <c r="BU19" s="597"/>
      <c r="BV19" s="597"/>
      <c r="BW19" s="1257">
        <f t="shared" si="0"/>
        <v>0</v>
      </c>
      <c r="BX19" s="1258"/>
      <c r="BY19" s="1259">
        <f t="shared" si="10"/>
        <v>0</v>
      </c>
      <c r="BZ19" s="1258"/>
      <c r="CA19" s="1259">
        <f t="shared" si="11"/>
        <v>0</v>
      </c>
      <c r="CB19" s="1229"/>
      <c r="CC19" t="s">
        <v>506</v>
      </c>
      <c r="CD19">
        <f>IF($AP$12=TRUE,AZ19,0)</f>
        <v>0</v>
      </c>
      <c r="CF19" s="1257" t="str" cm="1">
        <f t="array" ref="CF19">_xlfn.IFS($BW$12=$CF$12,BW19,$BW$26=$CF$12,BW33,$BW$40=$CF$12,BW47)</f>
        <v/>
      </c>
      <c r="CG19" s="1229"/>
      <c r="CH19" s="1257" t="str" cm="1">
        <f t="array" ref="CH19">_xlfn.IFS($BW$12=$CF$12,BY19,$BW$26=$CF$12,BY33,$BW$40=$CF$12,BY47)</f>
        <v/>
      </c>
      <c r="CI19" s="1229"/>
      <c r="CJ19" s="1257" t="str" cm="1">
        <f t="array" ref="CJ19">_xlfn.IFS($BW$12=$CF$12,CA19,$BW$26=$CF$12,CA33,$BW$40=$CF$12,CA47)</f>
        <v/>
      </c>
      <c r="CK19" s="1229"/>
      <c r="CL19" s="717" cm="1">
        <f t="array" ref="CL19">_xlfn.IFS($BW$12=$CF$12,E15,$BW$26=$CF$12,E17,$BW$40=$CF$12,E19)</f>
        <v>12</v>
      </c>
      <c r="CM19" s="552" cm="1">
        <f t="array" ref="CM19">_xlfn.IFS($BW$12=$CF$12,F15,$BW$26=$CF$12,F17,$BW$40=$CF$12,F19)</f>
        <v>30</v>
      </c>
      <c r="CN19" s="597"/>
      <c r="CO19" s="743"/>
      <c r="CP19" s="741" t="str">
        <f t="shared" si="12"/>
        <v/>
      </c>
      <c r="CQ19" s="742" t="str">
        <f t="shared" si="13"/>
        <v>                 ┃          ┃</v>
      </c>
      <c r="CR19" s="742" t="str">
        <f t="shared" si="13"/>
        <v/>
      </c>
      <c r="CS19" s="742" t="str">
        <f t="shared" si="13"/>
        <v>                 ┃          ┃</v>
      </c>
      <c r="CT19" s="742" t="str">
        <f t="shared" si="13"/>
        <v/>
      </c>
      <c r="CU19" s="736" t="str">
        <f t="shared" si="13"/>
        <v>          ┃          ┃</v>
      </c>
      <c r="CV19" s="745">
        <f>CL19</f>
        <v>12</v>
      </c>
      <c r="CW19" s="552">
        <f>CM19</f>
        <v>30</v>
      </c>
      <c r="CX19" s="597"/>
      <c r="DA19" s="689">
        <f t="shared" si="14"/>
        <v>0</v>
      </c>
      <c r="DB19" s="689">
        <f t="shared" si="14"/>
        <v>0</v>
      </c>
      <c r="DC19" s="689">
        <f t="shared" si="14"/>
        <v>0</v>
      </c>
      <c r="DD19" s="689">
        <f t="shared" si="14"/>
        <v>0</v>
      </c>
      <c r="DE19" s="689">
        <f t="shared" si="14"/>
        <v>0</v>
      </c>
      <c r="DF19" s="689">
        <f t="shared" si="14"/>
        <v>0</v>
      </c>
      <c r="DG19" s="268"/>
      <c r="DI19" s="689" t="str">
        <f t="shared" si="15"/>
        <v/>
      </c>
      <c r="DJ19" s="689" t="str">
        <f t="shared" si="15"/>
        <v/>
      </c>
      <c r="DK19" s="689" t="str">
        <f t="shared" si="15"/>
        <v/>
      </c>
      <c r="DL19" s="689" t="str">
        <f t="shared" si="15"/>
        <v/>
      </c>
      <c r="DM19" s="689" t="str">
        <f t="shared" si="15"/>
        <v/>
      </c>
      <c r="DN19" s="263" t="str">
        <f t="shared" si="15"/>
        <v/>
      </c>
      <c r="DO19" s="268"/>
      <c r="DP19" s="268"/>
      <c r="DQ19" s="689" t="str">
        <f t="shared" si="16"/>
        <v/>
      </c>
      <c r="DR19" s="689" t="str">
        <f t="shared" si="16"/>
        <v/>
      </c>
      <c r="DS19" s="689" t="str">
        <f t="shared" si="16"/>
        <v/>
      </c>
      <c r="DT19" s="689" t="str">
        <f t="shared" si="16"/>
        <v/>
      </c>
      <c r="DU19" s="689" t="str">
        <f t="shared" si="16"/>
        <v/>
      </c>
      <c r="DV19" s="263" t="str">
        <f t="shared" si="16"/>
        <v/>
      </c>
      <c r="DW19" s="268"/>
      <c r="DX19" s="268"/>
      <c r="DY19" s="689" t="str">
        <f t="shared" si="17"/>
        <v/>
      </c>
      <c r="DZ19" s="689" t="str">
        <f t="shared" si="17"/>
        <v/>
      </c>
      <c r="EA19" s="689" t="str">
        <f t="shared" si="17"/>
        <v/>
      </c>
      <c r="EB19" s="689" t="str">
        <f t="shared" si="17"/>
        <v/>
      </c>
      <c r="EC19" s="689" t="str">
        <f t="shared" si="17"/>
        <v/>
      </c>
      <c r="ED19" s="263" t="str">
        <f t="shared" si="17"/>
        <v/>
      </c>
      <c r="EG19" s="506" t="str">
        <f t="shared" si="18"/>
        <v/>
      </c>
      <c r="EH19" s="506" t="str">
        <f t="shared" si="19"/>
        <v/>
      </c>
      <c r="EI19" s="506" t="str">
        <f t="shared" si="19"/>
        <v/>
      </c>
      <c r="EJ19" s="506" t="str">
        <f t="shared" si="19"/>
        <v/>
      </c>
      <c r="EK19" s="506" t="str">
        <f t="shared" si="19"/>
        <v/>
      </c>
      <c r="EL19" s="524" t="str">
        <f t="shared" si="19"/>
        <v/>
      </c>
      <c r="HA19" s="47"/>
      <c r="HD19" s="663" t="str">
        <f t="shared" si="24"/>
        <v/>
      </c>
      <c r="HE19" s="46" t="str">
        <f t="shared" si="24"/>
        <v>                 ┃          ┃</v>
      </c>
      <c r="HF19" s="46" t="str">
        <f t="shared" si="20"/>
        <v/>
      </c>
      <c r="HG19" s="46" t="str">
        <f t="shared" si="20"/>
        <v>                 ┃          ┃</v>
      </c>
      <c r="HH19" s="46" t="str">
        <f t="shared" si="20"/>
        <v/>
      </c>
      <c r="HI19" s="664" t="str">
        <f t="shared" si="20"/>
        <v>          ┃          ┃</v>
      </c>
      <c r="HJ19" s="642">
        <f t="shared" si="25"/>
        <v>12</v>
      </c>
      <c r="HK19" s="633">
        <f t="shared" si="25"/>
        <v>15</v>
      </c>
      <c r="HN19" s="663" t="str">
        <f t="shared" si="3"/>
        <v/>
      </c>
      <c r="HO19" s="46" t="str">
        <f t="shared" si="21"/>
        <v>                 ┃          ┃</v>
      </c>
      <c r="HP19" s="46" t="str">
        <f t="shared" si="21"/>
        <v/>
      </c>
      <c r="HQ19" s="46" t="str">
        <f t="shared" si="21"/>
        <v>                 ┃          ┃</v>
      </c>
      <c r="HR19" s="46" t="str">
        <f t="shared" si="21"/>
        <v/>
      </c>
      <c r="HS19" s="664" t="str">
        <f t="shared" si="21"/>
        <v>          ┃          ┃</v>
      </c>
      <c r="HT19" s="642">
        <f t="shared" si="22"/>
        <v>12</v>
      </c>
      <c r="HU19" s="633">
        <f>CW19</f>
        <v>30</v>
      </c>
      <c r="HW19" s="47"/>
      <c r="HX19" s="532"/>
      <c r="IG19" s="47"/>
    </row>
    <row r="20" spans="3:241">
      <c r="C20" s="662"/>
      <c r="D20" s="479"/>
      <c r="E20" s="479"/>
      <c r="H20" s="477"/>
      <c r="I20" s="477"/>
      <c r="K20" s="485"/>
      <c r="M20" s="487"/>
      <c r="P20" s="485"/>
      <c r="R20" s="320"/>
      <c r="Y20" s="583"/>
      <c r="Z20" s="764"/>
      <c r="AA20" s="764"/>
      <c r="AB20" s="764"/>
      <c r="AY20" t="s">
        <v>612</v>
      </c>
      <c r="AZ20">
        <f>IF(H15=0,0,1)</f>
        <v>1</v>
      </c>
      <c r="BS20" s="597"/>
      <c r="CC20" t="s">
        <v>612</v>
      </c>
      <c r="CD20">
        <f>IF($AP$12=TRUE,AZ20,0)</f>
        <v>0</v>
      </c>
      <c r="CW20" s="597"/>
      <c r="HA20" s="47"/>
      <c r="HW20" s="47"/>
      <c r="HX20" s="532"/>
      <c r="IG20" s="47"/>
    </row>
    <row r="21" spans="3:241" ht="30">
      <c r="C21" s="662"/>
      <c r="D21" s="479"/>
      <c r="E21" s="479"/>
      <c r="H21" s="477"/>
      <c r="I21" s="477"/>
      <c r="K21" s="485"/>
      <c r="M21" s="487"/>
      <c r="P21" s="485"/>
      <c r="R21" s="320"/>
      <c r="Y21" s="583"/>
      <c r="Z21" s="764"/>
      <c r="AA21" s="764"/>
      <c r="AB21" s="764"/>
      <c r="AY21" s="289" t="s">
        <v>613</v>
      </c>
      <c r="AZ21" s="597">
        <f>IF(AZ20=0,AZ19*D9,AZ19)</f>
        <v>4</v>
      </c>
      <c r="CC21" s="289" t="s">
        <v>613</v>
      </c>
      <c r="CD21">
        <f>IF($AP$12=TRUE,AZ21,0)</f>
        <v>0</v>
      </c>
      <c r="HA21" s="47"/>
      <c r="HW21" s="47"/>
      <c r="HX21" s="532"/>
      <c r="IG21" s="47"/>
    </row>
    <row r="22" spans="3:241" ht="15.75" thickBot="1">
      <c r="C22" s="662"/>
      <c r="D22" s="479"/>
      <c r="E22" s="479"/>
      <c r="H22" s="477"/>
      <c r="I22" s="477"/>
      <c r="K22" s="485"/>
      <c r="M22" s="487"/>
      <c r="P22" s="485"/>
      <c r="R22" s="320"/>
      <c r="Y22" s="583"/>
      <c r="Z22" s="764"/>
      <c r="AA22" s="764"/>
      <c r="AB22" s="764"/>
      <c r="AY22" t="s">
        <v>614</v>
      </c>
      <c r="AZ22">
        <f>SUM(AY15:AY16)</f>
        <v>2</v>
      </c>
      <c r="CC22" t="s">
        <v>614</v>
      </c>
      <c r="CD22">
        <f>IF($AP$12=TRUE,AZ22,0)</f>
        <v>0</v>
      </c>
      <c r="HA22" s="47"/>
      <c r="HW22" s="47"/>
      <c r="HX22" s="532"/>
      <c r="IG22" s="47"/>
    </row>
    <row r="23" spans="3:241" ht="15.75" thickBot="1">
      <c r="C23" s="662"/>
      <c r="D23" s="479"/>
      <c r="E23" s="479"/>
      <c r="H23" s="477"/>
      <c r="K23" s="485"/>
      <c r="M23" s="487"/>
      <c r="P23" s="485"/>
      <c r="R23" s="320"/>
      <c r="Y23" s="583"/>
      <c r="Z23" s="764"/>
      <c r="AA23" s="764"/>
      <c r="AB23" s="764"/>
      <c r="AY23" s="597" t="s">
        <v>615</v>
      </c>
      <c r="AZ23" s="320">
        <f>GJ14</f>
        <v>-8</v>
      </c>
      <c r="BB23" s="1230" t="str">
        <f>"OPTIMAL BASED ON MATERIALS ("&amp; $BN$4 &amp;""")"</f>
        <v>OPTIMAL BASED ON MATERIALS (12")</v>
      </c>
      <c r="BC23" s="1231"/>
      <c r="BD23" s="1231"/>
      <c r="BE23" s="1231"/>
      <c r="BF23" s="1231"/>
      <c r="BG23" s="1231"/>
      <c r="BH23" s="1231"/>
      <c r="BI23" s="1232"/>
      <c r="CC23" s="597" t="s">
        <v>615</v>
      </c>
      <c r="CD23">
        <f>IF($AP$12=TRUE,AZ23,0)</f>
        <v>0</v>
      </c>
      <c r="CF23" s="1230" t="str">
        <f>"OPTIMAL BASED ON MATERIALS ("&amp; $BN$4 &amp;""")"</f>
        <v>OPTIMAL BASED ON MATERIALS (12")</v>
      </c>
      <c r="CG23" s="1231"/>
      <c r="CH23" s="1231"/>
      <c r="CI23" s="1231"/>
      <c r="CJ23" s="1231"/>
      <c r="CK23" s="1231"/>
      <c r="CL23" s="1231"/>
      <c r="CM23" s="1232"/>
      <c r="HA23" s="47"/>
      <c r="HW23" s="47"/>
      <c r="HX23" s="532"/>
      <c r="IG23" s="47"/>
    </row>
    <row r="24" spans="3:241">
      <c r="C24" s="662"/>
      <c r="D24" s="479"/>
      <c r="E24" s="479"/>
      <c r="H24" s="477"/>
      <c r="K24" s="485"/>
      <c r="M24" s="487"/>
      <c r="P24" s="485"/>
      <c r="R24" s="320"/>
      <c r="Y24" s="583"/>
      <c r="Z24" s="764"/>
      <c r="AA24" s="764"/>
      <c r="AB24" s="764"/>
      <c r="CC24" s="597"/>
      <c r="HA24" s="47"/>
      <c r="HW24" s="47"/>
      <c r="HX24" s="532"/>
      <c r="IG24" s="47"/>
    </row>
    <row r="25" spans="3:241" ht="15.75" thickBot="1">
      <c r="C25" s="532"/>
      <c r="AN25" t="s">
        <v>566</v>
      </c>
      <c r="AO25" t="s">
        <v>567</v>
      </c>
      <c r="CC25" s="597"/>
      <c r="HA25" s="47"/>
      <c r="HW25" s="47"/>
      <c r="HX25" s="532"/>
      <c r="IG25" s="47"/>
    </row>
    <row r="26" spans="3:241" ht="45.75" thickBot="1">
      <c r="C26" s="532"/>
      <c r="AO26" s="320" t="b">
        <f>Materials!$D$2</f>
        <v>0</v>
      </c>
      <c r="AP26" s="320" t="b">
        <f>AND(AN26,AO26)</f>
        <v>0</v>
      </c>
      <c r="AQ26" t="b">
        <f>AND(AP26=TRUE,BI19=15)</f>
        <v>0</v>
      </c>
      <c r="AS26" s="1280" t="str">
        <f>"" &amp; D17 &amp; " (" &amp;ET28&amp; ")"</f>
        <v>12.15 (2)</v>
      </c>
      <c r="AT26" s="1281"/>
      <c r="AU26" s="1281"/>
      <c r="AV26" s="1281"/>
      <c r="AW26" s="1281"/>
      <c r="AX26" s="1282"/>
      <c r="BB26" s="1230" t="str">
        <f>BB12</f>
        <v>12.15 (2)</v>
      </c>
      <c r="BC26" s="1231"/>
      <c r="BD26" s="1231"/>
      <c r="BE26" s="1231"/>
      <c r="BF26" s="1231"/>
      <c r="BG26" s="1232"/>
      <c r="BW26" s="1230">
        <f t="shared" ref="BW26:BW33" si="26">IF($AP$26=TRUE,AS26,0)</f>
        <v>0</v>
      </c>
      <c r="BX26" s="1231"/>
      <c r="BY26" s="1231"/>
      <c r="BZ26" s="1231"/>
      <c r="CA26" s="1231"/>
      <c r="CB26" s="1232"/>
      <c r="CF26" s="1230" t="str">
        <f>CF12</f>
        <v>12.30 (2)</v>
      </c>
      <c r="CG26" s="1231"/>
      <c r="CH26" s="1231"/>
      <c r="CI26" s="1231"/>
      <c r="CJ26" s="1231"/>
      <c r="CK26" s="1232"/>
      <c r="DA26" s="1005">
        <f>SUM(DA28:DB33)</f>
        <v>1</v>
      </c>
      <c r="DB26" s="1006"/>
      <c r="DC26" s="1005">
        <f>SUM(DC28:DD33)</f>
        <v>1</v>
      </c>
      <c r="DD26" s="1006"/>
      <c r="DE26" s="1005">
        <f>SUM(DE28:DF33)</f>
        <v>0</v>
      </c>
      <c r="DF26" s="1006"/>
      <c r="DG26" s="268"/>
      <c r="DI26" s="1005">
        <f>SUM(DI28:DJ33)</f>
        <v>6</v>
      </c>
      <c r="DJ26" s="1006"/>
      <c r="DK26" s="1005">
        <f>SUM(DK28:DL33)</f>
        <v>6</v>
      </c>
      <c r="DL26" s="1006"/>
      <c r="DM26" s="1005">
        <f>SUM(DM28:DN33)</f>
        <v>0</v>
      </c>
      <c r="DN26" s="1006"/>
      <c r="DO26" s="268"/>
      <c r="DP26" s="268"/>
      <c r="DQ26" s="1230" t="s">
        <v>569</v>
      </c>
      <c r="DR26" s="1231"/>
      <c r="DS26" s="1231"/>
      <c r="DT26" s="1231"/>
      <c r="DU26" s="1231"/>
      <c r="DV26" s="1232"/>
      <c r="DW26" s="268"/>
      <c r="DX26" s="268"/>
      <c r="DY26" s="1230" t="s">
        <v>570</v>
      </c>
      <c r="DZ26" s="1231"/>
      <c r="EA26" s="1231"/>
      <c r="EB26" s="1231"/>
      <c r="EC26" s="1231"/>
      <c r="ED26" s="1232"/>
      <c r="EE26" s="268"/>
      <c r="EF26" s="268"/>
      <c r="EG26" s="1230" t="s">
        <v>571</v>
      </c>
      <c r="EH26" s="1231"/>
      <c r="EI26" s="1231"/>
      <c r="EJ26" s="1231"/>
      <c r="EK26" s="1231"/>
      <c r="EL26" s="1232"/>
      <c r="EM26" s="268"/>
      <c r="EN26" s="268"/>
      <c r="EO26" s="724" t="s">
        <v>572</v>
      </c>
      <c r="EP26" s="268"/>
      <c r="EQ26" s="268"/>
      <c r="ER26" s="724" t="s">
        <v>573</v>
      </c>
      <c r="ES26" s="268"/>
      <c r="ET26" s="724" t="s">
        <v>574</v>
      </c>
      <c r="EU26" s="268"/>
      <c r="EV26" s="268"/>
      <c r="EW26" s="268"/>
      <c r="EX26" s="552" t="s">
        <v>575</v>
      </c>
      <c r="EY26" s="268"/>
      <c r="EZ26" s="268"/>
      <c r="FA26" s="268"/>
      <c r="FB26" s="552" t="s">
        <v>577</v>
      </c>
      <c r="FC26" s="268"/>
      <c r="FD26" s="552" t="s">
        <v>578</v>
      </c>
      <c r="FE26" s="268"/>
      <c r="FF26" s="552" t="s">
        <v>579</v>
      </c>
      <c r="FG26" s="268"/>
      <c r="FH26" s="552" t="s">
        <v>580</v>
      </c>
      <c r="FJ26" s="268"/>
      <c r="FK26" s="552" t="s">
        <v>581</v>
      </c>
      <c r="FL26" s="268"/>
      <c r="FM26" s="552" t="s">
        <v>582</v>
      </c>
      <c r="FN26" s="268"/>
      <c r="FO26" s="552" t="s">
        <v>583</v>
      </c>
      <c r="FP26" s="268"/>
      <c r="FQ26" s="552" t="s">
        <v>584</v>
      </c>
      <c r="FR26" s="268"/>
      <c r="FS26" s="552" t="s">
        <v>585</v>
      </c>
      <c r="FT26" s="268"/>
      <c r="FU26" s="552" t="s">
        <v>586</v>
      </c>
      <c r="FV26" s="268"/>
      <c r="FY26" s="627" t="s">
        <v>587</v>
      </c>
      <c r="FZ26" t="s">
        <v>588</v>
      </c>
      <c r="GA26" s="627" t="s">
        <v>589</v>
      </c>
      <c r="GC26" s="627" t="s">
        <v>587</v>
      </c>
      <c r="GD26" s="627" t="s">
        <v>590</v>
      </c>
      <c r="GE26" s="268"/>
      <c r="GF26" s="627" t="s">
        <v>587</v>
      </c>
      <c r="GG26" s="627" t="s">
        <v>590</v>
      </c>
      <c r="GH26" s="268"/>
      <c r="GI26" s="268"/>
      <c r="GJ26" s="627" t="s">
        <v>589</v>
      </c>
      <c r="GL26" s="627" t="s">
        <v>587</v>
      </c>
      <c r="GM26" s="627" t="s">
        <v>590</v>
      </c>
      <c r="GN26" s="268"/>
      <c r="GO26" s="627" t="s">
        <v>587</v>
      </c>
      <c r="GP26" s="627" t="s">
        <v>590</v>
      </c>
      <c r="GQ26" s="268"/>
      <c r="HA26" s="47"/>
      <c r="HW26" s="47"/>
      <c r="HX26" s="532"/>
      <c r="IG26" s="47"/>
    </row>
    <row r="27" spans="3:241" ht="15.75" thickBot="1">
      <c r="C27" s="532"/>
      <c r="AS27" s="1238" t="s">
        <v>608</v>
      </c>
      <c r="AT27" s="1239"/>
      <c r="AU27" s="1238" t="s">
        <v>608</v>
      </c>
      <c r="AV27" s="1239"/>
      <c r="AW27" s="1238" t="s">
        <v>608</v>
      </c>
      <c r="AX27" s="1239"/>
      <c r="AY27" s="1283" t="s">
        <v>544</v>
      </c>
      <c r="AZ27" s="1284"/>
      <c r="BB27" s="1256" t="s">
        <v>608</v>
      </c>
      <c r="BC27" s="1262"/>
      <c r="BD27" s="1256" t="s">
        <v>608</v>
      </c>
      <c r="BE27" s="1262"/>
      <c r="BF27" s="1256" t="s">
        <v>608</v>
      </c>
      <c r="BG27" s="1262"/>
      <c r="BH27" s="1233" t="s">
        <v>544</v>
      </c>
      <c r="BI27" s="1234"/>
      <c r="BW27" s="1256" t="s">
        <v>608</v>
      </c>
      <c r="BX27" s="1262"/>
      <c r="BY27" s="1256" t="s">
        <v>608</v>
      </c>
      <c r="BZ27" s="1262"/>
      <c r="CA27" s="1256" t="s">
        <v>608</v>
      </c>
      <c r="CB27" s="1262"/>
      <c r="CC27" s="1233" t="s">
        <v>544</v>
      </c>
      <c r="CD27" s="1234"/>
      <c r="CF27" s="1256" t="s">
        <v>608</v>
      </c>
      <c r="CG27" s="1262"/>
      <c r="CH27" s="1256" t="s">
        <v>608</v>
      </c>
      <c r="CI27" s="1262"/>
      <c r="CJ27" s="1256" t="s">
        <v>608</v>
      </c>
      <c r="CK27" s="1262"/>
      <c r="CL27" s="1233" t="s">
        <v>544</v>
      </c>
      <c r="CM27" s="1234"/>
      <c r="EO27" s="374"/>
      <c r="ER27" s="374"/>
      <c r="ET27" s="374"/>
      <c r="GS27" s="724" t="s">
        <v>437</v>
      </c>
      <c r="HA27" s="47"/>
      <c r="HW27" s="47"/>
      <c r="HX27" s="532"/>
      <c r="IG27" s="47"/>
    </row>
    <row r="28" spans="3:241" ht="15.75" thickBot="1">
      <c r="C28" s="532"/>
      <c r="AS28" s="1235" t="str">
        <f t="shared" ref="AS28:AS33" si="27">_xlfn.LET(
_xlpm.total,IF($H$17=0,$D$7,AL17),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xml:space="preserve"> 6' (1)</v>
      </c>
      <c r="AT28" s="1285"/>
      <c r="AU28" s="1235" t="str">
        <f t="shared" ref="AU28:AU33" si="28">_xlfn.LET(
_xlpm.total,IF($H$17=0,$D$7,AN17),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xml:space="preserve"> 6' (1)</v>
      </c>
      <c r="AV28" s="1285"/>
      <c r="AW28" s="1235" t="str">
        <f t="shared" ref="AW28:AW33" si="29">_xlfn.LET(
_xlpm.total,IF($H$17=0,$D$7,AP17),
_xlpm.fullName,IF($H$17=0,$AH$17,$AC$17),
_xlpm.leftName,$AE$17,
_xlpm.perNum,$Z$17,
_xlpm.allowCols,IF($D$5=1,1,$AF$17),
_xlpm.fullCount,INT(_xlpm.total/_xlpm.fullName),
_xlpm.leftOver,MOD(_xlpm.total,_xlpm.fullName),
_xlpm.maxCount,_xlpm.fullCount+IF(_xlpm.leftOver&gt;0,1,0),
_xlpm.rowsPerCol,IF($H$17=0,_xlpm.maxCount,$D$9),
_xlpm.rowInCol,ROW()-ROW($AS$28)+1,
_xlpm.colBlock,INT((COLUMN()-COLUMN($AS$28))/2),
_xlpm.n,IF(
    $H$17=0,
    _xlpm.rowInCol,
    (_xlpm.rowInCol-1)*_xlpm.allowCols+_xlpm.colBlock+1
),
IF($H$17&lt;&gt;0,
    IF(OR(
        _xlpm.rowInCol&gt;_xlpm.rowsPerCol,
        _xlpm.colBlock+1&gt;_xlpm.allowCols,
        _xlpm.n&gt;$AF$17*$AK$17
    ),
        "",
        TEXT(_xlpm.fullName,"0.00")&amp;" ("&amp;ROUNDUP(_xlpm.n/_xlpm.perNum,0)&amp;")"
    ),
    IF(OR(_xlpm.rowInCol&gt;_xlpm.rowsPerCol,_xlpm.colBlock+1&gt;_xlpm.allowCols),
        "",
        IF(_xlpm.n&lt;=_xlpm.fullCount,
            TEXT(_xlpm.fullName,"0")&amp;"' ("&amp;_xlpm.n&amp;")",
            TEXT(_xlpm.leftName,"0")&amp;"' ("&amp;_xlpm.n&amp;")"
        )
    )
)
)</f>
        <v/>
      </c>
      <c r="AX28" s="1285"/>
      <c r="AY28" s="1286" t="str">
        <f>GY28</f>
        <v>Total 15'</v>
      </c>
      <c r="AZ28" s="1269"/>
      <c r="BB28" s="737" t="str">
        <f>IF(BB14="","",REPT(CHAR(160),13+(2*(2/LEN(_xlfn.TEXTBEFORE(BB14,"'")))))&amp;_xlfn.TEXTBEFORE(BB14,"'"))</f>
        <v>                6</v>
      </c>
      <c r="BC28" s="739" t="str">
        <f t="shared" ref="BC28:BC33" si="30">IF(BB14="",REPT(CHAR(160),LEN(BB$14)+10)&amp;"┃","'"&amp;_xlfn.TEXTAFTER(BB14,"'"))&amp;REPT(CHAR(160),10)&amp;"┃"</f>
        <v>' (1)          ┃</v>
      </c>
      <c r="BD28" s="739" t="str">
        <f>IF(BD14="","",REPT(CHAR(160),13+(2*(2/LEN(_xlfn.TEXTBEFORE(BD14,"'")))))&amp;_xlfn.TEXTBEFORE(BD14,"'"))</f>
        <v>                6</v>
      </c>
      <c r="BE28" s="739" t="str">
        <f t="shared" ref="BE28:BE33" si="31">IF(BD14="",REPT(CHAR(160),LEN(BD$14)+10)&amp;"┃","'"&amp;_xlfn.TEXTAFTER(BD14,"'"))&amp;REPT(CHAR(160),10)&amp;"┃"</f>
        <v>' (1)          ┃</v>
      </c>
      <c r="BF28" s="739" t="str">
        <f>IF(BF14="","",REPT(CHAR(160),13+(2*(2/LEN(_xlfn.TEXTBEFORE(BF14,"'")))))&amp;_xlfn.TEXTBEFORE(BF14,"'"))</f>
        <v/>
      </c>
      <c r="BG28" s="733" t="str">
        <f t="shared" ref="BG28:BG33" si="32">IF(BF14="",REPT(CHAR(160),LEN(BF$14)+10)&amp;"┃","'"&amp;_xlfn.TEXTAFTER(BF14,"'"))&amp;REPT(CHAR(160),10)&amp;"┃"</f>
        <v>          ┃          ┃</v>
      </c>
      <c r="BH28" s="1287" t="str">
        <f>BH14</f>
        <v>Total 15'</v>
      </c>
      <c r="BI28" s="1288"/>
      <c r="BW28" s="1261">
        <f t="shared" si="26"/>
        <v>0</v>
      </c>
      <c r="BX28" s="1237"/>
      <c r="BY28" s="1236">
        <f t="shared" ref="BY28:BY33" si="33">IF($AP$26=TRUE,AU28,0)</f>
        <v>0</v>
      </c>
      <c r="BZ28" s="1237"/>
      <c r="CA28" s="1236">
        <f t="shared" ref="CA28:CA33" si="34">IF($AP$26=TRUE,AW28,0)</f>
        <v>0</v>
      </c>
      <c r="CB28" s="1237"/>
      <c r="CC28" s="1230">
        <f>IF($AP$26=TRUE,AY28,0)</f>
        <v>0</v>
      </c>
      <c r="CD28" s="1232"/>
      <c r="CF28" s="737" t="str">
        <f t="shared" ref="CF28:CF33" si="35">IF(CF14="","",REPT(CHAR(160),13+(2*(2/LEN(_xlfn.TEXTBEFORE(CF14,"'")))))&amp;_xlfn.TEXTBEFORE(CF14,"'"))</f>
        <v>                6</v>
      </c>
      <c r="CG28" s="739" t="str">
        <f t="shared" ref="CG28:CG33" si="36">IF(CF14="",REPT(CHAR(160),LEN(CF$14)+10)&amp;"┃","'"&amp;_xlfn.TEXTAFTER(CF14,"'"))&amp;REPT(CHAR(160),10)&amp;"┃"</f>
        <v>' (1)          ┃</v>
      </c>
      <c r="CH28" s="739" t="str">
        <f t="shared" ref="CH28:CH33" si="37">IF(CH14="","",REPT(CHAR(160),13+(2*(2/LEN(_xlfn.TEXTBEFORE(CH14,"'")))))&amp;_xlfn.TEXTBEFORE(CH14,"'"))</f>
        <v>                6</v>
      </c>
      <c r="CI28" s="739" t="str">
        <f t="shared" ref="CI28:CI33" si="38">IF(CH14="",REPT(CHAR(160),LEN(CH$14)+10)&amp;"┃","'"&amp;_xlfn.TEXTAFTER(CH14,"'"))&amp;REPT(CHAR(160),10)&amp;"┃"</f>
        <v>' (1)          ┃</v>
      </c>
      <c r="CJ28" s="739" t="str">
        <f t="shared" ref="CJ28:CJ33" si="39">IF(CJ14="","",REPT(CHAR(160),13+(2*(2/LEN(_xlfn.TEXTBEFORE(CJ14,"'")))))&amp;_xlfn.TEXTBEFORE(CJ14,"'"))</f>
        <v/>
      </c>
      <c r="CK28" s="733" t="str">
        <f t="shared" ref="CK28:CK33" si="40">IF(CJ14="",REPT(CHAR(160),LEN(CJ$14)+10)&amp;"┃","'"&amp;_xlfn.TEXTAFTER(CJ14,"'"))&amp;REPT(CHAR(160),10)&amp;"┃"</f>
        <v>          ┃          ┃</v>
      </c>
      <c r="CL28" s="1287" t="str">
        <f>CL14</f>
        <v>Total 30'</v>
      </c>
      <c r="CM28" s="1288"/>
      <c r="DA28" s="1005">
        <f t="shared" ref="DA28:DA33" si="41">IF(LEN(AS28)&gt;0,1,0)</f>
        <v>1</v>
      </c>
      <c r="DB28" s="1006"/>
      <c r="DC28" s="1005">
        <f t="shared" ref="DC28:DC33" si="42">IF(LEN(AU28)&gt;0,1,0)</f>
        <v>1</v>
      </c>
      <c r="DD28" s="1006"/>
      <c r="DE28" s="1005">
        <f t="shared" ref="DE28:DE33" si="43">IF(LEN(AW28)&gt;0,1,0)</f>
        <v>0</v>
      </c>
      <c r="DF28" s="1006"/>
      <c r="DG28" s="268"/>
      <c r="DI28" s="1005">
        <f t="shared" ref="DI28:DI33" si="44">IF(AS28="","",--_xlfn.TEXTBEFORE(AS28,"'"))</f>
        <v>6</v>
      </c>
      <c r="DJ28" s="1006"/>
      <c r="DK28" s="1005">
        <f t="shared" ref="DK28:DK33" si="45">IF(AU28="","",--_xlfn.TEXTBEFORE(AU28,"'"))</f>
        <v>6</v>
      </c>
      <c r="DL28" s="1006"/>
      <c r="DM28" s="1005" t="str">
        <f t="shared" ref="DM28:DM33" si="46">IF(AW28="","",--_xlfn.TEXTBEFORE(AW28,"'"))</f>
        <v/>
      </c>
      <c r="DN28" s="1006"/>
      <c r="DO28" s="268"/>
      <c r="DP28" s="268"/>
      <c r="DQ28" s="1005">
        <f t="shared" ref="DQ28:DQ33" si="47">IF(DI28=$GS$29,DI28,"")</f>
        <v>6</v>
      </c>
      <c r="DR28" s="1006"/>
      <c r="DS28" s="1005">
        <f t="shared" ref="DS28:DS33" si="48">IF(DK28=$GS$29,DK28,"")</f>
        <v>6</v>
      </c>
      <c r="DT28" s="1006"/>
      <c r="DU28" s="1005" t="str">
        <f t="shared" ref="DU28:DU33" si="49">IF(DM28=$GS$29,DM28,"")</f>
        <v/>
      </c>
      <c r="DV28" s="1006"/>
      <c r="DW28" s="268"/>
      <c r="DX28" s="268"/>
      <c r="DY28" s="1005" t="str">
        <f t="shared" ref="DY28:DY33" si="50">IF(DQ28=$GS$29,"",IF(DI28="","",IF(DI28=$GS$29,$AH$17-DI28,$AH$17-$AD$17)))</f>
        <v/>
      </c>
      <c r="DZ28" s="1006"/>
      <c r="EA28" s="1005" t="str">
        <f t="shared" ref="EA28:EA33" si="51">IF(DS28=$GS$29,"",IF(DK28="","",IF(DK28=$GS$29,$AH$17-DK28,$AH$17-$AD$17)))</f>
        <v/>
      </c>
      <c r="EB28" s="1006"/>
      <c r="EC28" s="1005" t="str">
        <f t="shared" ref="EC28:EC33" si="52">IF(DU28=$GS$29,"",IF(DM28="","",IF(DM28=$GS$29,$AH$17-DM28,$AH$17-$AD$17)))</f>
        <v/>
      </c>
      <c r="ED28" s="1006"/>
      <c r="EE28" s="268"/>
      <c r="EF28" s="268"/>
      <c r="EG28" s="1003">
        <f t="shared" ref="EG28:EG33" si="53">IF(DI28="","",$F$17-DI28)</f>
        <v>9</v>
      </c>
      <c r="EH28" s="1004"/>
      <c r="EI28" s="1003">
        <f t="shared" ref="EI28:EI33" si="54">IF(DK28="","",$F$17-DK28)</f>
        <v>9</v>
      </c>
      <c r="EJ28" s="1004"/>
      <c r="EK28" s="1003" t="str">
        <f t="shared" ref="EK28:EK33" si="55">IF(DM28="","",$F$17-DM28)</f>
        <v/>
      </c>
      <c r="EL28" s="1004"/>
      <c r="EM28" s="268"/>
      <c r="EN28" s="268"/>
      <c r="EO28" s="724">
        <f>COUNT(DQ28:DV33)</f>
        <v>2</v>
      </c>
      <c r="EP28" s="268"/>
      <c r="EQ28" s="268"/>
      <c r="ER28" s="725">
        <f>IF(EZ31=0,GL28+GO28,0)</f>
        <v>0</v>
      </c>
      <c r="ES28" s="268"/>
      <c r="ET28" s="725">
        <f>EO28+ER28</f>
        <v>2</v>
      </c>
      <c r="EU28" s="268"/>
      <c r="EV28" s="268"/>
      <c r="EW28" s="268"/>
      <c r="EX28" s="718">
        <f>MAX(DY28:ED33)</f>
        <v>0</v>
      </c>
      <c r="EY28" s="320"/>
      <c r="EZ28" s="320"/>
      <c r="FA28" s="320"/>
      <c r="FB28" s="718">
        <f>IF(IFERROR(ROUNDDOWN($F$17/EX28,0),0)&lt;=FU28,IFERROR(ROUNDDOWN($F$17/EX28,0),0),FU28)</f>
        <v>0</v>
      </c>
      <c r="FC28" s="320"/>
      <c r="FD28" s="718">
        <f>FB28*EX28</f>
        <v>0</v>
      </c>
      <c r="FE28" s="320"/>
      <c r="FF28" s="718">
        <f>IF($F$17-FD28=$F$17,0,$F$17-FD28)</f>
        <v>0</v>
      </c>
      <c r="FG28" s="320"/>
      <c r="FH28" s="718">
        <f>IFERROR(ROUNDDOWN(FK28/FD28,0),0)</f>
        <v>0</v>
      </c>
      <c r="FJ28" s="268"/>
      <c r="FK28" s="632">
        <f>SUM(DY28:ED33)</f>
        <v>0</v>
      </c>
      <c r="FM28" s="718">
        <f>IF($F$17-(FK28-FD28)=$F$17,0,$F$17-(FK28-FD28))</f>
        <v>0</v>
      </c>
      <c r="FN28" s="320"/>
      <c r="FO28" s="718">
        <f>IF(FM28=0,0,1)</f>
        <v>0</v>
      </c>
      <c r="FQ28" s="632">
        <f>IFERROR(IF(FF28=0,0,ROUNDUP(FK28/$F$17,0)),0)</f>
        <v>0</v>
      </c>
      <c r="FS28" s="718">
        <f>FQ28*$F$17</f>
        <v>0</v>
      </c>
      <c r="FU28" s="632">
        <f>COUNT(DY28:ED33)</f>
        <v>0</v>
      </c>
      <c r="FV28" s="268"/>
      <c r="FY28" s="720">
        <f>GC28+GF28</f>
        <v>0</v>
      </c>
      <c r="GA28" s="718">
        <f>(GC28*GD28)+(GF28*GG28)</f>
        <v>0</v>
      </c>
      <c r="GC28" s="687">
        <f>FH28</f>
        <v>0</v>
      </c>
      <c r="GD28" s="719">
        <f>FF28</f>
        <v>0</v>
      </c>
      <c r="GE28" s="1" t="s">
        <v>441</v>
      </c>
      <c r="GF28" s="687">
        <f>FO28</f>
        <v>0</v>
      </c>
      <c r="GG28" s="719">
        <f>FM28</f>
        <v>0</v>
      </c>
      <c r="GH28" s="320"/>
      <c r="GI28" s="320"/>
      <c r="GJ28" s="718">
        <f>IF($EZ$31=0,GA28,GA31)</f>
        <v>15</v>
      </c>
      <c r="GL28" s="718">
        <f>IF($EZ$31=0,GC28,GC31)</f>
        <v>1</v>
      </c>
      <c r="GM28" s="718">
        <f>IF($EZ$31=0,GD28,GD31)</f>
        <v>9</v>
      </c>
      <c r="GN28" s="1" t="s">
        <v>441</v>
      </c>
      <c r="GO28" s="718">
        <f>IF($EZ$31=0,GF28,GF31)</f>
        <v>1</v>
      </c>
      <c r="GP28" s="718">
        <f>IF($EZ$31=0,GG28,GG31)</f>
        <v>6</v>
      </c>
      <c r="GQ28" s="320"/>
      <c r="GY28" s="1271" t="str">
        <f>"Total " &amp; GJ28&amp; "'"</f>
        <v>Total 15'</v>
      </c>
      <c r="GZ28" s="1272"/>
      <c r="HA28" s="12"/>
      <c r="HB28" s="1"/>
      <c r="HC28" s="1"/>
      <c r="HD28" s="1"/>
      <c r="HE28" s="1"/>
      <c r="HF28" s="1"/>
      <c r="HG28" s="1"/>
      <c r="HH28" s="1"/>
      <c r="HI28" s="1"/>
      <c r="HJ28" s="1"/>
      <c r="HK28" s="1"/>
      <c r="HL28" s="1"/>
      <c r="HM28" s="1"/>
      <c r="HN28" s="1"/>
      <c r="HO28" s="1"/>
      <c r="HP28" s="1"/>
      <c r="HQ28" s="1"/>
      <c r="HR28" s="1"/>
      <c r="HS28" s="1"/>
      <c r="HT28" s="1"/>
      <c r="HU28" s="1"/>
      <c r="HV28" s="1"/>
      <c r="HW28" s="47"/>
      <c r="HX28" s="532"/>
      <c r="IG28" s="47"/>
    </row>
    <row r="29" spans="3:241" ht="15.75" thickBot="1">
      <c r="C29" s="532"/>
      <c r="AS29" s="1225" t="str">
        <f t="shared" si="27"/>
        <v/>
      </c>
      <c r="AT29" s="1289"/>
      <c r="AU29" s="1225" t="str">
        <f t="shared" si="28"/>
        <v/>
      </c>
      <c r="AV29" s="1289"/>
      <c r="AW29" s="1225" t="str">
        <f t="shared" si="29"/>
        <v/>
      </c>
      <c r="AX29" s="1289"/>
      <c r="AY29" s="455">
        <f>GY29</f>
        <v>1</v>
      </c>
      <c r="AZ29" s="456" t="str">
        <f>GZ29</f>
        <v>9' rolls</v>
      </c>
      <c r="BB29" s="740" t="str">
        <f t="shared" ref="BB29:BF33" si="56">IF(BB15="","",REPT(CHAR(160),13+(2*(2/LEN(_xlfn.TEXTBEFORE(BB15,"'")))))&amp;_xlfn.TEXTBEFORE(BB15,"'"))</f>
        <v/>
      </c>
      <c r="BC29" s="734" t="str">
        <f t="shared" si="30"/>
        <v>                 ┃          ┃</v>
      </c>
      <c r="BD29" s="734" t="str">
        <f t="shared" si="56"/>
        <v/>
      </c>
      <c r="BE29" s="734" t="str">
        <f t="shared" si="31"/>
        <v>                 ┃          ┃</v>
      </c>
      <c r="BF29" s="734" t="str">
        <f t="shared" si="56"/>
        <v/>
      </c>
      <c r="BG29" s="735" t="str">
        <f t="shared" si="32"/>
        <v>          ┃          ┃</v>
      </c>
      <c r="BH29" s="738">
        <f>BH15</f>
        <v>1</v>
      </c>
      <c r="BI29" s="44" t="str">
        <f>BI15</f>
        <v>9' rolls</v>
      </c>
      <c r="BW29" s="1260">
        <f t="shared" si="26"/>
        <v>0</v>
      </c>
      <c r="BX29" s="1226"/>
      <c r="BY29" s="995">
        <f t="shared" si="33"/>
        <v>0</v>
      </c>
      <c r="BZ29" s="1226"/>
      <c r="CA29" s="995">
        <f t="shared" si="34"/>
        <v>0</v>
      </c>
      <c r="CB29" s="1226"/>
      <c r="CC29" s="637">
        <f>IF($AP$26=TRUE,AY29,0)</f>
        <v>0</v>
      </c>
      <c r="CD29" s="44">
        <f>IF($AP$26=TRUE,AZ29,0)</f>
        <v>0</v>
      </c>
      <c r="CF29" s="740" t="str">
        <f t="shared" si="35"/>
        <v/>
      </c>
      <c r="CG29" s="734" t="str">
        <f t="shared" si="36"/>
        <v>                 ┃          ┃</v>
      </c>
      <c r="CH29" s="734" t="str">
        <f t="shared" si="37"/>
        <v/>
      </c>
      <c r="CI29" s="734" t="str">
        <f t="shared" si="38"/>
        <v>                 ┃          ┃</v>
      </c>
      <c r="CJ29" s="734" t="str">
        <f t="shared" si="39"/>
        <v/>
      </c>
      <c r="CK29" s="735" t="str">
        <f t="shared" si="40"/>
        <v>          ┃          ┃</v>
      </c>
      <c r="CL29" s="738">
        <f>CL15</f>
        <v>1</v>
      </c>
      <c r="CM29" s="44" t="str">
        <f>CM15</f>
        <v>24' rolls</v>
      </c>
      <c r="DA29" s="1005">
        <f t="shared" si="41"/>
        <v>0</v>
      </c>
      <c r="DB29" s="1006"/>
      <c r="DC29" s="1005">
        <f t="shared" si="42"/>
        <v>0</v>
      </c>
      <c r="DD29" s="1006"/>
      <c r="DE29" s="1005">
        <f t="shared" si="43"/>
        <v>0</v>
      </c>
      <c r="DF29" s="1006"/>
      <c r="DG29" s="268"/>
      <c r="DI29" s="1005" t="str">
        <f t="shared" si="44"/>
        <v/>
      </c>
      <c r="DJ29" s="1006"/>
      <c r="DK29" s="1005" t="str">
        <f t="shared" si="45"/>
        <v/>
      </c>
      <c r="DL29" s="1006"/>
      <c r="DM29" s="1005" t="str">
        <f t="shared" si="46"/>
        <v/>
      </c>
      <c r="DN29" s="1006"/>
      <c r="DO29" s="268"/>
      <c r="DP29" s="268"/>
      <c r="DQ29" s="1005" t="str">
        <f t="shared" si="47"/>
        <v/>
      </c>
      <c r="DR29" s="1006"/>
      <c r="DS29" s="1005" t="str">
        <f t="shared" si="48"/>
        <v/>
      </c>
      <c r="DT29" s="1006"/>
      <c r="DU29" s="1005" t="str">
        <f t="shared" si="49"/>
        <v/>
      </c>
      <c r="DV29" s="1006"/>
      <c r="DX29" s="268"/>
      <c r="DY29" s="1005" t="str">
        <f t="shared" si="50"/>
        <v/>
      </c>
      <c r="DZ29" s="1006"/>
      <c r="EA29" s="1005" t="str">
        <f t="shared" si="51"/>
        <v/>
      </c>
      <c r="EB29" s="1006"/>
      <c r="EC29" s="1005" t="str">
        <f t="shared" si="52"/>
        <v/>
      </c>
      <c r="ED29" s="1006"/>
      <c r="EE29" s="268"/>
      <c r="EF29" s="268"/>
      <c r="EG29" s="1003" t="str">
        <f t="shared" si="53"/>
        <v/>
      </c>
      <c r="EH29" s="1004"/>
      <c r="EI29" s="1003" t="str">
        <f t="shared" si="54"/>
        <v/>
      </c>
      <c r="EJ29" s="1004"/>
      <c r="EK29" s="1003" t="str">
        <f t="shared" si="55"/>
        <v/>
      </c>
      <c r="EL29" s="1004"/>
      <c r="EM29" s="268"/>
      <c r="EN29" s="268"/>
      <c r="EO29" s="268"/>
      <c r="EP29" s="268"/>
      <c r="EQ29" s="268"/>
      <c r="ER29" s="268"/>
      <c r="ES29" s="268"/>
      <c r="ET29" s="268"/>
      <c r="EU29" s="268"/>
      <c r="EV29" s="268"/>
      <c r="EW29" s="268"/>
      <c r="FV29" s="268"/>
      <c r="FY29" s="268"/>
      <c r="GC29" s="268"/>
      <c r="GD29" s="268"/>
      <c r="GE29" s="268"/>
      <c r="GF29" s="268"/>
      <c r="GG29" s="268"/>
      <c r="GH29" s="268"/>
      <c r="GI29" s="268"/>
      <c r="GJ29" s="268"/>
      <c r="GK29" s="268"/>
      <c r="GL29" s="268"/>
      <c r="GM29" s="268"/>
      <c r="GN29" s="268"/>
      <c r="GO29" s="268"/>
      <c r="GP29" s="268"/>
      <c r="GQ29" s="268"/>
      <c r="GS29" s="724">
        <f>MAX(DI28:DJ33)</f>
        <v>6</v>
      </c>
      <c r="GY29" s="723">
        <f>GL28</f>
        <v>1</v>
      </c>
      <c r="GZ29" s="649" t="str">
        <f>""&amp;GM28&amp;"' rolls"</f>
        <v>9' rolls</v>
      </c>
      <c r="HA29" s="12"/>
      <c r="HB29" s="1"/>
      <c r="HC29" s="1"/>
      <c r="HD29" s="1"/>
      <c r="HE29" s="1"/>
      <c r="HF29" s="1"/>
      <c r="HG29" s="1"/>
      <c r="HH29" s="1"/>
      <c r="HI29" s="1"/>
      <c r="HJ29" s="1"/>
      <c r="HK29" s="1"/>
      <c r="HL29" s="1"/>
      <c r="HM29" s="1"/>
      <c r="HN29" s="1"/>
      <c r="HO29" s="1"/>
      <c r="HP29" s="1"/>
      <c r="HQ29" s="1"/>
      <c r="HR29" s="1"/>
      <c r="HS29" s="1"/>
      <c r="HT29" s="1"/>
      <c r="HU29" s="1"/>
      <c r="HV29" s="1"/>
      <c r="HW29" s="47"/>
      <c r="HX29" s="532"/>
      <c r="IG29" s="47"/>
    </row>
    <row r="30" spans="3:241" ht="15.75" thickBot="1">
      <c r="C30" s="532"/>
      <c r="AS30" s="1225" t="str">
        <f t="shared" si="27"/>
        <v/>
      </c>
      <c r="AT30" s="1289"/>
      <c r="AU30" s="1225" t="str">
        <f t="shared" si="28"/>
        <v/>
      </c>
      <c r="AV30" s="1289"/>
      <c r="AW30" s="1225" t="str">
        <f t="shared" si="29"/>
        <v/>
      </c>
      <c r="AX30" s="1289"/>
      <c r="AY30" s="653">
        <f>GY30</f>
        <v>1</v>
      </c>
      <c r="AZ30" s="598" t="str">
        <f>GZ30</f>
        <v>6' rolls</v>
      </c>
      <c r="BB30" s="740" t="str">
        <f t="shared" si="56"/>
        <v/>
      </c>
      <c r="BC30" s="734" t="str">
        <f t="shared" si="30"/>
        <v>                 ┃          ┃</v>
      </c>
      <c r="BD30" s="734" t="str">
        <f t="shared" si="56"/>
        <v/>
      </c>
      <c r="BE30" s="734" t="str">
        <f t="shared" si="31"/>
        <v>                 ┃          ┃</v>
      </c>
      <c r="BF30" s="734" t="str">
        <f t="shared" si="56"/>
        <v/>
      </c>
      <c r="BG30" s="735" t="str">
        <f t="shared" si="32"/>
        <v>          ┃          ┃</v>
      </c>
      <c r="BH30" s="670">
        <f>BH16</f>
        <v>1</v>
      </c>
      <c r="BI30" s="633" t="str">
        <f>BI16</f>
        <v>6' rolls</v>
      </c>
      <c r="BW30" s="1260">
        <f t="shared" si="26"/>
        <v>0</v>
      </c>
      <c r="BX30" s="1226"/>
      <c r="BY30" s="995">
        <f t="shared" si="33"/>
        <v>0</v>
      </c>
      <c r="BZ30" s="1226"/>
      <c r="CA30" s="995">
        <f t="shared" si="34"/>
        <v>0</v>
      </c>
      <c r="CB30" s="1226"/>
      <c r="CC30" s="642">
        <f>IF($AP$26=TRUE,AY30,0)</f>
        <v>0</v>
      </c>
      <c r="CD30" s="633">
        <f>IF($AP$26=TRUE,AZ30,0)</f>
        <v>0</v>
      </c>
      <c r="CF30" s="740" t="str">
        <f t="shared" si="35"/>
        <v/>
      </c>
      <c r="CG30" s="734" t="str">
        <f t="shared" si="36"/>
        <v>                 ┃          ┃</v>
      </c>
      <c r="CH30" s="734" t="str">
        <f t="shared" si="37"/>
        <v/>
      </c>
      <c r="CI30" s="734" t="str">
        <f t="shared" si="38"/>
        <v>                 ┃          ┃</v>
      </c>
      <c r="CJ30" s="734" t="str">
        <f t="shared" si="39"/>
        <v/>
      </c>
      <c r="CK30" s="735" t="str">
        <f t="shared" si="40"/>
        <v>          ┃          ┃</v>
      </c>
      <c r="CL30" s="670">
        <f>CL16</f>
        <v>1</v>
      </c>
      <c r="CM30" s="633" t="str">
        <f>CM16</f>
        <v>6' rolls</v>
      </c>
      <c r="DA30" s="1005">
        <f t="shared" si="41"/>
        <v>0</v>
      </c>
      <c r="DB30" s="1006"/>
      <c r="DC30" s="1005">
        <f t="shared" si="42"/>
        <v>0</v>
      </c>
      <c r="DD30" s="1006"/>
      <c r="DE30" s="1005">
        <f t="shared" si="43"/>
        <v>0</v>
      </c>
      <c r="DF30" s="1006"/>
      <c r="DG30" s="268"/>
      <c r="DI30" s="1005" t="str">
        <f t="shared" si="44"/>
        <v/>
      </c>
      <c r="DJ30" s="1006"/>
      <c r="DK30" s="1005" t="str">
        <f t="shared" si="45"/>
        <v/>
      </c>
      <c r="DL30" s="1006"/>
      <c r="DM30" s="1005" t="str">
        <f t="shared" si="46"/>
        <v/>
      </c>
      <c r="DN30" s="1006"/>
      <c r="DO30" s="268"/>
      <c r="DP30" s="268"/>
      <c r="DQ30" s="1005" t="str">
        <f t="shared" si="47"/>
        <v/>
      </c>
      <c r="DR30" s="1006"/>
      <c r="DS30" s="1005" t="str">
        <f t="shared" si="48"/>
        <v/>
      </c>
      <c r="DT30" s="1006"/>
      <c r="DU30" s="1005" t="str">
        <f t="shared" si="49"/>
        <v/>
      </c>
      <c r="DV30" s="1006"/>
      <c r="DW30" s="268"/>
      <c r="DX30" s="268"/>
      <c r="DY30" s="1005" t="str">
        <f t="shared" si="50"/>
        <v/>
      </c>
      <c r="DZ30" s="1006"/>
      <c r="EA30" s="1005" t="str">
        <f t="shared" si="51"/>
        <v/>
      </c>
      <c r="EB30" s="1006"/>
      <c r="EC30" s="1005" t="str">
        <f t="shared" si="52"/>
        <v/>
      </c>
      <c r="ED30" s="1006"/>
      <c r="EE30" s="268"/>
      <c r="EF30" s="268"/>
      <c r="EG30" s="1003" t="str">
        <f t="shared" si="53"/>
        <v/>
      </c>
      <c r="EH30" s="1004"/>
      <c r="EI30" s="1003" t="str">
        <f t="shared" si="54"/>
        <v/>
      </c>
      <c r="EJ30" s="1004"/>
      <c r="EK30" s="1003" t="str">
        <f t="shared" si="55"/>
        <v/>
      </c>
      <c r="EL30" s="1004"/>
      <c r="EM30" s="268"/>
      <c r="EN30" s="268"/>
      <c r="EO30" s="268"/>
      <c r="EP30" s="268"/>
      <c r="EQ30" s="268"/>
      <c r="ER30" s="268"/>
      <c r="ES30" s="268"/>
      <c r="ET30" s="268"/>
      <c r="EU30" s="268"/>
      <c r="EV30" s="268"/>
      <c r="EW30" s="268"/>
      <c r="FV30" s="268"/>
      <c r="GY30" s="722">
        <f>GO28</f>
        <v>1</v>
      </c>
      <c r="GZ30" s="13" t="str">
        <f>""&amp;GP28&amp;"' rolls"</f>
        <v>6' rolls</v>
      </c>
      <c r="HA30" s="12"/>
      <c r="HB30" s="1"/>
      <c r="HC30" s="1"/>
      <c r="HD30" s="1"/>
      <c r="HE30" s="1"/>
      <c r="HF30" s="1"/>
      <c r="HG30" s="1"/>
      <c r="HH30" s="1"/>
      <c r="HI30" s="1"/>
      <c r="HJ30" s="1"/>
      <c r="HK30" s="1"/>
      <c r="HL30" s="1"/>
      <c r="HM30" s="1"/>
      <c r="HN30" s="1"/>
      <c r="HO30" s="1"/>
      <c r="HP30" s="1"/>
      <c r="HQ30" s="1"/>
      <c r="HR30" s="1"/>
      <c r="HS30" s="1"/>
      <c r="HT30" s="1"/>
      <c r="HU30" s="1"/>
      <c r="HV30" s="1"/>
      <c r="HW30" s="47"/>
      <c r="HX30" s="532"/>
      <c r="IG30" s="47"/>
    </row>
    <row r="31" spans="3:241" ht="15.75" thickBot="1">
      <c r="C31" s="532"/>
      <c r="AS31" s="1225" t="str">
        <f t="shared" si="27"/>
        <v/>
      </c>
      <c r="AT31" s="1289"/>
      <c r="AU31" s="1225" t="str">
        <f t="shared" si="28"/>
        <v/>
      </c>
      <c r="AV31" s="1289"/>
      <c r="AW31" s="1225" t="str">
        <f t="shared" si="29"/>
        <v/>
      </c>
      <c r="AX31" s="1289"/>
      <c r="BB31" s="740" t="str">
        <f t="shared" si="56"/>
        <v/>
      </c>
      <c r="BC31" s="734" t="str">
        <f t="shared" si="30"/>
        <v>                 ┃          ┃</v>
      </c>
      <c r="BD31" s="734" t="str">
        <f t="shared" si="56"/>
        <v/>
      </c>
      <c r="BE31" s="734" t="str">
        <f t="shared" si="31"/>
        <v>                 ┃          ┃</v>
      </c>
      <c r="BF31" s="734" t="str">
        <f t="shared" si="56"/>
        <v/>
      </c>
      <c r="BG31" s="735" t="str">
        <f t="shared" si="32"/>
        <v>          ┃          ┃</v>
      </c>
      <c r="BH31" s="1231" t="s">
        <v>610</v>
      </c>
      <c r="BI31" s="1232"/>
      <c r="BW31" s="1260">
        <f t="shared" si="26"/>
        <v>0</v>
      </c>
      <c r="BX31" s="1226"/>
      <c r="BY31" s="995">
        <f t="shared" si="33"/>
        <v>0</v>
      </c>
      <c r="BZ31" s="1226"/>
      <c r="CA31" s="995">
        <f t="shared" si="34"/>
        <v>0</v>
      </c>
      <c r="CB31" s="1226"/>
      <c r="CF31" s="740" t="str">
        <f t="shared" si="35"/>
        <v/>
      </c>
      <c r="CG31" s="734" t="str">
        <f t="shared" si="36"/>
        <v>                 ┃          ┃</v>
      </c>
      <c r="CH31" s="734" t="str">
        <f t="shared" si="37"/>
        <v/>
      </c>
      <c r="CI31" s="734" t="str">
        <f t="shared" si="38"/>
        <v>                 ┃          ┃</v>
      </c>
      <c r="CJ31" s="734" t="str">
        <f t="shared" si="39"/>
        <v/>
      </c>
      <c r="CK31" s="735" t="str">
        <f t="shared" si="40"/>
        <v>          ┃          ┃</v>
      </c>
      <c r="CL31" s="1230" t="s">
        <v>610</v>
      </c>
      <c r="CM31" s="1232"/>
      <c r="DA31" s="1005">
        <f t="shared" si="41"/>
        <v>0</v>
      </c>
      <c r="DB31" s="1006"/>
      <c r="DC31" s="1005">
        <f t="shared" si="42"/>
        <v>0</v>
      </c>
      <c r="DD31" s="1006"/>
      <c r="DE31" s="1005">
        <f t="shared" si="43"/>
        <v>0</v>
      </c>
      <c r="DF31" s="1006"/>
      <c r="DG31" s="268"/>
      <c r="DI31" s="1005" t="str">
        <f t="shared" si="44"/>
        <v/>
      </c>
      <c r="DJ31" s="1006"/>
      <c r="DK31" s="1005" t="str">
        <f t="shared" si="45"/>
        <v/>
      </c>
      <c r="DL31" s="1006"/>
      <c r="DM31" s="1005" t="str">
        <f t="shared" si="46"/>
        <v/>
      </c>
      <c r="DN31" s="1006"/>
      <c r="DO31" s="268"/>
      <c r="DP31" s="268"/>
      <c r="DQ31" s="1005" t="str">
        <f t="shared" si="47"/>
        <v/>
      </c>
      <c r="DR31" s="1006"/>
      <c r="DS31" s="1005" t="str">
        <f t="shared" si="48"/>
        <v/>
      </c>
      <c r="DT31" s="1006"/>
      <c r="DU31" s="1005" t="str">
        <f t="shared" si="49"/>
        <v/>
      </c>
      <c r="DV31" s="1006"/>
      <c r="DW31" s="268"/>
      <c r="DX31" s="268"/>
      <c r="DY31" s="1005" t="str">
        <f t="shared" si="50"/>
        <v/>
      </c>
      <c r="DZ31" s="1006"/>
      <c r="EA31" s="1005" t="str">
        <f t="shared" si="51"/>
        <v/>
      </c>
      <c r="EB31" s="1006"/>
      <c r="EC31" s="1005" t="str">
        <f t="shared" si="52"/>
        <v/>
      </c>
      <c r="ED31" s="1006"/>
      <c r="EE31" s="268"/>
      <c r="EF31" s="268"/>
      <c r="EG31" s="1003" t="str">
        <f t="shared" si="53"/>
        <v/>
      </c>
      <c r="EH31" s="1004"/>
      <c r="EI31" s="1003" t="str">
        <f t="shared" si="54"/>
        <v/>
      </c>
      <c r="EJ31" s="1004"/>
      <c r="EK31" s="1003" t="str">
        <f t="shared" si="55"/>
        <v/>
      </c>
      <c r="EL31" s="1004"/>
      <c r="EM31" s="268"/>
      <c r="EN31" s="268"/>
      <c r="EO31" s="268"/>
      <c r="EP31" s="268"/>
      <c r="EQ31" s="268"/>
      <c r="ER31" s="268"/>
      <c r="ES31" s="268"/>
      <c r="ET31" s="268"/>
      <c r="EU31" s="268"/>
      <c r="EV31" s="268"/>
      <c r="EW31" s="268"/>
      <c r="EX31" s="718">
        <f>MAX(EG28:EL33)</f>
        <v>9</v>
      </c>
      <c r="EY31" s="320"/>
      <c r="EZ31" s="718">
        <f>IF(EX28+EX31=$F$17,0,EX31)</f>
        <v>9</v>
      </c>
      <c r="FA31" s="320"/>
      <c r="FB31" s="718">
        <f>IF(IFERROR(ROUNDDOWN($F$17/EZ31,0),0)&lt;=FU31,IFERROR(ROUNDDOWN($F$17/EZ31,0),0),FU31)</f>
        <v>1</v>
      </c>
      <c r="FC31" s="320"/>
      <c r="FD31" s="718">
        <f>FB31*EZ31</f>
        <v>9</v>
      </c>
      <c r="FE31" s="320"/>
      <c r="FF31" s="718">
        <f>EZ31</f>
        <v>9</v>
      </c>
      <c r="FG31" s="320"/>
      <c r="FH31" s="718">
        <f>FB31</f>
        <v>1</v>
      </c>
      <c r="FJ31" s="268"/>
      <c r="FK31" s="718">
        <f>IF(EZ31=0,0,SUM(EG28:EL33))</f>
        <v>18</v>
      </c>
      <c r="FM31" s="718">
        <f>IF($F$17-(FK31-FD31)=$F$17,0,$F$17-(FK31-FD31))</f>
        <v>6</v>
      </c>
      <c r="FN31" s="320"/>
      <c r="FO31" s="718">
        <f>IF(FM31=0,0,1)</f>
        <v>1</v>
      </c>
      <c r="FQ31" s="632">
        <f>IFERROR(IF(FF31=0,0,ROUNDUP(FK31/$F$17,0)),0)</f>
        <v>2</v>
      </c>
      <c r="FS31" s="718">
        <f>FQ31*$F$17</f>
        <v>30</v>
      </c>
      <c r="FU31" s="632">
        <f>COUNT(EG28:EL33)</f>
        <v>2</v>
      </c>
      <c r="FV31" s="268"/>
      <c r="FY31" s="720">
        <f>GC31+GF31</f>
        <v>2</v>
      </c>
      <c r="GA31" s="718">
        <f>(GC31*GD31)+(GF31*GG31)</f>
        <v>15</v>
      </c>
      <c r="GC31" s="687">
        <f>FH31</f>
        <v>1</v>
      </c>
      <c r="GD31" s="719">
        <f>FF31</f>
        <v>9</v>
      </c>
      <c r="GE31" s="1" t="s">
        <v>441</v>
      </c>
      <c r="GF31" s="687">
        <f>FO31</f>
        <v>1</v>
      </c>
      <c r="GG31" s="719">
        <f>FM31</f>
        <v>6</v>
      </c>
      <c r="GH31" s="268"/>
      <c r="GI31" s="268"/>
      <c r="GJ31" s="268"/>
      <c r="GK31" s="268"/>
      <c r="GL31" s="268"/>
      <c r="GM31" s="268"/>
      <c r="GN31" s="268"/>
      <c r="GO31" s="268"/>
      <c r="GP31" s="268"/>
      <c r="GQ31" s="268"/>
      <c r="HA31" s="12"/>
      <c r="HB31" s="1"/>
      <c r="HC31" s="1"/>
      <c r="HD31" s="1"/>
      <c r="HE31" s="1"/>
      <c r="HF31" s="1"/>
      <c r="HG31" s="1"/>
      <c r="HH31" s="1"/>
      <c r="HI31" s="1"/>
      <c r="HJ31" s="1"/>
      <c r="HK31" s="1"/>
      <c r="HL31" s="1"/>
      <c r="HM31" s="1"/>
      <c r="HN31" s="1"/>
      <c r="HO31" s="1"/>
      <c r="HP31" s="1"/>
      <c r="HQ31" s="1"/>
      <c r="HR31" s="1"/>
      <c r="HS31" s="1"/>
      <c r="HT31" s="1"/>
      <c r="HU31" s="1"/>
      <c r="HV31" s="1"/>
      <c r="HW31" s="47"/>
      <c r="HX31" s="532"/>
      <c r="IG31" s="47"/>
    </row>
    <row r="32" spans="3:241" ht="15.75" thickBot="1">
      <c r="C32" s="532"/>
      <c r="AS32" s="1225" t="str">
        <f t="shared" si="27"/>
        <v/>
      </c>
      <c r="AT32" s="1289"/>
      <c r="AU32" s="1225" t="str">
        <f t="shared" si="28"/>
        <v/>
      </c>
      <c r="AV32" s="1289"/>
      <c r="AW32" s="1225" t="str">
        <f t="shared" si="29"/>
        <v/>
      </c>
      <c r="AX32" s="1289"/>
      <c r="BB32" s="740" t="str">
        <f t="shared" si="56"/>
        <v/>
      </c>
      <c r="BC32" s="734" t="str">
        <f t="shared" si="30"/>
        <v>                 ┃          ┃</v>
      </c>
      <c r="BD32" s="734" t="str">
        <f t="shared" si="56"/>
        <v/>
      </c>
      <c r="BE32" s="734" t="str">
        <f t="shared" si="31"/>
        <v>                 ┃          ┃</v>
      </c>
      <c r="BF32" s="734" t="str">
        <f t="shared" si="56"/>
        <v/>
      </c>
      <c r="BG32" s="735" t="str">
        <f t="shared" si="32"/>
        <v>          ┃          ┃</v>
      </c>
      <c r="BH32" s="656" t="s">
        <v>611</v>
      </c>
      <c r="BI32" s="683">
        <f>BI18</f>
        <v>2</v>
      </c>
      <c r="BW32" s="1260">
        <f t="shared" si="26"/>
        <v>0</v>
      </c>
      <c r="BX32" s="1226"/>
      <c r="BY32" s="995">
        <f t="shared" si="33"/>
        <v>0</v>
      </c>
      <c r="BZ32" s="1226"/>
      <c r="CA32" s="995">
        <f t="shared" si="34"/>
        <v>0</v>
      </c>
      <c r="CB32" s="1226"/>
      <c r="CF32" s="740" t="str">
        <f t="shared" si="35"/>
        <v/>
      </c>
      <c r="CG32" s="734" t="str">
        <f t="shared" si="36"/>
        <v>                 ┃          ┃</v>
      </c>
      <c r="CH32" s="734" t="str">
        <f t="shared" si="37"/>
        <v/>
      </c>
      <c r="CI32" s="734" t="str">
        <f t="shared" si="38"/>
        <v>                 ┃          ┃</v>
      </c>
      <c r="CJ32" s="734" t="str">
        <f t="shared" si="39"/>
        <v/>
      </c>
      <c r="CK32" s="735" t="str">
        <f t="shared" si="40"/>
        <v>          ┃          ┃</v>
      </c>
      <c r="CL32" s="655" t="s">
        <v>611</v>
      </c>
      <c r="CM32" s="683">
        <f>CM18</f>
        <v>2</v>
      </c>
      <c r="DA32" s="1005">
        <f t="shared" si="41"/>
        <v>0</v>
      </c>
      <c r="DB32" s="1006"/>
      <c r="DC32" s="1005">
        <f t="shared" si="42"/>
        <v>0</v>
      </c>
      <c r="DD32" s="1006"/>
      <c r="DE32" s="1005">
        <f t="shared" si="43"/>
        <v>0</v>
      </c>
      <c r="DF32" s="1006"/>
      <c r="DG32" s="268"/>
      <c r="DI32" s="1005" t="str">
        <f t="shared" si="44"/>
        <v/>
      </c>
      <c r="DJ32" s="1006"/>
      <c r="DK32" s="1005" t="str">
        <f t="shared" si="45"/>
        <v/>
      </c>
      <c r="DL32" s="1006"/>
      <c r="DM32" s="1005" t="str">
        <f t="shared" si="46"/>
        <v/>
      </c>
      <c r="DN32" s="1006"/>
      <c r="DO32" s="268"/>
      <c r="DP32" s="268"/>
      <c r="DQ32" s="1005" t="str">
        <f t="shared" si="47"/>
        <v/>
      </c>
      <c r="DR32" s="1006"/>
      <c r="DS32" s="1005" t="str">
        <f t="shared" si="48"/>
        <v/>
      </c>
      <c r="DT32" s="1006"/>
      <c r="DU32" s="1005" t="str">
        <f t="shared" si="49"/>
        <v/>
      </c>
      <c r="DV32" s="1006"/>
      <c r="DW32" s="268"/>
      <c r="DX32" s="268"/>
      <c r="DY32" s="1005" t="str">
        <f t="shared" si="50"/>
        <v/>
      </c>
      <c r="DZ32" s="1006"/>
      <c r="EA32" s="1005" t="str">
        <f t="shared" si="51"/>
        <v/>
      </c>
      <c r="EB32" s="1006"/>
      <c r="EC32" s="1005" t="str">
        <f t="shared" si="52"/>
        <v/>
      </c>
      <c r="ED32" s="1006"/>
      <c r="EE32" s="268"/>
      <c r="EF32" s="268"/>
      <c r="EG32" s="1003" t="str">
        <f t="shared" si="53"/>
        <v/>
      </c>
      <c r="EH32" s="1004"/>
      <c r="EI32" s="1003" t="str">
        <f t="shared" si="54"/>
        <v/>
      </c>
      <c r="EJ32" s="1004"/>
      <c r="EK32" s="1003" t="str">
        <f t="shared" si="55"/>
        <v/>
      </c>
      <c r="EL32" s="1004"/>
      <c r="EM32" s="268"/>
      <c r="EN32" s="268"/>
      <c r="EO32" s="268"/>
      <c r="EP32" s="268"/>
      <c r="EQ32" s="268"/>
      <c r="ER32" s="268"/>
      <c r="ES32" s="268"/>
      <c r="ET32" s="268"/>
      <c r="EU32" s="268"/>
      <c r="EV32" s="268"/>
      <c r="EW32" s="268"/>
      <c r="EX32" s="268"/>
      <c r="EY32" s="268"/>
      <c r="EZ32" s="268"/>
      <c r="FA32" s="268"/>
      <c r="FB32" s="268"/>
      <c r="FC32" s="268"/>
      <c r="FD32" s="268"/>
      <c r="FE32" s="268"/>
      <c r="FF32" s="268"/>
      <c r="FG32" s="268"/>
      <c r="FJ32" s="268"/>
      <c r="FK32" s="268"/>
      <c r="FL32" s="268"/>
      <c r="FM32" s="268"/>
      <c r="FN32" s="268"/>
      <c r="FO32" s="268"/>
      <c r="FP32" s="268"/>
      <c r="FQ32" s="268"/>
      <c r="FR32" s="268"/>
      <c r="FS32" s="268"/>
      <c r="FT32" s="268"/>
      <c r="FU32" s="268"/>
      <c r="FV32" s="268"/>
      <c r="FY32" s="268"/>
      <c r="FZ32" s="268"/>
      <c r="GC32" s="268"/>
      <c r="GD32" s="268"/>
      <c r="GE32" s="268"/>
      <c r="GF32" s="268"/>
      <c r="GG32" s="268"/>
      <c r="GH32" s="268"/>
      <c r="GI32" s="268"/>
      <c r="GJ32" s="268"/>
      <c r="GK32" s="268"/>
      <c r="GL32" s="268"/>
      <c r="GM32" s="268"/>
      <c r="GN32" s="268"/>
      <c r="GO32" s="268"/>
      <c r="GP32" s="268"/>
      <c r="GQ32" s="268"/>
      <c r="HA32" s="47"/>
      <c r="HW32" s="47"/>
      <c r="HX32" s="532"/>
      <c r="IG32" s="47"/>
    </row>
    <row r="33" spans="3:241" ht="15.75" thickBot="1">
      <c r="C33" s="532"/>
      <c r="AS33" s="1227" t="str">
        <f t="shared" si="27"/>
        <v/>
      </c>
      <c r="AT33" s="1290"/>
      <c r="AU33" s="1227" t="str">
        <f t="shared" si="28"/>
        <v/>
      </c>
      <c r="AV33" s="1290"/>
      <c r="AW33" s="1227" t="str">
        <f t="shared" si="29"/>
        <v/>
      </c>
      <c r="AX33" s="1290"/>
      <c r="AY33" t="s">
        <v>506</v>
      </c>
      <c r="AZ33" s="726">
        <f>ET28</f>
        <v>2</v>
      </c>
      <c r="BB33" s="741" t="str">
        <f t="shared" si="56"/>
        <v/>
      </c>
      <c r="BC33" s="742" t="str">
        <f t="shared" si="30"/>
        <v>                 ┃          ┃</v>
      </c>
      <c r="BD33" s="742" t="str">
        <f t="shared" si="56"/>
        <v/>
      </c>
      <c r="BE33" s="742" t="str">
        <f t="shared" si="31"/>
        <v>                 ┃          ┃</v>
      </c>
      <c r="BF33" s="742" t="str">
        <f t="shared" si="56"/>
        <v/>
      </c>
      <c r="BG33" s="736" t="str">
        <f t="shared" si="32"/>
        <v>          ┃          ┃</v>
      </c>
      <c r="BH33" s="745">
        <f>BH19</f>
        <v>12</v>
      </c>
      <c r="BI33" s="552">
        <f>BI19</f>
        <v>15</v>
      </c>
      <c r="BW33" s="1257">
        <f t="shared" si="26"/>
        <v>0</v>
      </c>
      <c r="BX33" s="1229"/>
      <c r="BY33" s="1228">
        <f t="shared" si="33"/>
        <v>0</v>
      </c>
      <c r="BZ33" s="1229"/>
      <c r="CA33" s="1228">
        <f t="shared" si="34"/>
        <v>0</v>
      </c>
      <c r="CB33" s="1229"/>
      <c r="CC33" t="s">
        <v>506</v>
      </c>
      <c r="CD33">
        <f>IF($AP$26=TRUE,AZ33,0)</f>
        <v>0</v>
      </c>
      <c r="CF33" s="741" t="str">
        <f t="shared" si="35"/>
        <v/>
      </c>
      <c r="CG33" s="742" t="str">
        <f t="shared" si="36"/>
        <v>                 ┃          ┃</v>
      </c>
      <c r="CH33" s="742" t="str">
        <f t="shared" si="37"/>
        <v/>
      </c>
      <c r="CI33" s="742" t="str">
        <f t="shared" si="38"/>
        <v>                 ┃          ┃</v>
      </c>
      <c r="CJ33" s="742" t="str">
        <f t="shared" si="39"/>
        <v/>
      </c>
      <c r="CK33" s="736" t="str">
        <f t="shared" si="40"/>
        <v>          ┃          ┃</v>
      </c>
      <c r="CL33" s="717">
        <f>CL19</f>
        <v>12</v>
      </c>
      <c r="CM33" s="552">
        <f>CM19</f>
        <v>30</v>
      </c>
      <c r="DA33" s="1005">
        <f t="shared" si="41"/>
        <v>0</v>
      </c>
      <c r="DB33" s="1006"/>
      <c r="DC33" s="1005">
        <f t="shared" si="42"/>
        <v>0</v>
      </c>
      <c r="DD33" s="1006"/>
      <c r="DE33" s="1005">
        <f t="shared" si="43"/>
        <v>0</v>
      </c>
      <c r="DF33" s="1006"/>
      <c r="DG33" s="268"/>
      <c r="DI33" s="1005" t="str">
        <f t="shared" si="44"/>
        <v/>
      </c>
      <c r="DJ33" s="1006"/>
      <c r="DK33" s="1005" t="str">
        <f t="shared" si="45"/>
        <v/>
      </c>
      <c r="DL33" s="1006"/>
      <c r="DM33" s="1005" t="str">
        <f t="shared" si="46"/>
        <v/>
      </c>
      <c r="DN33" s="1006"/>
      <c r="DO33" s="268"/>
      <c r="DP33" s="268"/>
      <c r="DQ33" s="1005" t="str">
        <f t="shared" si="47"/>
        <v/>
      </c>
      <c r="DR33" s="1006"/>
      <c r="DS33" s="1005" t="str">
        <f t="shared" si="48"/>
        <v/>
      </c>
      <c r="DT33" s="1006"/>
      <c r="DU33" s="1005" t="str">
        <f t="shared" si="49"/>
        <v/>
      </c>
      <c r="DV33" s="1006"/>
      <c r="DW33" s="268"/>
      <c r="DX33" s="268"/>
      <c r="DY33" s="1005" t="str">
        <f t="shared" si="50"/>
        <v/>
      </c>
      <c r="DZ33" s="1006"/>
      <c r="EA33" s="1005" t="str">
        <f t="shared" si="51"/>
        <v/>
      </c>
      <c r="EB33" s="1006"/>
      <c r="EC33" s="1005" t="str">
        <f t="shared" si="52"/>
        <v/>
      </c>
      <c r="ED33" s="1006"/>
      <c r="EE33" s="268"/>
      <c r="EF33" s="268"/>
      <c r="EG33" s="1003" t="str">
        <f t="shared" si="53"/>
        <v/>
      </c>
      <c r="EH33" s="1004"/>
      <c r="EI33" s="1003" t="str">
        <f t="shared" si="54"/>
        <v/>
      </c>
      <c r="EJ33" s="1004"/>
      <c r="EK33" s="1003" t="str">
        <f t="shared" si="55"/>
        <v/>
      </c>
      <c r="EL33" s="1004"/>
      <c r="EM33" s="268"/>
      <c r="EN33" s="268"/>
      <c r="EO33" s="268"/>
      <c r="EP33" s="268"/>
      <c r="EQ33" s="268"/>
      <c r="ER33" s="268"/>
      <c r="ES33" s="268"/>
      <c r="ET33" s="268"/>
      <c r="EU33" s="268"/>
      <c r="EV33" s="268"/>
      <c r="EW33" s="268"/>
      <c r="EX33" s="268"/>
      <c r="EY33" s="268"/>
      <c r="EZ33" s="268"/>
      <c r="FA33" s="268"/>
      <c r="FB33" s="268"/>
      <c r="FC33" s="268"/>
      <c r="FD33" s="268"/>
      <c r="FE33" s="268"/>
      <c r="FF33" s="268"/>
      <c r="FG33" s="268"/>
      <c r="FJ33" s="268"/>
      <c r="FK33" s="268"/>
      <c r="FL33" s="268"/>
      <c r="FM33" s="268"/>
      <c r="FN33" s="268"/>
      <c r="FO33" s="268"/>
      <c r="FP33" s="268"/>
      <c r="FQ33" s="268"/>
      <c r="FR33" s="268"/>
      <c r="FS33" s="268"/>
      <c r="FT33" s="268"/>
      <c r="FU33" s="268"/>
      <c r="FV33" s="268"/>
      <c r="FY33" s="268"/>
      <c r="FZ33" s="268"/>
      <c r="GC33" s="268"/>
      <c r="GD33" s="268"/>
      <c r="GE33" s="268"/>
      <c r="GF33" s="268"/>
      <c r="GG33" s="268"/>
      <c r="GH33" s="268"/>
      <c r="GI33" s="268"/>
      <c r="GJ33" s="268"/>
      <c r="GK33" s="268"/>
      <c r="GL33" s="268"/>
      <c r="GM33" s="268"/>
      <c r="GN33" s="268"/>
      <c r="GO33" s="268"/>
      <c r="GP33" s="268"/>
      <c r="GQ33" s="268"/>
      <c r="HA33" s="47"/>
      <c r="HW33" s="47"/>
      <c r="HX33" s="532"/>
      <c r="IG33" s="47"/>
    </row>
    <row r="34" spans="3:241">
      <c r="C34" s="532"/>
      <c r="AY34" t="s">
        <v>612</v>
      </c>
      <c r="AZ34">
        <f>IF(H17=0,0,1)</f>
        <v>1</v>
      </c>
      <c r="BI34" s="597"/>
      <c r="CC34" t="s">
        <v>612</v>
      </c>
      <c r="CD34">
        <f>IF($AP$26=TRUE,AZ34,0)</f>
        <v>0</v>
      </c>
      <c r="CM34" s="597"/>
      <c r="HA34" s="47"/>
      <c r="HW34" s="47"/>
      <c r="HX34" s="532"/>
      <c r="IG34" s="47"/>
    </row>
    <row r="35" spans="3:241" ht="30">
      <c r="C35" s="532"/>
      <c r="AY35" s="289" t="s">
        <v>613</v>
      </c>
      <c r="AZ35" s="597">
        <f>IF(AZ34=0,AZ33*D9,AZ33)</f>
        <v>2</v>
      </c>
      <c r="BC35" s="734"/>
      <c r="CC35" s="289" t="s">
        <v>613</v>
      </c>
      <c r="CD35">
        <f>IF($AP$26=TRUE,AZ35,0)</f>
        <v>0</v>
      </c>
      <c r="CG35" s="734"/>
      <c r="HA35" s="47"/>
      <c r="HW35" s="47"/>
      <c r="HX35" s="532"/>
      <c r="IG35" s="47"/>
    </row>
    <row r="36" spans="3:241" ht="15.75" thickBot="1">
      <c r="C36" s="532"/>
      <c r="AY36" t="s">
        <v>614</v>
      </c>
      <c r="AZ36">
        <f>SUM(AY29:AY30)</f>
        <v>2</v>
      </c>
      <c r="CC36" t="s">
        <v>614</v>
      </c>
      <c r="CD36">
        <f>IF($AP$26=TRUE,AZ36,0)</f>
        <v>0</v>
      </c>
      <c r="HA36" s="47"/>
      <c r="HW36" s="47"/>
      <c r="HX36" s="532"/>
      <c r="IG36" s="47"/>
    </row>
    <row r="37" spans="3:241" ht="15.75" thickBot="1">
      <c r="C37" s="532"/>
      <c r="AY37" s="597" t="s">
        <v>615</v>
      </c>
      <c r="AZ37" s="320">
        <f>GJ28</f>
        <v>15</v>
      </c>
      <c r="BB37" s="1230" t="str">
        <f>"OPTIMAL BASED ON MATERIALS ("&amp; $BM$4 &amp;""")"</f>
        <v>OPTIMAL BASED ON MATERIALS (6")</v>
      </c>
      <c r="BC37" s="1231"/>
      <c r="BD37" s="1231"/>
      <c r="BE37" s="1231"/>
      <c r="BF37" s="1231"/>
      <c r="BG37" s="1231"/>
      <c r="BH37" s="1231"/>
      <c r="BI37" s="1232"/>
      <c r="CC37" s="597" t="s">
        <v>615</v>
      </c>
      <c r="CD37">
        <f>IF($AP$26=TRUE,AZ37,0)</f>
        <v>0</v>
      </c>
      <c r="CF37" s="1230" t="str">
        <f>"OPTIMAL BASED ON MATERIALS ("&amp; $BM$4 &amp;""")"</f>
        <v>OPTIMAL BASED ON MATERIALS (6")</v>
      </c>
      <c r="CG37" s="1231"/>
      <c r="CH37" s="1231"/>
      <c r="CI37" s="1231"/>
      <c r="CJ37" s="1231"/>
      <c r="CK37" s="1231"/>
      <c r="CL37" s="1231"/>
      <c r="CM37" s="1232"/>
      <c r="HA37" s="47"/>
      <c r="HW37" s="47"/>
      <c r="HX37" s="532"/>
      <c r="IG37" s="47"/>
    </row>
    <row r="38" spans="3:241">
      <c r="C38" s="532"/>
      <c r="AY38" s="597"/>
      <c r="HA38" s="47"/>
      <c r="HW38" s="47"/>
      <c r="HX38" s="532"/>
      <c r="IG38" s="47"/>
    </row>
    <row r="39" spans="3:241" ht="15.75" thickBot="1">
      <c r="C39" s="532"/>
      <c r="AN39" t="s">
        <v>566</v>
      </c>
      <c r="AO39" t="s">
        <v>567</v>
      </c>
      <c r="AY39" s="597"/>
      <c r="HA39" s="47"/>
      <c r="HW39" s="47"/>
      <c r="HX39" s="532"/>
      <c r="IG39" s="47"/>
    </row>
    <row r="40" spans="3:241" ht="45.75" thickBot="1">
      <c r="C40" s="532"/>
      <c r="AO40" s="320" t="b">
        <f>Materials!D3</f>
        <v>1</v>
      </c>
      <c r="AP40" s="320" t="b">
        <f>AND(AN40,AO40)</f>
        <v>1</v>
      </c>
      <c r="AQ40" t="b">
        <f>AND(AP40=TRUE,BI34=30)</f>
        <v>0</v>
      </c>
      <c r="AS40" s="1280" t="str">
        <f>"" &amp; D19 &amp; " (" &amp;ET42 &amp; ")"</f>
        <v>12.30 (2)</v>
      </c>
      <c r="AT40" s="1281"/>
      <c r="AU40" s="1281"/>
      <c r="AV40" s="1281"/>
      <c r="AW40" s="1281"/>
      <c r="AX40" s="1282"/>
      <c r="BB40" s="1230" t="str">
        <f>BB26</f>
        <v>12.15 (2)</v>
      </c>
      <c r="BC40" s="1231"/>
      <c r="BD40" s="1231"/>
      <c r="BE40" s="1231"/>
      <c r="BF40" s="1231"/>
      <c r="BG40" s="1232"/>
      <c r="BW40" s="1230" t="str">
        <f>IF($AP$40=TRUE,AS40,0)</f>
        <v>12.30 (2)</v>
      </c>
      <c r="BX40" s="1231"/>
      <c r="BY40" s="1231"/>
      <c r="BZ40" s="1231"/>
      <c r="CA40" s="1231"/>
      <c r="CB40" s="1232"/>
      <c r="CF40" s="1230" t="str">
        <f>CF26</f>
        <v>12.30 (2)</v>
      </c>
      <c r="CG40" s="1231"/>
      <c r="CH40" s="1231"/>
      <c r="CI40" s="1231"/>
      <c r="CJ40" s="1231"/>
      <c r="CK40" s="1232"/>
      <c r="DA40" s="1005">
        <f>SUM(DA42:DB47)</f>
        <v>1</v>
      </c>
      <c r="DB40" s="1006"/>
      <c r="DC40" s="1005">
        <f>SUM(DC42:DD47)</f>
        <v>1</v>
      </c>
      <c r="DD40" s="1006"/>
      <c r="DE40" s="1005">
        <f>SUM(DE42:DF47)</f>
        <v>0</v>
      </c>
      <c r="DF40" s="1006"/>
      <c r="DG40" s="268"/>
      <c r="DI40" s="1005">
        <f>SUM(DI42:DJ47)</f>
        <v>6</v>
      </c>
      <c r="DJ40" s="1006"/>
      <c r="DK40" s="1005">
        <f>SUM(DK42:DL47)</f>
        <v>6</v>
      </c>
      <c r="DL40" s="1006"/>
      <c r="DM40" s="1005">
        <f>SUM(DM42:DN47)</f>
        <v>0</v>
      </c>
      <c r="DN40" s="1006"/>
      <c r="DO40" s="268"/>
      <c r="DP40" s="268"/>
      <c r="DQ40" s="1230" t="s">
        <v>569</v>
      </c>
      <c r="DR40" s="1231"/>
      <c r="DS40" s="1231"/>
      <c r="DT40" s="1231"/>
      <c r="DU40" s="1231"/>
      <c r="DV40" s="1232"/>
      <c r="DW40" s="268"/>
      <c r="DX40" s="268"/>
      <c r="DY40" s="1230" t="s">
        <v>570</v>
      </c>
      <c r="DZ40" s="1231"/>
      <c r="EA40" s="1231"/>
      <c r="EB40" s="1231"/>
      <c r="EC40" s="1231"/>
      <c r="ED40" s="1232"/>
      <c r="EE40" s="268"/>
      <c r="EF40" s="268"/>
      <c r="EG40" s="1230" t="s">
        <v>571</v>
      </c>
      <c r="EH40" s="1231"/>
      <c r="EI40" s="1231"/>
      <c r="EJ40" s="1231"/>
      <c r="EK40" s="1231"/>
      <c r="EL40" s="1232"/>
      <c r="EM40" s="268"/>
      <c r="EN40" s="268"/>
      <c r="EO40" s="724" t="s">
        <v>572</v>
      </c>
      <c r="EP40" s="268"/>
      <c r="EQ40" s="268"/>
      <c r="ER40" s="724" t="s">
        <v>573</v>
      </c>
      <c r="ES40" s="268"/>
      <c r="ET40" s="724" t="s">
        <v>574</v>
      </c>
      <c r="EU40" s="268"/>
      <c r="EV40" s="268"/>
      <c r="EW40" s="268"/>
      <c r="EX40" s="552" t="s">
        <v>575</v>
      </c>
      <c r="EY40" s="268"/>
      <c r="EZ40" s="268"/>
      <c r="FA40" s="268"/>
      <c r="FB40" s="552" t="s">
        <v>577</v>
      </c>
      <c r="FC40" s="268"/>
      <c r="FD40" s="552" t="s">
        <v>578</v>
      </c>
      <c r="FE40" s="268"/>
      <c r="FF40" s="552" t="s">
        <v>579</v>
      </c>
      <c r="FG40" s="268"/>
      <c r="FH40" s="552" t="s">
        <v>580</v>
      </c>
      <c r="FJ40" s="268"/>
      <c r="FK40" s="552" t="s">
        <v>581</v>
      </c>
      <c r="FL40" s="268"/>
      <c r="FM40" s="552" t="s">
        <v>582</v>
      </c>
      <c r="FN40" s="268"/>
      <c r="FO40" s="552" t="s">
        <v>583</v>
      </c>
      <c r="FP40" s="268"/>
      <c r="FQ40" s="552" t="s">
        <v>584</v>
      </c>
      <c r="FR40" s="268"/>
      <c r="FS40" s="552" t="s">
        <v>585</v>
      </c>
      <c r="FT40" s="268"/>
      <c r="FU40" s="552" t="s">
        <v>586</v>
      </c>
      <c r="FV40" s="268"/>
      <c r="FY40" s="627" t="s">
        <v>587</v>
      </c>
      <c r="FZ40" t="s">
        <v>588</v>
      </c>
      <c r="GA40" s="627" t="s">
        <v>589</v>
      </c>
      <c r="GC40" s="627" t="s">
        <v>587</v>
      </c>
      <c r="GD40" s="627" t="s">
        <v>590</v>
      </c>
      <c r="GE40" s="268"/>
      <c r="GF40" s="627" t="s">
        <v>587</v>
      </c>
      <c r="GG40" s="627" t="s">
        <v>590</v>
      </c>
      <c r="GH40" s="268"/>
      <c r="GI40" s="268"/>
      <c r="GJ40" s="627" t="s">
        <v>589</v>
      </c>
      <c r="GL40" s="627" t="s">
        <v>587</v>
      </c>
      <c r="GM40" s="627" t="s">
        <v>590</v>
      </c>
      <c r="GN40" s="268"/>
      <c r="GO40" s="627" t="s">
        <v>587</v>
      </c>
      <c r="GP40" s="627" t="s">
        <v>590</v>
      </c>
      <c r="GQ40" s="268"/>
      <c r="HA40" s="47"/>
      <c r="HW40" s="47"/>
      <c r="HX40" s="532"/>
      <c r="IG40" s="47"/>
    </row>
    <row r="41" spans="3:241" ht="15.75" thickBot="1">
      <c r="C41" s="532"/>
      <c r="AS41" s="1238" t="s">
        <v>608</v>
      </c>
      <c r="AT41" s="1239"/>
      <c r="AU41" s="1238" t="s">
        <v>608</v>
      </c>
      <c r="AV41" s="1239"/>
      <c r="AW41" s="1238" t="s">
        <v>608</v>
      </c>
      <c r="AX41" s="1239"/>
      <c r="AY41" s="1283" t="s">
        <v>544</v>
      </c>
      <c r="AZ41" s="1284"/>
      <c r="BB41" s="1261" t="s">
        <v>608</v>
      </c>
      <c r="BC41" s="1262"/>
      <c r="BD41" s="1256" t="s">
        <v>608</v>
      </c>
      <c r="BE41" s="1262"/>
      <c r="BF41" s="1256" t="s">
        <v>608</v>
      </c>
      <c r="BG41" s="1237"/>
      <c r="BH41" s="1233" t="s">
        <v>544</v>
      </c>
      <c r="BI41" s="1234"/>
      <c r="BW41" s="1256" t="s">
        <v>608</v>
      </c>
      <c r="BX41" s="1262"/>
      <c r="BY41" s="1256" t="s">
        <v>608</v>
      </c>
      <c r="BZ41" s="1262"/>
      <c r="CA41" s="1256" t="s">
        <v>608</v>
      </c>
      <c r="CB41" s="1262"/>
      <c r="CC41" s="1233" t="s">
        <v>544</v>
      </c>
      <c r="CD41" s="1234"/>
      <c r="CF41" s="1261" t="s">
        <v>608</v>
      </c>
      <c r="CG41" s="1262"/>
      <c r="CH41" s="1256" t="s">
        <v>608</v>
      </c>
      <c r="CI41" s="1262"/>
      <c r="CJ41" s="1256" t="s">
        <v>608</v>
      </c>
      <c r="CK41" s="1237"/>
      <c r="CL41" s="1233" t="s">
        <v>544</v>
      </c>
      <c r="CM41" s="1234"/>
      <c r="EO41" s="374"/>
      <c r="ER41" s="374"/>
      <c r="ET41" s="374"/>
      <c r="GS41" s="724" t="s">
        <v>437</v>
      </c>
      <c r="HA41" s="47"/>
      <c r="HW41" s="47"/>
      <c r="HX41" s="532"/>
      <c r="IG41" s="47"/>
    </row>
    <row r="42" spans="3:241" ht="15.75" thickBot="1">
      <c r="C42" s="532"/>
      <c r="AS42" s="1235" t="str">
        <f t="shared" ref="AS42:AS47" si="57">_xlfn.LET(
_xlpm.total,IF($H$19=0,$D$7,AL19),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xml:space="preserve"> 6' (1)</v>
      </c>
      <c r="AT42" s="1285"/>
      <c r="AU42" s="1235" t="str">
        <f t="shared" ref="AU42:AU47" si="58">_xlfn.LET(
_xlpm.total,IF($H$19=0,$D$7,AN19),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xml:space="preserve"> 6' (1)</v>
      </c>
      <c r="AV42" s="1285"/>
      <c r="AW42" s="1235" t="str">
        <f t="shared" ref="AW42:AW47" si="59">_xlfn.LET(
_xlpm.total,IF($H$19=0,$D$7,AP19),
_xlpm.fullName,IF($H$19=0,$AH$19,$AC$19),
_xlpm.leftName,$AE$19,
_xlpm.perNum,$Z$19,
_xlpm.allowCols,IF($D$5=1,1,$AF$19),
_xlpm.fullCount,INT(_xlpm.total/_xlpm.fullName),
_xlpm.leftOver,MOD(_xlpm.total,_xlpm.fullName),
_xlpm.maxCount,_xlpm.fullCount+IF(_xlpm.leftOver&gt;0,1,0),
_xlpm.rowsPerCol,IF($H$19=0,_xlpm.maxCount,$D$9),
_xlpm.rowInCol,ROW()-ROW($AS$42)+1,
_xlpm.colBlock,INT((COLUMN()-COLUMN($AS$42))/2),
_xlpm.n,IF(
    $H$19=0,
    _xlpm.rowInCol,
    (_xlpm.rowInCol-1)*_xlpm.allowCols+_xlpm.colBlock+1
),
IF($H$19&lt;&gt;0,
    IF(OR(
        _xlpm.rowInCol&gt;_xlpm.rowsPerCol,
        _xlpm.colBlock+1&gt;_xlpm.allowCols,
        _xlpm.n&gt;$AF$19*$AK$19
    ),
        "",
        TEXT(_xlpm.fullName,"0.00")&amp;" ("&amp;ROUNDUP(_xlpm.n/_xlpm.perNum,0)&amp;")"
    ),
    IF(OR(_xlpm.rowInCol&gt;_xlpm.rowsPerCol,_xlpm.colBlock+1&gt;_xlpm.allowCols),
        "",
        IF(_xlpm.n&lt;=_xlpm.fullCount,
            TEXT(_xlpm.fullName,"0")&amp;"' ("&amp;_xlpm.n&amp;")",
            TEXT(_xlpm.leftName,"0")&amp;"' ("&amp;_xlpm.n&amp;")"
        )
    )
)
)</f>
        <v/>
      </c>
      <c r="AX42" s="1285"/>
      <c r="AY42" s="1286" t="str">
        <f>GY42</f>
        <v>Total 30'</v>
      </c>
      <c r="AZ42" s="1269"/>
      <c r="BB42" s="737" t="str">
        <f t="shared" ref="BB42:BB47" si="60">REPT(CHAR(160),1+IF(BB14="",2,2*(2/LEN(_xlfn.TEXTBEFORE(BB14,"'")))))&amp;IF(BB14="",REPT(CHAR(160),LEN(BB$14)+5),BB14)&amp;REPT(CHAR(160),2)&amp;"┃"</f>
        <v>    6' (1)  ┃</v>
      </c>
      <c r="BC42" s="739" t="str">
        <f>REPT(CHAR(160),1+IF(BB14="",2,2*(2/LEN(_xlfn.TEXTBEFORE(BB14,"'")))))&amp;IF(BB14="",REPT(CHAR(160),LEN(BB$14)+5),BB14)&amp;REPT(CHAR(160),2)&amp;"┃"</f>
        <v>    6' (1)  ┃</v>
      </c>
      <c r="BD42" s="739" t="str">
        <f t="shared" ref="BD42:BD47" si="61">REPT(CHAR(160),1+IF(BD14="",2,2*(2/LEN(_xlfn.TEXTBEFORE(BD14,"'")))))&amp;IF(BD14="",REPT(CHAR(160),LEN(BD$14)+5),BD14)&amp;REPT(CHAR(160),2)&amp;"┃"</f>
        <v>    6' (1)  ┃</v>
      </c>
      <c r="BE42" s="739" t="str">
        <f>REPT(CHAR(160),1+IF(BD14="",2,2*(2/LEN(_xlfn.TEXTBEFORE(BD14,"'")))))&amp;IF(BD14="",REPT(CHAR(160),LEN(BD$14)+5),BD14)&amp;REPT(CHAR(160),2)&amp;"┃"</f>
        <v>    6' (1)  ┃</v>
      </c>
      <c r="BF42" s="739" t="str">
        <f t="shared" ref="BF42:BF47" si="62">REPT(CHAR(160),1+IF(BF14="",2,2*(2/LEN(_xlfn.TEXTBEFORE(BF14,"'")))))&amp;IF(BF14="",REPT(CHAR(160),LEN(BF$14)+5),BF14)&amp;REPT(CHAR(160),2)&amp;"┃"</f>
        <v>          ┃</v>
      </c>
      <c r="BG42" s="733" t="str">
        <f>REPT(CHAR(160),1+IF(BF14="",2,2*(2/LEN(_xlfn.TEXTBEFORE(BF14,"'")))))&amp;IF(BF14="",REPT(CHAR(160),LEN(BF$14)+5),BF14)&amp;REPT(CHAR(160),2)&amp;"┃"</f>
        <v>          ┃</v>
      </c>
      <c r="BH42" s="1287" t="str">
        <f>BH28</f>
        <v>Total 15'</v>
      </c>
      <c r="BI42" s="1288"/>
      <c r="BW42" s="1261" t="str">
        <f t="shared" ref="BW42:BW47" si="63">IF($AP$40=TRUE,AS42,0)</f>
        <v xml:space="preserve"> 6' (1)</v>
      </c>
      <c r="BX42" s="1237"/>
      <c r="BY42" s="1261" t="str">
        <f t="shared" ref="BY42:BY47" si="64">IF($AP$40=TRUE,AU42,0)</f>
        <v xml:space="preserve"> 6' (1)</v>
      </c>
      <c r="BZ42" s="1237"/>
      <c r="CA42" s="1261" t="str">
        <f t="shared" ref="CA42:CA47" si="65">IF($AP$40=TRUE,AW42,0)</f>
        <v/>
      </c>
      <c r="CB42" s="1237"/>
      <c r="CC42" s="1230" t="str">
        <f>IF($AP$40=TRUE,AY42,0)</f>
        <v>Total 30'</v>
      </c>
      <c r="CD42" s="1232"/>
      <c r="CF42" s="737" t="str">
        <f t="shared" ref="CF42:CF47" si="66">REPT(CHAR(160),1+IF(CF14="",2,2*(2/LEN(_xlfn.TEXTBEFORE(CF14,"'")))))&amp;IF(CF14="",REPT(CHAR(160),LEN(CF$14)+5),CF14)&amp;REPT(CHAR(160),2)&amp;"┃"</f>
        <v>    6' (1)  ┃</v>
      </c>
      <c r="CG42" s="739" t="str">
        <f t="shared" ref="CG42:CG47" si="67">REPT(CHAR(160),1+IF(CF14="",2,2*(2/LEN(_xlfn.TEXTBEFORE(CF14,"'")))))&amp;IF(CF14="",REPT(CHAR(160),LEN(CF$14)+5),CF14)&amp;REPT(CHAR(160),2)&amp;"┃"</f>
        <v>    6' (1)  ┃</v>
      </c>
      <c r="CH42" s="739" t="str">
        <f t="shared" ref="CH42:CH47" si="68">REPT(CHAR(160),1+IF(CH14="",2,2*(2/LEN(_xlfn.TEXTBEFORE(CH14,"'")))))&amp;IF(CH14="",REPT(CHAR(160),LEN(CH$14)+5),CH14)&amp;REPT(CHAR(160),2)&amp;"┃"</f>
        <v>    6' (1)  ┃</v>
      </c>
      <c r="CI42" s="739" t="str">
        <f t="shared" ref="CI42:CI47" si="69">REPT(CHAR(160),1+IF(CH14="",2,2*(2/LEN(_xlfn.TEXTBEFORE(CH14,"'")))))&amp;IF(CH14="",REPT(CHAR(160),LEN(CH$14)+5),CH14)&amp;REPT(CHAR(160),2)&amp;"┃"</f>
        <v>    6' (1)  ┃</v>
      </c>
      <c r="CJ42" s="739" t="str">
        <f t="shared" ref="CJ42:CJ47" si="70">REPT(CHAR(160),1+IF(CJ14="",2,2*(2/LEN(_xlfn.TEXTBEFORE(CJ14,"'")))))&amp;IF(CJ14="",REPT(CHAR(160),LEN(CJ$14)+5),CJ14)&amp;REPT(CHAR(160),2)&amp;"┃"</f>
        <v>          ┃</v>
      </c>
      <c r="CK42" s="733" t="str">
        <f t="shared" ref="CK42:CK47" si="71">REPT(CHAR(160),1+IF(CJ14="",2,2*(2/LEN(_xlfn.TEXTBEFORE(CJ14,"'")))))&amp;IF(CJ14="",REPT(CHAR(160),LEN(CJ$14)+5),CJ14)&amp;REPT(CHAR(160),2)&amp;"┃"</f>
        <v>          ┃</v>
      </c>
      <c r="CL42" s="1287" t="str">
        <f>CL28</f>
        <v>Total 30'</v>
      </c>
      <c r="CM42" s="1288"/>
      <c r="DA42" s="1005">
        <f t="shared" ref="DA42:DA47" si="72">IF(LEN(AS42)&gt;0,1,0)</f>
        <v>1</v>
      </c>
      <c r="DB42" s="1006"/>
      <c r="DC42" s="1005">
        <f t="shared" ref="DC42:DC47" si="73">IF(LEN(AU42)&gt;0,1,0)</f>
        <v>1</v>
      </c>
      <c r="DD42" s="1006"/>
      <c r="DE42" s="1005">
        <f t="shared" ref="DE42:DE47" si="74">IF(LEN(AW42)&gt;0,1,0)</f>
        <v>0</v>
      </c>
      <c r="DF42" s="1006"/>
      <c r="DG42" s="268"/>
      <c r="DI42" s="1005">
        <f t="shared" ref="DI42:DI47" si="75">IF(AS42="","",--_xlfn.TEXTBEFORE(AS42,"'"))</f>
        <v>6</v>
      </c>
      <c r="DJ42" s="1006"/>
      <c r="DK42" s="1005">
        <f t="shared" ref="DK42:DK47" si="76">IF(AU42="","",--_xlfn.TEXTBEFORE(AU42,"'"))</f>
        <v>6</v>
      </c>
      <c r="DL42" s="1006"/>
      <c r="DM42" s="1005" t="str">
        <f t="shared" ref="DM42:DM47" si="77">IF(AW42="","",--_xlfn.TEXTBEFORE(AW42,"'"))</f>
        <v/>
      </c>
      <c r="DN42" s="1006"/>
      <c r="DO42" s="268"/>
      <c r="DP42" s="268"/>
      <c r="DQ42" s="1005">
        <f t="shared" ref="DQ42:DQ47" si="78">IF(DI42=$GS$43,DI42,"")</f>
        <v>6</v>
      </c>
      <c r="DR42" s="1006"/>
      <c r="DS42" s="1005">
        <f t="shared" ref="DS42:DS47" si="79">IF(DK42=$GS$43,DK42,"")</f>
        <v>6</v>
      </c>
      <c r="DT42" s="1006"/>
      <c r="DU42" s="1005" t="str">
        <f t="shared" ref="DU42:DU47" si="80">IF(DM42=$GS$43,DM42,"")</f>
        <v/>
      </c>
      <c r="DV42" s="1006"/>
      <c r="DW42" s="268"/>
      <c r="DX42" s="268"/>
      <c r="DY42" s="1005" t="str">
        <f t="shared" ref="DY42:DY47" si="81">IF(DQ42=$GS$43,"",IF(DI42="","",IF(DI42=$GS$43,$AH$19-DI42,$AH$19-$AD$19)))</f>
        <v/>
      </c>
      <c r="DZ42" s="1006"/>
      <c r="EA42" s="1005" t="str">
        <f t="shared" ref="EA42:EA47" si="82">IF(DS42=$GS$43,"",IF(DK42="","",IF(DK42=$GS$43,$AH$19-DK42,$AH$19-$AD$19)))</f>
        <v/>
      </c>
      <c r="EB42" s="1006"/>
      <c r="EC42" s="1005" t="str">
        <f t="shared" ref="EC42:EC47" si="83">IF(DU42=$GS$43,"",IF(DM42="","",IF(DM42=$GS$43,$AH$19-DM42,$AH$19-$AD$19)))</f>
        <v/>
      </c>
      <c r="ED42" s="1006"/>
      <c r="EE42" s="268"/>
      <c r="EF42" s="268"/>
      <c r="EG42" s="1003">
        <f t="shared" ref="EG42:EG47" si="84">IF(DI42="","",$F$19-DI42)</f>
        <v>24</v>
      </c>
      <c r="EH42" s="1004"/>
      <c r="EI42" s="1003">
        <f t="shared" ref="EI42:EI47" si="85">IF(DK42="","",$F$19-DK42)</f>
        <v>24</v>
      </c>
      <c r="EJ42" s="1004"/>
      <c r="EK42" s="1003" t="str">
        <f t="shared" ref="EK42:EK47" si="86">IF(DM42="","",$F$19-DM42)</f>
        <v/>
      </c>
      <c r="EL42" s="1004"/>
      <c r="EM42" s="268"/>
      <c r="EN42" s="268"/>
      <c r="EO42" s="724">
        <f>COUNT(DQ42:DV47)</f>
        <v>2</v>
      </c>
      <c r="EP42" s="268"/>
      <c r="EQ42" s="268"/>
      <c r="ER42" s="725">
        <f>IF(EZ45=0,GL42+GO42,0)</f>
        <v>0</v>
      </c>
      <c r="ES42" s="268"/>
      <c r="ET42" s="725">
        <f>EO42+ER42</f>
        <v>2</v>
      </c>
      <c r="EU42" s="268"/>
      <c r="EV42" s="268"/>
      <c r="EW42" s="268"/>
      <c r="EX42" s="718">
        <f>MAX(DY42:ED47)</f>
        <v>0</v>
      </c>
      <c r="EY42" s="320"/>
      <c r="EZ42" s="320"/>
      <c r="FA42" s="320"/>
      <c r="FB42" s="718">
        <f>IF(IFERROR(ROUNDDOWN($F$19/EX42,0),0)&lt;=FU42,IFERROR(ROUNDDOWN($F$19/EX42,0),0),FU42)</f>
        <v>0</v>
      </c>
      <c r="FC42" s="320"/>
      <c r="FD42" s="718">
        <f>FB42*EX42</f>
        <v>0</v>
      </c>
      <c r="FE42" s="320"/>
      <c r="FF42" s="718">
        <f>IF($F$19-FD42=$F$19,0,$F$19-FD42)</f>
        <v>0</v>
      </c>
      <c r="FG42" s="320"/>
      <c r="FH42" s="718">
        <f>IFERROR(ROUNDDOWN(FK42/FD42,0),0)</f>
        <v>0</v>
      </c>
      <c r="FJ42" s="268"/>
      <c r="FK42" s="632">
        <f>SUM(DY42:ED47)</f>
        <v>0</v>
      </c>
      <c r="FM42" s="718">
        <f>IF($F$19-(FK42-FD42)=$F$19,0,$F$19-(FK42-FD42))</f>
        <v>0</v>
      </c>
      <c r="FN42" s="320"/>
      <c r="FO42" s="718">
        <f>IF(FM42=0,0,1)</f>
        <v>0</v>
      </c>
      <c r="FQ42" s="632">
        <f>IFERROR(IF(FF42=0,0,ROUNDUP(FK42/$F$19,0)),0)</f>
        <v>0</v>
      </c>
      <c r="FS42" s="718">
        <f>FQ42*$F$19</f>
        <v>0</v>
      </c>
      <c r="FU42" s="632">
        <f>COUNT(DY42:ED47)</f>
        <v>0</v>
      </c>
      <c r="FV42" s="268"/>
      <c r="FY42" s="720">
        <f>GC42+GF42</f>
        <v>0</v>
      </c>
      <c r="GA42" s="718">
        <f>(GC42*GD42)+(GF42*GG42)</f>
        <v>0</v>
      </c>
      <c r="GC42" s="687">
        <f>FH42</f>
        <v>0</v>
      </c>
      <c r="GD42" s="719">
        <f>FF42</f>
        <v>0</v>
      </c>
      <c r="GE42" s="1" t="s">
        <v>441</v>
      </c>
      <c r="GF42" s="687">
        <f>FO42</f>
        <v>0</v>
      </c>
      <c r="GG42" s="719">
        <f>FM42</f>
        <v>0</v>
      </c>
      <c r="GH42" s="320"/>
      <c r="GI42" s="320"/>
      <c r="GJ42" s="718">
        <f>IF($EZ$45=0,GA42,GA45)</f>
        <v>30</v>
      </c>
      <c r="GL42" s="718">
        <f>IF($EZ$45=0,GC42,GC45)</f>
        <v>1</v>
      </c>
      <c r="GM42" s="718">
        <f>IF($EZ$45=0,GD42,GD45)</f>
        <v>24</v>
      </c>
      <c r="GN42" s="1" t="s">
        <v>441</v>
      </c>
      <c r="GO42" s="718">
        <f>IF($EZ$45=0,GF42,GF45)</f>
        <v>1</v>
      </c>
      <c r="GP42" s="718">
        <f>IF($EZ$45=0,GG42,GG45)</f>
        <v>6</v>
      </c>
      <c r="GQ42" s="320"/>
      <c r="GY42" s="1271" t="str">
        <f>"Total " &amp; GJ42&amp; "'"</f>
        <v>Total 30'</v>
      </c>
      <c r="GZ42" s="1272"/>
      <c r="HA42" s="47"/>
      <c r="HW42" s="47"/>
      <c r="HX42" s="532"/>
      <c r="IG42" s="47"/>
    </row>
    <row r="43" spans="3:241" ht="15.75" thickBot="1">
      <c r="C43" s="532"/>
      <c r="AS43" s="1225" t="str">
        <f t="shared" si="57"/>
        <v/>
      </c>
      <c r="AT43" s="1289"/>
      <c r="AU43" s="1225" t="str">
        <f t="shared" si="58"/>
        <v/>
      </c>
      <c r="AV43" s="1289"/>
      <c r="AW43" s="1225" t="str">
        <f t="shared" si="59"/>
        <v/>
      </c>
      <c r="AX43" s="1289"/>
      <c r="AY43" s="455">
        <f>GY43</f>
        <v>1</v>
      </c>
      <c r="AZ43" s="456" t="str">
        <f>GZ43</f>
        <v>24' rolls</v>
      </c>
      <c r="BB43" s="740" t="str">
        <f t="shared" si="60"/>
        <v>                 ┃</v>
      </c>
      <c r="BC43" s="734" t="str">
        <f t="shared" ref="BC43:BG47" si="87">REPT(CHAR(160),1+IF(BB15="",2,2*(2/LEN(_xlfn.TEXTBEFORE(BB15,"'")))))&amp;IF(BB15="",REPT(CHAR(160),LEN(BB$14)+5),BB15)&amp;REPT(CHAR(160),2)&amp;"┃"</f>
        <v>                 ┃</v>
      </c>
      <c r="BD43" s="734" t="str">
        <f t="shared" si="61"/>
        <v>                 ┃</v>
      </c>
      <c r="BE43" s="734" t="str">
        <f t="shared" si="87"/>
        <v>                 ┃</v>
      </c>
      <c r="BF43" s="734" t="str">
        <f t="shared" si="62"/>
        <v>          ┃</v>
      </c>
      <c r="BG43" s="735" t="str">
        <f t="shared" si="87"/>
        <v>          ┃</v>
      </c>
      <c r="BH43" s="738">
        <f>BH29</f>
        <v>1</v>
      </c>
      <c r="BI43" s="44" t="str">
        <f>BI29</f>
        <v>9' rolls</v>
      </c>
      <c r="BW43" s="1260" t="str">
        <f t="shared" si="63"/>
        <v/>
      </c>
      <c r="BX43" s="1226"/>
      <c r="BY43" s="1260" t="str">
        <f t="shared" si="64"/>
        <v/>
      </c>
      <c r="BZ43" s="1226"/>
      <c r="CA43" s="1260" t="str">
        <f t="shared" si="65"/>
        <v/>
      </c>
      <c r="CB43" s="1226"/>
      <c r="CC43" s="637">
        <f>IF($AP$40=TRUE,AY43,0)</f>
        <v>1</v>
      </c>
      <c r="CD43" s="648" t="str">
        <f>IF($AP$40=TRUE,AZ43,0)</f>
        <v>24' rolls</v>
      </c>
      <c r="CF43" s="740" t="str">
        <f t="shared" si="66"/>
        <v>                 ┃</v>
      </c>
      <c r="CG43" s="734" t="str">
        <f t="shared" si="67"/>
        <v>                 ┃</v>
      </c>
      <c r="CH43" s="734" t="str">
        <f t="shared" si="68"/>
        <v>                 ┃</v>
      </c>
      <c r="CI43" s="734" t="str">
        <f t="shared" si="69"/>
        <v>                 ┃</v>
      </c>
      <c r="CJ43" s="734" t="str">
        <f t="shared" si="70"/>
        <v>          ┃</v>
      </c>
      <c r="CK43" s="735" t="str">
        <f t="shared" si="71"/>
        <v>          ┃</v>
      </c>
      <c r="CL43" s="738">
        <f>CL29</f>
        <v>1</v>
      </c>
      <c r="CM43" s="44" t="str">
        <f>CM29</f>
        <v>24' rolls</v>
      </c>
      <c r="DA43" s="1005">
        <f t="shared" si="72"/>
        <v>0</v>
      </c>
      <c r="DB43" s="1006"/>
      <c r="DC43" s="1005">
        <f t="shared" si="73"/>
        <v>0</v>
      </c>
      <c r="DD43" s="1006"/>
      <c r="DE43" s="1005">
        <f t="shared" si="74"/>
        <v>0</v>
      </c>
      <c r="DF43" s="1006"/>
      <c r="DG43" s="268"/>
      <c r="DI43" s="1005" t="str">
        <f t="shared" si="75"/>
        <v/>
      </c>
      <c r="DJ43" s="1006"/>
      <c r="DK43" s="1005" t="str">
        <f t="shared" si="76"/>
        <v/>
      </c>
      <c r="DL43" s="1006"/>
      <c r="DM43" s="1005" t="str">
        <f t="shared" si="77"/>
        <v/>
      </c>
      <c r="DN43" s="1006"/>
      <c r="DO43" s="268"/>
      <c r="DP43" s="268"/>
      <c r="DQ43" s="1005" t="str">
        <f t="shared" si="78"/>
        <v/>
      </c>
      <c r="DR43" s="1006"/>
      <c r="DS43" s="1005" t="str">
        <f t="shared" si="79"/>
        <v/>
      </c>
      <c r="DT43" s="1006"/>
      <c r="DU43" s="1005" t="str">
        <f t="shared" si="80"/>
        <v/>
      </c>
      <c r="DV43" s="1006"/>
      <c r="DW43" s="268"/>
      <c r="DX43" s="268"/>
      <c r="DY43" s="1005" t="str">
        <f t="shared" si="81"/>
        <v/>
      </c>
      <c r="DZ43" s="1006"/>
      <c r="EA43" s="1005" t="str">
        <f t="shared" si="82"/>
        <v/>
      </c>
      <c r="EB43" s="1006"/>
      <c r="EC43" s="1005" t="str">
        <f t="shared" si="83"/>
        <v/>
      </c>
      <c r="ED43" s="1006"/>
      <c r="EE43" s="268"/>
      <c r="EF43" s="268"/>
      <c r="EG43" s="1003" t="str">
        <f t="shared" si="84"/>
        <v/>
      </c>
      <c r="EH43" s="1004"/>
      <c r="EI43" s="1003" t="str">
        <f t="shared" si="85"/>
        <v/>
      </c>
      <c r="EJ43" s="1004"/>
      <c r="EK43" s="1003" t="str">
        <f t="shared" si="86"/>
        <v/>
      </c>
      <c r="EL43" s="1004"/>
      <c r="EM43" s="268"/>
      <c r="EN43" s="268"/>
      <c r="EO43" s="268"/>
      <c r="EP43" s="268"/>
      <c r="EQ43" s="268"/>
      <c r="ER43" s="268"/>
      <c r="ES43" s="268"/>
      <c r="ET43" s="268"/>
      <c r="EU43" s="268"/>
      <c r="EV43" s="268"/>
      <c r="EW43" s="268"/>
      <c r="FV43" s="268"/>
      <c r="FY43" s="268"/>
      <c r="GC43" s="268"/>
      <c r="GD43" s="268"/>
      <c r="GE43" s="268"/>
      <c r="GF43" s="268"/>
      <c r="GG43" s="268"/>
      <c r="GH43" s="268"/>
      <c r="GI43" s="268"/>
      <c r="GJ43" s="268"/>
      <c r="GK43" s="268"/>
      <c r="GL43" s="268"/>
      <c r="GM43" s="268"/>
      <c r="GN43" s="268"/>
      <c r="GO43" s="268"/>
      <c r="GP43" s="268"/>
      <c r="GQ43" s="268"/>
      <c r="GS43" s="724">
        <f>MAX(DI42:DJ47)</f>
        <v>6</v>
      </c>
      <c r="GY43" s="723">
        <f>GL42</f>
        <v>1</v>
      </c>
      <c r="GZ43" s="649" t="str">
        <f>""&amp;GM42&amp;"' rolls"</f>
        <v>24' rolls</v>
      </c>
      <c r="HA43" s="47"/>
      <c r="HW43" s="47"/>
      <c r="HX43" s="532"/>
      <c r="IG43" s="47"/>
    </row>
    <row r="44" spans="3:241" ht="15.75" thickBot="1">
      <c r="C44" s="532"/>
      <c r="AS44" s="1225" t="str">
        <f t="shared" si="57"/>
        <v/>
      </c>
      <c r="AT44" s="1289"/>
      <c r="AU44" s="1225" t="str">
        <f t="shared" si="58"/>
        <v/>
      </c>
      <c r="AV44" s="1289"/>
      <c r="AW44" s="1225" t="str">
        <f t="shared" si="59"/>
        <v/>
      </c>
      <c r="AX44" s="1289"/>
      <c r="AY44" s="653">
        <f>GY44</f>
        <v>1</v>
      </c>
      <c r="AZ44" s="598" t="str">
        <f>GZ44</f>
        <v>6' rolls</v>
      </c>
      <c r="BB44" s="740" t="str">
        <f t="shared" si="60"/>
        <v>                 ┃</v>
      </c>
      <c r="BC44" s="734" t="str">
        <f t="shared" si="87"/>
        <v>                 ┃</v>
      </c>
      <c r="BD44" s="734" t="str">
        <f t="shared" si="61"/>
        <v>                 ┃</v>
      </c>
      <c r="BE44" s="734" t="str">
        <f t="shared" si="87"/>
        <v>                 ┃</v>
      </c>
      <c r="BF44" s="734" t="str">
        <f t="shared" si="62"/>
        <v>          ┃</v>
      </c>
      <c r="BG44" s="735" t="str">
        <f t="shared" si="87"/>
        <v>          ┃</v>
      </c>
      <c r="BH44" s="670">
        <f>BH30</f>
        <v>1</v>
      </c>
      <c r="BI44" s="633" t="str">
        <f>BI30</f>
        <v>6' rolls</v>
      </c>
      <c r="BW44" s="1260" t="str">
        <f t="shared" si="63"/>
        <v/>
      </c>
      <c r="BX44" s="1226"/>
      <c r="BY44" s="1260" t="str">
        <f t="shared" si="64"/>
        <v/>
      </c>
      <c r="BZ44" s="1226"/>
      <c r="CA44" s="1260" t="str">
        <f t="shared" si="65"/>
        <v/>
      </c>
      <c r="CB44" s="1226"/>
      <c r="CC44" s="642">
        <f>IF($AP$40=TRUE,AY44,0)</f>
        <v>1</v>
      </c>
      <c r="CD44" s="649" t="str">
        <f>IF($AP$40=TRUE,AZ44,0)</f>
        <v>6' rolls</v>
      </c>
      <c r="CF44" s="740" t="str">
        <f t="shared" si="66"/>
        <v>                 ┃</v>
      </c>
      <c r="CG44" s="734" t="str">
        <f t="shared" si="67"/>
        <v>                 ┃</v>
      </c>
      <c r="CH44" s="734" t="str">
        <f t="shared" si="68"/>
        <v>                 ┃</v>
      </c>
      <c r="CI44" s="734" t="str">
        <f t="shared" si="69"/>
        <v>                 ┃</v>
      </c>
      <c r="CJ44" s="734" t="str">
        <f t="shared" si="70"/>
        <v>          ┃</v>
      </c>
      <c r="CK44" s="735" t="str">
        <f t="shared" si="71"/>
        <v>          ┃</v>
      </c>
      <c r="CL44" s="670">
        <f>CL30</f>
        <v>1</v>
      </c>
      <c r="CM44" s="633" t="str">
        <f>CM30</f>
        <v>6' rolls</v>
      </c>
      <c r="DA44" s="1005">
        <f t="shared" si="72"/>
        <v>0</v>
      </c>
      <c r="DB44" s="1006"/>
      <c r="DC44" s="1005">
        <f t="shared" si="73"/>
        <v>0</v>
      </c>
      <c r="DD44" s="1006"/>
      <c r="DE44" s="1005">
        <f t="shared" si="74"/>
        <v>0</v>
      </c>
      <c r="DF44" s="1006"/>
      <c r="DG44" s="268"/>
      <c r="DI44" s="1005" t="str">
        <f t="shared" si="75"/>
        <v/>
      </c>
      <c r="DJ44" s="1006"/>
      <c r="DK44" s="1005" t="str">
        <f t="shared" si="76"/>
        <v/>
      </c>
      <c r="DL44" s="1006"/>
      <c r="DM44" s="1005" t="str">
        <f t="shared" si="77"/>
        <v/>
      </c>
      <c r="DN44" s="1006"/>
      <c r="DO44" s="268"/>
      <c r="DP44" s="268"/>
      <c r="DQ44" s="1005" t="str">
        <f t="shared" si="78"/>
        <v/>
      </c>
      <c r="DR44" s="1006"/>
      <c r="DS44" s="1005" t="str">
        <f t="shared" si="79"/>
        <v/>
      </c>
      <c r="DT44" s="1006"/>
      <c r="DU44" s="1005" t="str">
        <f t="shared" si="80"/>
        <v/>
      </c>
      <c r="DV44" s="1006"/>
      <c r="DW44" s="268"/>
      <c r="DX44" s="268"/>
      <c r="DY44" s="1005" t="str">
        <f t="shared" si="81"/>
        <v/>
      </c>
      <c r="DZ44" s="1006"/>
      <c r="EA44" s="1005" t="str">
        <f t="shared" si="82"/>
        <v/>
      </c>
      <c r="EB44" s="1006"/>
      <c r="EC44" s="1005" t="str">
        <f t="shared" si="83"/>
        <v/>
      </c>
      <c r="ED44" s="1006"/>
      <c r="EE44" s="268"/>
      <c r="EF44" s="268"/>
      <c r="EG44" s="1003" t="str">
        <f t="shared" si="84"/>
        <v/>
      </c>
      <c r="EH44" s="1004"/>
      <c r="EI44" s="1003" t="str">
        <f t="shared" si="85"/>
        <v/>
      </c>
      <c r="EJ44" s="1004"/>
      <c r="EK44" s="1003" t="str">
        <f t="shared" si="86"/>
        <v/>
      </c>
      <c r="EL44" s="1004"/>
      <c r="EM44" s="268"/>
      <c r="EN44" s="268"/>
      <c r="EO44" s="268"/>
      <c r="EP44" s="268"/>
      <c r="EQ44" s="268"/>
      <c r="ER44" s="268"/>
      <c r="ES44" s="268"/>
      <c r="ET44" s="268"/>
      <c r="EU44" s="268"/>
      <c r="EV44" s="268"/>
      <c r="EW44" s="268"/>
      <c r="FV44" s="268"/>
      <c r="GY44" s="722">
        <f>GO42</f>
        <v>1</v>
      </c>
      <c r="GZ44" s="13" t="str">
        <f>""&amp;GP42&amp;"' rolls"</f>
        <v>6' rolls</v>
      </c>
      <c r="HA44" s="47"/>
      <c r="HW44" s="47"/>
      <c r="HX44" s="532"/>
      <c r="IG44" s="47"/>
    </row>
    <row r="45" spans="3:241" ht="15.75" thickBot="1">
      <c r="C45" s="532"/>
      <c r="AS45" s="1225" t="str">
        <f t="shared" si="57"/>
        <v/>
      </c>
      <c r="AT45" s="1289"/>
      <c r="AU45" s="1225" t="str">
        <f t="shared" si="58"/>
        <v/>
      </c>
      <c r="AV45" s="1289"/>
      <c r="AW45" s="1225" t="str">
        <f t="shared" si="59"/>
        <v/>
      </c>
      <c r="AX45" s="1289"/>
      <c r="BB45" s="740" t="str">
        <f t="shared" si="60"/>
        <v>                 ┃</v>
      </c>
      <c r="BC45" s="734" t="str">
        <f t="shared" si="87"/>
        <v>                 ┃</v>
      </c>
      <c r="BD45" s="734" t="str">
        <f t="shared" si="61"/>
        <v>                 ┃</v>
      </c>
      <c r="BE45" s="734" t="str">
        <f t="shared" si="87"/>
        <v>                 ┃</v>
      </c>
      <c r="BF45" s="734" t="str">
        <f t="shared" si="62"/>
        <v>          ┃</v>
      </c>
      <c r="BG45" s="735" t="str">
        <f t="shared" si="87"/>
        <v>          ┃</v>
      </c>
      <c r="BH45" s="1231" t="s">
        <v>610</v>
      </c>
      <c r="BI45" s="1232"/>
      <c r="BW45" s="1260" t="str">
        <f t="shared" si="63"/>
        <v/>
      </c>
      <c r="BX45" s="1226"/>
      <c r="BY45" s="1260" t="str">
        <f t="shared" si="64"/>
        <v/>
      </c>
      <c r="BZ45" s="1226"/>
      <c r="CA45" s="1260" t="str">
        <f t="shared" si="65"/>
        <v/>
      </c>
      <c r="CB45" s="1226"/>
      <c r="CF45" s="740" t="str">
        <f t="shared" si="66"/>
        <v>                 ┃</v>
      </c>
      <c r="CG45" s="734" t="str">
        <f t="shared" si="67"/>
        <v>                 ┃</v>
      </c>
      <c r="CH45" s="734" t="str">
        <f t="shared" si="68"/>
        <v>                 ┃</v>
      </c>
      <c r="CI45" s="734" t="str">
        <f t="shared" si="69"/>
        <v>                 ┃</v>
      </c>
      <c r="CJ45" s="734" t="str">
        <f t="shared" si="70"/>
        <v>          ┃</v>
      </c>
      <c r="CK45" s="735" t="str">
        <f t="shared" si="71"/>
        <v>          ┃</v>
      </c>
      <c r="CL45" s="1230" t="s">
        <v>610</v>
      </c>
      <c r="CM45" s="1232"/>
      <c r="DA45" s="1005">
        <f t="shared" si="72"/>
        <v>0</v>
      </c>
      <c r="DB45" s="1006"/>
      <c r="DC45" s="1005">
        <f t="shared" si="73"/>
        <v>0</v>
      </c>
      <c r="DD45" s="1006"/>
      <c r="DE45" s="1005">
        <f t="shared" si="74"/>
        <v>0</v>
      </c>
      <c r="DF45" s="1006"/>
      <c r="DG45" s="268"/>
      <c r="DI45" s="1005" t="str">
        <f t="shared" si="75"/>
        <v/>
      </c>
      <c r="DJ45" s="1006"/>
      <c r="DK45" s="1005" t="str">
        <f t="shared" si="76"/>
        <v/>
      </c>
      <c r="DL45" s="1006"/>
      <c r="DM45" s="1005" t="str">
        <f t="shared" si="77"/>
        <v/>
      </c>
      <c r="DN45" s="1006"/>
      <c r="DO45" s="268"/>
      <c r="DP45" s="268"/>
      <c r="DQ45" s="1005" t="str">
        <f t="shared" si="78"/>
        <v/>
      </c>
      <c r="DR45" s="1006"/>
      <c r="DS45" s="1005" t="str">
        <f t="shared" si="79"/>
        <v/>
      </c>
      <c r="DT45" s="1006"/>
      <c r="DU45" s="1005" t="str">
        <f t="shared" si="80"/>
        <v/>
      </c>
      <c r="DV45" s="1006"/>
      <c r="DW45" s="268"/>
      <c r="DX45" s="268"/>
      <c r="DY45" s="1005" t="str">
        <f t="shared" si="81"/>
        <v/>
      </c>
      <c r="DZ45" s="1006"/>
      <c r="EA45" s="1005" t="str">
        <f t="shared" si="82"/>
        <v/>
      </c>
      <c r="EB45" s="1006"/>
      <c r="EC45" s="1005" t="str">
        <f t="shared" si="83"/>
        <v/>
      </c>
      <c r="ED45" s="1006"/>
      <c r="EE45" s="268"/>
      <c r="EF45" s="268"/>
      <c r="EG45" s="1003" t="str">
        <f t="shared" si="84"/>
        <v/>
      </c>
      <c r="EH45" s="1004"/>
      <c r="EI45" s="1003" t="str">
        <f t="shared" si="85"/>
        <v/>
      </c>
      <c r="EJ45" s="1004"/>
      <c r="EK45" s="1003" t="str">
        <f t="shared" si="86"/>
        <v/>
      </c>
      <c r="EL45" s="1004"/>
      <c r="EM45" s="268"/>
      <c r="EN45" s="268"/>
      <c r="EO45" s="268"/>
      <c r="EP45" s="268"/>
      <c r="EQ45" s="268"/>
      <c r="ER45" s="268"/>
      <c r="ES45" s="268"/>
      <c r="ET45" s="268"/>
      <c r="EU45" s="268"/>
      <c r="EV45" s="268"/>
      <c r="EW45" s="268"/>
      <c r="EX45" s="718">
        <f>MAX(EG42:EL47)</f>
        <v>24</v>
      </c>
      <c r="EY45" s="320"/>
      <c r="EZ45" s="718">
        <f>IF(EX42+EX45=$F$19,0,EX45)</f>
        <v>24</v>
      </c>
      <c r="FA45" s="320"/>
      <c r="FB45" s="718">
        <f>IF(IFERROR(ROUNDDOWN($F$19/EZ45,0),0)&lt;=FU45,IFERROR(ROUNDDOWN($F$19/EZ45,0),0),FU45)</f>
        <v>1</v>
      </c>
      <c r="FC45" s="320"/>
      <c r="FD45" s="718">
        <f>FB45*EZ45</f>
        <v>24</v>
      </c>
      <c r="FE45" s="320"/>
      <c r="FF45" s="718">
        <f>EZ45</f>
        <v>24</v>
      </c>
      <c r="FG45" s="320"/>
      <c r="FH45" s="718">
        <f>FB45</f>
        <v>1</v>
      </c>
      <c r="FJ45" s="268"/>
      <c r="FK45" s="718">
        <f>IF(EZ45=0,0,SUM(EG42:EL47))</f>
        <v>48</v>
      </c>
      <c r="FM45" s="718">
        <f>IF($F$19-(FK45-FD45)=$F$19,0,$F$19-(FK45-FD45))</f>
        <v>6</v>
      </c>
      <c r="FN45" s="320"/>
      <c r="FO45" s="718">
        <f>IF(FM45=0,0,1)</f>
        <v>1</v>
      </c>
      <c r="FQ45" s="632">
        <f>IFERROR(IF(FF45=0,0,ROUNDUP(FK45/$F$19,0)),0)</f>
        <v>2</v>
      </c>
      <c r="FS45" s="718">
        <f>FQ45*$F$19</f>
        <v>60</v>
      </c>
      <c r="FU45" s="632">
        <f>COUNT(EG42:EL47)</f>
        <v>2</v>
      </c>
      <c r="FV45" s="268"/>
      <c r="FY45" s="720">
        <f>GC45+GF45</f>
        <v>2</v>
      </c>
      <c r="GA45" s="718">
        <f>(GC45*GD45)+(GF45*GG45)</f>
        <v>30</v>
      </c>
      <c r="GC45" s="687">
        <f>FH45</f>
        <v>1</v>
      </c>
      <c r="GD45" s="719">
        <f>FF45</f>
        <v>24</v>
      </c>
      <c r="GE45" s="1" t="s">
        <v>441</v>
      </c>
      <c r="GF45" s="687">
        <f>FO45</f>
        <v>1</v>
      </c>
      <c r="GG45" s="719">
        <f>FM45</f>
        <v>6</v>
      </c>
      <c r="GH45" s="268"/>
      <c r="GI45" s="268"/>
      <c r="GJ45" s="268"/>
      <c r="GK45" s="268"/>
      <c r="GL45" s="268"/>
      <c r="GM45" s="268"/>
      <c r="GN45" s="268"/>
      <c r="GO45" s="268"/>
      <c r="GP45" s="268"/>
      <c r="GQ45" s="268"/>
      <c r="HA45" s="47"/>
      <c r="HW45" s="47"/>
      <c r="HX45" s="532"/>
      <c r="IG45" s="47"/>
    </row>
    <row r="46" spans="3:241" ht="15.75" thickBot="1">
      <c r="C46" s="532"/>
      <c r="AS46" s="1225" t="str">
        <f t="shared" si="57"/>
        <v/>
      </c>
      <c r="AT46" s="1289"/>
      <c r="AU46" s="1225" t="str">
        <f t="shared" si="58"/>
        <v/>
      </c>
      <c r="AV46" s="1289"/>
      <c r="AW46" s="1225" t="str">
        <f t="shared" si="59"/>
        <v/>
      </c>
      <c r="AX46" s="1289"/>
      <c r="BB46" s="740" t="str">
        <f t="shared" si="60"/>
        <v>                 ┃</v>
      </c>
      <c r="BC46" s="734" t="str">
        <f t="shared" si="87"/>
        <v>                 ┃</v>
      </c>
      <c r="BD46" s="734" t="str">
        <f t="shared" si="61"/>
        <v>                 ┃</v>
      </c>
      <c r="BE46" s="734" t="str">
        <f t="shared" si="87"/>
        <v>                 ┃</v>
      </c>
      <c r="BF46" s="734" t="str">
        <f t="shared" si="62"/>
        <v>          ┃</v>
      </c>
      <c r="BG46" s="735" t="str">
        <f t="shared" si="87"/>
        <v>          ┃</v>
      </c>
      <c r="BH46" s="656" t="s">
        <v>611</v>
      </c>
      <c r="BI46" s="683">
        <f>BI18</f>
        <v>2</v>
      </c>
      <c r="BW46" s="1260" t="str">
        <f t="shared" si="63"/>
        <v/>
      </c>
      <c r="BX46" s="1226"/>
      <c r="BY46" s="1260" t="str">
        <f t="shared" si="64"/>
        <v/>
      </c>
      <c r="BZ46" s="1226"/>
      <c r="CA46" s="1260" t="str">
        <f t="shared" si="65"/>
        <v/>
      </c>
      <c r="CB46" s="1226"/>
      <c r="CF46" s="740" t="str">
        <f t="shared" si="66"/>
        <v>                 ┃</v>
      </c>
      <c r="CG46" s="734" t="str">
        <f t="shared" si="67"/>
        <v>                 ┃</v>
      </c>
      <c r="CH46" s="734" t="str">
        <f t="shared" si="68"/>
        <v>                 ┃</v>
      </c>
      <c r="CI46" s="734" t="str">
        <f t="shared" si="69"/>
        <v>                 ┃</v>
      </c>
      <c r="CJ46" s="734" t="str">
        <f t="shared" si="70"/>
        <v>          ┃</v>
      </c>
      <c r="CK46" s="735" t="str">
        <f t="shared" si="71"/>
        <v>          ┃</v>
      </c>
      <c r="CL46" s="655" t="s">
        <v>611</v>
      </c>
      <c r="CM46" s="683">
        <f>CM18</f>
        <v>2</v>
      </c>
      <c r="DA46" s="1005">
        <f t="shared" si="72"/>
        <v>0</v>
      </c>
      <c r="DB46" s="1006"/>
      <c r="DC46" s="1005">
        <f t="shared" si="73"/>
        <v>0</v>
      </c>
      <c r="DD46" s="1006"/>
      <c r="DE46" s="1005">
        <f t="shared" si="74"/>
        <v>0</v>
      </c>
      <c r="DF46" s="1006"/>
      <c r="DG46" s="268"/>
      <c r="DI46" s="1005" t="str">
        <f t="shared" si="75"/>
        <v/>
      </c>
      <c r="DJ46" s="1006"/>
      <c r="DK46" s="1005" t="str">
        <f t="shared" si="76"/>
        <v/>
      </c>
      <c r="DL46" s="1006"/>
      <c r="DM46" s="1005" t="str">
        <f t="shared" si="77"/>
        <v/>
      </c>
      <c r="DN46" s="1006"/>
      <c r="DO46" s="268"/>
      <c r="DP46" s="268"/>
      <c r="DQ46" s="1005" t="str">
        <f t="shared" si="78"/>
        <v/>
      </c>
      <c r="DR46" s="1006"/>
      <c r="DS46" s="1005" t="str">
        <f t="shared" si="79"/>
        <v/>
      </c>
      <c r="DT46" s="1006"/>
      <c r="DU46" s="1005" t="str">
        <f t="shared" si="80"/>
        <v/>
      </c>
      <c r="DV46" s="1006"/>
      <c r="DW46" s="268"/>
      <c r="DX46" s="268"/>
      <c r="DY46" s="1005" t="str">
        <f t="shared" si="81"/>
        <v/>
      </c>
      <c r="DZ46" s="1006"/>
      <c r="EA46" s="1005" t="str">
        <f t="shared" si="82"/>
        <v/>
      </c>
      <c r="EB46" s="1006"/>
      <c r="EC46" s="1005" t="str">
        <f t="shared" si="83"/>
        <v/>
      </c>
      <c r="ED46" s="1006"/>
      <c r="EE46" s="268"/>
      <c r="EF46" s="268"/>
      <c r="EG46" s="1003" t="str">
        <f t="shared" si="84"/>
        <v/>
      </c>
      <c r="EH46" s="1004"/>
      <c r="EI46" s="1003" t="str">
        <f t="shared" si="85"/>
        <v/>
      </c>
      <c r="EJ46" s="1004"/>
      <c r="EK46" s="1003" t="str">
        <f t="shared" si="86"/>
        <v/>
      </c>
      <c r="EL46" s="1004"/>
      <c r="EM46" s="268"/>
      <c r="EN46" s="268"/>
      <c r="EO46" s="268"/>
      <c r="EP46" s="268"/>
      <c r="EQ46" s="268"/>
      <c r="ER46" s="268"/>
      <c r="ES46" s="268"/>
      <c r="ET46" s="268"/>
      <c r="EU46" s="268"/>
      <c r="EV46" s="268"/>
      <c r="EW46" s="268"/>
      <c r="EX46" s="268"/>
      <c r="EY46" s="268"/>
      <c r="EZ46" s="268"/>
      <c r="FA46" s="268"/>
      <c r="FB46" s="268"/>
      <c r="FC46" s="268"/>
      <c r="FD46" s="268"/>
      <c r="FE46" s="268"/>
      <c r="FF46" s="268"/>
      <c r="FG46" s="268"/>
      <c r="FJ46" s="268"/>
      <c r="FK46" s="268"/>
      <c r="FL46" s="268"/>
      <c r="FM46" s="268"/>
      <c r="FN46" s="268"/>
      <c r="FO46" s="268"/>
      <c r="FP46" s="268"/>
      <c r="FQ46" s="268"/>
      <c r="FR46" s="268"/>
      <c r="FS46" s="268"/>
      <c r="FT46" s="268"/>
      <c r="FU46" s="268"/>
      <c r="FV46" s="268"/>
      <c r="GC46" s="268"/>
      <c r="GD46" s="268"/>
      <c r="GE46" s="268"/>
      <c r="GF46" s="268"/>
      <c r="GG46" s="268"/>
      <c r="GH46" s="268"/>
      <c r="GI46" s="268"/>
      <c r="GJ46" s="268"/>
      <c r="GK46" s="268"/>
      <c r="GL46" s="268"/>
      <c r="GM46" s="268"/>
      <c r="GN46" s="268"/>
      <c r="GO46" s="268"/>
      <c r="GP46" s="268"/>
      <c r="GQ46" s="268"/>
      <c r="HA46" s="47"/>
      <c r="HW46" s="47"/>
      <c r="HX46" s="532"/>
      <c r="IG46" s="47"/>
    </row>
    <row r="47" spans="3:241" ht="15.75" thickBot="1">
      <c r="C47" s="532"/>
      <c r="AS47" s="1227" t="str">
        <f t="shared" si="57"/>
        <v/>
      </c>
      <c r="AT47" s="1290"/>
      <c r="AU47" s="1227" t="str">
        <f t="shared" si="58"/>
        <v/>
      </c>
      <c r="AV47" s="1290"/>
      <c r="AW47" s="1227" t="str">
        <f t="shared" si="59"/>
        <v/>
      </c>
      <c r="AX47" s="1290"/>
      <c r="AY47" t="s">
        <v>506</v>
      </c>
      <c r="AZ47" s="726">
        <f>ET42</f>
        <v>2</v>
      </c>
      <c r="BB47" s="741" t="str">
        <f t="shared" si="60"/>
        <v>                 ┃</v>
      </c>
      <c r="BC47" s="742" t="str">
        <f t="shared" si="87"/>
        <v>                 ┃</v>
      </c>
      <c r="BD47" s="742" t="str">
        <f t="shared" si="61"/>
        <v>                 ┃</v>
      </c>
      <c r="BE47" s="742" t="str">
        <f t="shared" si="87"/>
        <v>                 ┃</v>
      </c>
      <c r="BF47" s="742" t="str">
        <f t="shared" si="62"/>
        <v>          ┃</v>
      </c>
      <c r="BG47" s="736" t="str">
        <f t="shared" si="87"/>
        <v>          ┃</v>
      </c>
      <c r="BH47" s="745">
        <f>BH19</f>
        <v>12</v>
      </c>
      <c r="BI47" s="552">
        <f>BI19</f>
        <v>15</v>
      </c>
      <c r="BW47" s="1257" t="str">
        <f t="shared" si="63"/>
        <v/>
      </c>
      <c r="BX47" s="1229"/>
      <c r="BY47" s="1257" t="str">
        <f t="shared" si="64"/>
        <v/>
      </c>
      <c r="BZ47" s="1229"/>
      <c r="CA47" s="1257" t="str">
        <f t="shared" si="65"/>
        <v/>
      </c>
      <c r="CB47" s="1229"/>
      <c r="CC47" t="s">
        <v>506</v>
      </c>
      <c r="CD47">
        <f>IF($AP$40=TRUE,AZ47,0)</f>
        <v>2</v>
      </c>
      <c r="CF47" s="741" t="str">
        <f t="shared" si="66"/>
        <v>                 ┃</v>
      </c>
      <c r="CG47" s="742" t="str">
        <f t="shared" si="67"/>
        <v>                 ┃</v>
      </c>
      <c r="CH47" s="742" t="str">
        <f t="shared" si="68"/>
        <v>                 ┃</v>
      </c>
      <c r="CI47" s="742" t="str">
        <f t="shared" si="69"/>
        <v>                 ┃</v>
      </c>
      <c r="CJ47" s="742" t="str">
        <f t="shared" si="70"/>
        <v>          ┃</v>
      </c>
      <c r="CK47" s="736" t="str">
        <f t="shared" si="71"/>
        <v>          ┃</v>
      </c>
      <c r="CL47" s="717">
        <f>CL19</f>
        <v>12</v>
      </c>
      <c r="CM47" s="552">
        <f>CM19</f>
        <v>30</v>
      </c>
      <c r="DA47" s="1005">
        <f t="shared" si="72"/>
        <v>0</v>
      </c>
      <c r="DB47" s="1006"/>
      <c r="DC47" s="1005">
        <f t="shared" si="73"/>
        <v>0</v>
      </c>
      <c r="DD47" s="1006"/>
      <c r="DE47" s="1005">
        <f t="shared" si="74"/>
        <v>0</v>
      </c>
      <c r="DF47" s="1006"/>
      <c r="DG47" s="268"/>
      <c r="DI47" s="1005" t="str">
        <f t="shared" si="75"/>
        <v/>
      </c>
      <c r="DJ47" s="1006"/>
      <c r="DK47" s="1005" t="str">
        <f t="shared" si="76"/>
        <v/>
      </c>
      <c r="DL47" s="1006"/>
      <c r="DM47" s="1005" t="str">
        <f t="shared" si="77"/>
        <v/>
      </c>
      <c r="DN47" s="1006"/>
      <c r="DO47" s="268"/>
      <c r="DP47" s="268"/>
      <c r="DQ47" s="1005" t="str">
        <f t="shared" si="78"/>
        <v/>
      </c>
      <c r="DR47" s="1006"/>
      <c r="DS47" s="1005" t="str">
        <f t="shared" si="79"/>
        <v/>
      </c>
      <c r="DT47" s="1006"/>
      <c r="DU47" s="1005" t="str">
        <f t="shared" si="80"/>
        <v/>
      </c>
      <c r="DV47" s="1006"/>
      <c r="DW47" s="268"/>
      <c r="DX47" s="268"/>
      <c r="DY47" s="1005" t="str">
        <f t="shared" si="81"/>
        <v/>
      </c>
      <c r="DZ47" s="1006"/>
      <c r="EA47" s="1005" t="str">
        <f t="shared" si="82"/>
        <v/>
      </c>
      <c r="EB47" s="1006"/>
      <c r="EC47" s="1005" t="str">
        <f t="shared" si="83"/>
        <v/>
      </c>
      <c r="ED47" s="1006"/>
      <c r="EE47" s="268"/>
      <c r="EF47" s="268"/>
      <c r="EG47" s="1003" t="str">
        <f t="shared" si="84"/>
        <v/>
      </c>
      <c r="EH47" s="1004"/>
      <c r="EI47" s="1003" t="str">
        <f t="shared" si="85"/>
        <v/>
      </c>
      <c r="EJ47" s="1004"/>
      <c r="EK47" s="1003" t="str">
        <f t="shared" si="86"/>
        <v/>
      </c>
      <c r="EL47" s="1004"/>
      <c r="EM47" s="268"/>
      <c r="EN47" s="268"/>
      <c r="EO47" s="268"/>
      <c r="EP47" s="268"/>
      <c r="EQ47" s="268"/>
      <c r="ER47" s="268"/>
      <c r="ES47" s="268"/>
      <c r="ET47" s="268"/>
      <c r="EU47" s="268"/>
      <c r="EV47" s="268"/>
      <c r="EW47" s="268"/>
      <c r="EX47" s="268"/>
      <c r="EY47" s="268"/>
      <c r="EZ47" s="268"/>
      <c r="FA47" s="268"/>
      <c r="FB47" s="268"/>
      <c r="FC47" s="268"/>
      <c r="FD47" s="268"/>
      <c r="FE47" s="268"/>
      <c r="FF47" s="268"/>
      <c r="FG47" s="268"/>
      <c r="FJ47" s="268"/>
      <c r="FK47" s="268"/>
      <c r="FL47" s="268"/>
      <c r="FM47" s="268"/>
      <c r="FN47" s="268"/>
      <c r="FO47" s="268"/>
      <c r="FP47" s="268"/>
      <c r="FQ47" s="268"/>
      <c r="FR47" s="268"/>
      <c r="FS47" s="268"/>
      <c r="FT47" s="268"/>
      <c r="FU47" s="268"/>
      <c r="FV47" s="268"/>
      <c r="GC47" s="268"/>
      <c r="GD47" s="268"/>
      <c r="GE47" s="268"/>
      <c r="GF47" s="268"/>
      <c r="GG47" s="268"/>
      <c r="GH47" s="268"/>
      <c r="GI47" s="268"/>
      <c r="GJ47" s="268"/>
      <c r="GK47" s="268"/>
      <c r="GL47" s="268"/>
      <c r="GM47" s="268"/>
      <c r="GN47" s="268"/>
      <c r="GO47" s="268"/>
      <c r="GP47" s="268"/>
      <c r="GQ47" s="268"/>
      <c r="HA47" s="47"/>
      <c r="HW47" s="47"/>
      <c r="HX47" s="532"/>
      <c r="IG47" s="47"/>
    </row>
    <row r="48" spans="3:241">
      <c r="C48" s="532"/>
      <c r="AY48" t="s">
        <v>612</v>
      </c>
      <c r="AZ48">
        <f>IF(H19=0,0,1)</f>
        <v>1</v>
      </c>
      <c r="CC48" t="s">
        <v>612</v>
      </c>
      <c r="CD48">
        <f>IF($AP$40=TRUE,AZ48,0)</f>
        <v>1</v>
      </c>
      <c r="HA48" s="47"/>
      <c r="HW48" s="47"/>
      <c r="HX48" s="532"/>
      <c r="IG48" s="47"/>
    </row>
    <row r="49" spans="3:241" ht="30">
      <c r="C49" s="532"/>
      <c r="AY49" s="289" t="s">
        <v>613</v>
      </c>
      <c r="AZ49" s="597">
        <f>IF(AZ48=0,AZ47*D9,AZ47)</f>
        <v>2</v>
      </c>
      <c r="CC49" s="289" t="s">
        <v>613</v>
      </c>
      <c r="CD49">
        <f>IF($AP$40=TRUE,AZ49,0)</f>
        <v>2</v>
      </c>
      <c r="HA49" s="47"/>
      <c r="HW49" s="47"/>
      <c r="HX49" s="532"/>
      <c r="IG49" s="47"/>
    </row>
    <row r="50" spans="3:241">
      <c r="C50" s="532"/>
      <c r="AY50" t="s">
        <v>614</v>
      </c>
      <c r="AZ50">
        <f>SUM(AY43:AY44)</f>
        <v>2</v>
      </c>
      <c r="CC50" t="s">
        <v>614</v>
      </c>
      <c r="CD50">
        <f>IF($AP$40=TRUE,AZ50,0)</f>
        <v>2</v>
      </c>
      <c r="HA50" s="47"/>
      <c r="HW50" s="47"/>
      <c r="HX50" s="532"/>
      <c r="IG50" s="47"/>
    </row>
    <row r="51" spans="3:241">
      <c r="C51" s="532"/>
      <c r="AY51" s="597" t="s">
        <v>615</v>
      </c>
      <c r="AZ51" s="320">
        <f>GJ42</f>
        <v>30</v>
      </c>
      <c r="CC51" s="597" t="s">
        <v>615</v>
      </c>
      <c r="CD51">
        <f>IF($AP$40=TRUE,AZ51,0)</f>
        <v>30</v>
      </c>
      <c r="HA51" s="47"/>
      <c r="HW51" s="47"/>
      <c r="HX51" s="532"/>
      <c r="IG51" s="47"/>
    </row>
    <row r="52" spans="3:241">
      <c r="C52" s="532"/>
      <c r="AY52" s="597"/>
      <c r="HA52" s="47"/>
      <c r="HW52" s="47"/>
      <c r="HX52" s="532"/>
      <c r="IG52" s="47"/>
    </row>
    <row r="53" spans="3:241">
      <c r="C53" s="532"/>
      <c r="AY53" s="597"/>
      <c r="HA53" s="47"/>
      <c r="HW53" s="47"/>
      <c r="HX53" s="532"/>
      <c r="IG53" s="47"/>
    </row>
    <row r="54" spans="3:241">
      <c r="C54" s="532"/>
      <c r="AY54" s="597"/>
      <c r="HA54" s="47"/>
      <c r="HW54" s="47"/>
      <c r="HX54" s="532"/>
      <c r="IG54" s="47"/>
    </row>
    <row r="55" spans="3:241">
      <c r="C55" s="532"/>
      <c r="AY55" s="597"/>
      <c r="HA55" s="47"/>
      <c r="HW55" s="47"/>
      <c r="HX55" s="532"/>
      <c r="IG55" s="47"/>
    </row>
    <row r="56" spans="3:241">
      <c r="C56" s="532"/>
      <c r="AY56" s="597"/>
      <c r="HA56" s="47"/>
      <c r="HW56" s="47"/>
      <c r="HX56" s="532"/>
      <c r="IG56" s="47"/>
    </row>
    <row r="57" spans="3:241">
      <c r="C57" s="532"/>
      <c r="AY57" s="597"/>
      <c r="HA57" s="47"/>
      <c r="HW57" s="47"/>
      <c r="HX57" s="532"/>
      <c r="IG57" s="47"/>
    </row>
    <row r="58" spans="3:241">
      <c r="C58" s="532"/>
      <c r="AY58" s="597"/>
      <c r="HA58" s="47"/>
      <c r="HW58" s="47"/>
      <c r="HX58" s="532"/>
      <c r="IG58" s="47"/>
    </row>
    <row r="59" spans="3:241">
      <c r="C59" s="532"/>
      <c r="AY59" s="597"/>
      <c r="HA59" s="47"/>
      <c r="HW59" s="47"/>
      <c r="HX59" s="532"/>
      <c r="IG59" s="47"/>
    </row>
    <row r="60" spans="3:241">
      <c r="C60" s="532"/>
      <c r="AY60" s="597"/>
      <c r="HA60" s="47"/>
      <c r="HW60" s="47"/>
      <c r="HX60" s="532"/>
      <c r="IG60" s="47"/>
    </row>
    <row r="61" spans="3:241">
      <c r="C61" s="532"/>
      <c r="AY61" s="597"/>
      <c r="HA61" s="47"/>
      <c r="HW61" s="47"/>
      <c r="HX61" s="532"/>
      <c r="IG61" s="47"/>
    </row>
    <row r="62" spans="3:241">
      <c r="C62" s="532"/>
      <c r="AY62" s="597"/>
      <c r="HA62" s="47"/>
      <c r="HW62" s="47"/>
      <c r="HX62" s="532"/>
      <c r="IG62" s="47"/>
    </row>
    <row r="63" spans="3:241">
      <c r="C63" s="532"/>
      <c r="AY63" s="597"/>
      <c r="HA63" s="47"/>
      <c r="HW63" s="47"/>
      <c r="HX63" s="532"/>
      <c r="IG63" s="47"/>
    </row>
    <row r="64" spans="3:241">
      <c r="C64" s="532"/>
      <c r="AY64" s="597"/>
      <c r="HA64" s="47"/>
      <c r="HW64" s="47"/>
      <c r="HX64" s="532"/>
      <c r="IG64" s="47"/>
    </row>
    <row r="65" spans="3:241">
      <c r="C65" s="532"/>
      <c r="AY65" s="597"/>
      <c r="HA65" s="47"/>
      <c r="HW65" s="47"/>
      <c r="HX65" s="532"/>
      <c r="IG65" s="47"/>
    </row>
    <row r="66" spans="3:241">
      <c r="C66" s="532"/>
      <c r="AY66" s="597"/>
      <c r="HA66" s="47"/>
      <c r="HW66" s="47"/>
      <c r="HX66" s="532"/>
      <c r="IG66" s="47"/>
    </row>
    <row r="67" spans="3:241">
      <c r="C67" s="532"/>
      <c r="AY67" s="597"/>
      <c r="HA67" s="47"/>
      <c r="HW67" s="47"/>
      <c r="HX67" s="532"/>
      <c r="IG67" s="47"/>
    </row>
    <row r="68" spans="3:241">
      <c r="C68" s="532"/>
      <c r="AY68" s="597"/>
      <c r="HA68" s="47"/>
      <c r="HW68" s="47"/>
      <c r="HX68" s="532"/>
      <c r="IG68" s="47"/>
    </row>
    <row r="69" spans="3:241">
      <c r="C69" s="532"/>
      <c r="AY69" s="597"/>
      <c r="HA69" s="47"/>
      <c r="HW69" s="47"/>
      <c r="HX69" s="532"/>
      <c r="IG69" s="47"/>
    </row>
    <row r="70" spans="3:241">
      <c r="C70" s="532"/>
      <c r="AY70" s="597"/>
      <c r="HA70" s="47"/>
      <c r="HW70" s="47"/>
      <c r="HX70" s="532"/>
      <c r="IG70" s="47"/>
    </row>
    <row r="71" spans="3:241">
      <c r="C71" s="532"/>
      <c r="AY71" s="597"/>
      <c r="HA71" s="47"/>
      <c r="HW71" s="47"/>
      <c r="HX71" s="532"/>
      <c r="IG71" s="47"/>
    </row>
    <row r="72" spans="3:241">
      <c r="C72" s="532"/>
      <c r="AY72" s="597"/>
      <c r="HA72" s="47"/>
      <c r="HW72" s="47"/>
      <c r="HX72" s="532"/>
      <c r="IG72" s="47"/>
    </row>
    <row r="73" spans="3:241">
      <c r="C73" s="532"/>
      <c r="AY73" s="597"/>
      <c r="HA73" s="47"/>
      <c r="HW73" s="47"/>
      <c r="HX73" s="532"/>
      <c r="IG73" s="47"/>
    </row>
    <row r="74" spans="3:241" ht="15.75" thickBot="1">
      <c r="C74" s="663"/>
      <c r="D74" s="46"/>
      <c r="E74" s="46"/>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c r="BF74" s="46"/>
      <c r="BG74" s="46"/>
      <c r="BH74" s="46"/>
      <c r="BI74" s="46"/>
      <c r="BJ74" s="46"/>
      <c r="BK74" s="46"/>
      <c r="BL74" s="46"/>
      <c r="BM74" s="46"/>
      <c r="BN74" s="46"/>
      <c r="BO74" s="46"/>
      <c r="BP74" s="46"/>
      <c r="BQ74" s="46"/>
      <c r="BR74" s="46"/>
      <c r="BS74" s="46"/>
      <c r="BT74" s="46"/>
      <c r="BU74" s="46"/>
      <c r="BV74" s="46"/>
      <c r="BW74" s="46"/>
      <c r="BX74" s="46"/>
      <c r="BY74" s="46"/>
      <c r="BZ74" s="46"/>
      <c r="CA74" s="46"/>
      <c r="CB74" s="46"/>
      <c r="CC74" s="46"/>
      <c r="CD74" s="46"/>
      <c r="CE74" s="46"/>
      <c r="CF74" s="46"/>
      <c r="CG74" s="46"/>
      <c r="CH74" s="46"/>
      <c r="CI74" s="46"/>
      <c r="CJ74" s="46"/>
      <c r="CK74" s="46"/>
      <c r="CL74" s="46"/>
      <c r="CM74" s="46"/>
      <c r="CN74" s="46"/>
      <c r="CO74" s="46"/>
      <c r="CP74" s="46"/>
      <c r="CQ74" s="46"/>
      <c r="CR74" s="46"/>
      <c r="CS74" s="46"/>
      <c r="CT74" s="46"/>
      <c r="CU74" s="46"/>
      <c r="CV74" s="46"/>
      <c r="CW74" s="46"/>
      <c r="CX74" s="46"/>
      <c r="CY74" s="46"/>
      <c r="CZ74" s="46"/>
      <c r="DA74" s="46"/>
      <c r="DB74" s="46"/>
      <c r="DC74" s="46"/>
      <c r="DD74" s="46"/>
      <c r="DE74" s="46"/>
      <c r="DF74" s="46"/>
      <c r="DG74" s="46"/>
      <c r="DH74" s="46"/>
      <c r="DI74" s="46"/>
      <c r="DJ74" s="46"/>
      <c r="DK74" s="46"/>
      <c r="DL74" s="46"/>
      <c r="DM74" s="46"/>
      <c r="DN74" s="46"/>
      <c r="DO74" s="46"/>
      <c r="DP74" s="46"/>
      <c r="DQ74" s="46"/>
      <c r="DR74" s="46"/>
      <c r="DS74" s="46"/>
      <c r="DT74" s="46"/>
      <c r="DU74" s="46"/>
      <c r="DV74" s="46"/>
      <c r="DW74" s="46"/>
      <c r="DX74" s="46"/>
      <c r="DY74" s="46"/>
      <c r="DZ74" s="46"/>
      <c r="EA74" s="46"/>
      <c r="EB74" s="46"/>
      <c r="EC74" s="46"/>
      <c r="ED74" s="46"/>
      <c r="EE74" s="46"/>
      <c r="EF74" s="46"/>
      <c r="EG74" s="46"/>
      <c r="EH74" s="46"/>
      <c r="EI74" s="46"/>
      <c r="EJ74" s="46"/>
      <c r="EK74" s="46"/>
      <c r="EL74" s="46"/>
      <c r="EM74" s="46"/>
      <c r="EN74" s="46"/>
      <c r="EO74" s="46"/>
      <c r="EP74" s="46"/>
      <c r="EQ74" s="46"/>
      <c r="ER74" s="46"/>
      <c r="ES74" s="46"/>
      <c r="ET74" s="46"/>
      <c r="EU74" s="46"/>
      <c r="EV74" s="46"/>
      <c r="EW74" s="46"/>
      <c r="EX74" s="46"/>
      <c r="EY74" s="46"/>
      <c r="EZ74" s="46"/>
      <c r="FA74" s="46"/>
      <c r="FB74" s="46"/>
      <c r="FC74" s="46"/>
      <c r="FD74" s="46"/>
      <c r="FE74" s="46"/>
      <c r="FF74" s="46"/>
      <c r="FG74" s="46"/>
      <c r="FH74" s="46"/>
      <c r="FI74" s="46"/>
      <c r="FJ74" s="46"/>
      <c r="FK74" s="46"/>
      <c r="FL74" s="46"/>
      <c r="FM74" s="46"/>
      <c r="FN74" s="46"/>
      <c r="FO74" s="46"/>
      <c r="FP74" s="46"/>
      <c r="FQ74" s="46"/>
      <c r="FR74" s="46"/>
      <c r="FS74" s="46"/>
      <c r="FT74" s="46"/>
      <c r="FU74" s="46"/>
      <c r="FV74" s="46"/>
      <c r="FW74" s="46"/>
      <c r="FX74" s="46"/>
      <c r="FY74" s="46"/>
      <c r="FZ74" s="46"/>
      <c r="GA74" s="46"/>
      <c r="GB74" s="46"/>
      <c r="GC74" s="46"/>
      <c r="GD74" s="46"/>
      <c r="GE74" s="46"/>
      <c r="GF74" s="46"/>
      <c r="GG74" s="46"/>
      <c r="GH74" s="46"/>
      <c r="GI74" s="46"/>
      <c r="GJ74" s="46"/>
      <c r="GK74" s="46"/>
      <c r="GL74" s="46"/>
      <c r="GM74" s="46"/>
      <c r="GN74" s="46"/>
      <c r="GO74" s="46"/>
      <c r="GP74" s="46"/>
      <c r="GQ74" s="46"/>
      <c r="GR74" s="46"/>
      <c r="GS74" s="46"/>
      <c r="GT74" s="46"/>
      <c r="GU74" s="46"/>
      <c r="GV74" s="46"/>
      <c r="GW74" s="46"/>
      <c r="GX74" s="46"/>
      <c r="GY74" s="46"/>
      <c r="GZ74" s="46"/>
      <c r="HA74" s="664"/>
      <c r="HB74" s="46"/>
      <c r="HC74" s="46"/>
      <c r="HD74" s="46"/>
      <c r="HE74" s="46"/>
      <c r="HF74" s="46"/>
      <c r="HG74" s="46"/>
      <c r="HH74" s="46"/>
      <c r="HI74" s="46"/>
      <c r="HJ74" s="46"/>
      <c r="HK74" s="46"/>
      <c r="HL74" s="46"/>
      <c r="HM74" s="46"/>
      <c r="HN74" s="46"/>
      <c r="HO74" s="46"/>
      <c r="HP74" s="46"/>
      <c r="HQ74" s="46"/>
      <c r="HR74" s="46"/>
      <c r="HS74" s="46"/>
      <c r="HT74" s="46"/>
      <c r="HU74" s="46"/>
      <c r="HV74" s="46"/>
      <c r="HW74" s="664"/>
      <c r="HX74" s="663"/>
      <c r="HY74" s="46"/>
      <c r="HZ74" s="46"/>
      <c r="IA74" s="46"/>
      <c r="IB74" s="46"/>
      <c r="IC74" s="46"/>
      <c r="ID74" s="46"/>
      <c r="IE74" s="46"/>
      <c r="IF74" s="46"/>
      <c r="IG74" s="664"/>
    </row>
    <row r="86" spans="2:20">
      <c r="B86" s="358"/>
      <c r="C86" s="358"/>
      <c r="D86" s="358"/>
      <c r="E86" s="358"/>
      <c r="F86" s="358"/>
      <c r="G86" s="358"/>
      <c r="H86" s="358"/>
      <c r="I86" s="358"/>
      <c r="J86" s="358"/>
      <c r="K86" s="358"/>
      <c r="L86" s="358"/>
      <c r="M86" s="358"/>
      <c r="N86" s="358"/>
      <c r="O86" s="358"/>
      <c r="P86" s="358"/>
      <c r="Q86" s="358"/>
      <c r="S86" s="358"/>
      <c r="T86" s="358"/>
    </row>
    <row r="87" spans="2:20">
      <c r="B87" s="358"/>
      <c r="C87" s="358"/>
      <c r="D87" s="358"/>
      <c r="E87" s="358"/>
    </row>
    <row r="88" spans="2:20">
      <c r="B88" s="358"/>
      <c r="C88" s="358"/>
      <c r="D88" s="358"/>
      <c r="E88" s="358"/>
    </row>
    <row r="89" spans="2:20">
      <c r="B89" s="358"/>
      <c r="C89" s="358"/>
      <c r="D89" s="358"/>
      <c r="E89" s="358"/>
    </row>
    <row r="90" spans="2:20">
      <c r="B90" s="358"/>
    </row>
    <row r="91" spans="2:20">
      <c r="B91" s="358"/>
    </row>
    <row r="92" spans="2:20">
      <c r="B92" s="358"/>
    </row>
    <row r="93" spans="2:20">
      <c r="B93" s="358"/>
    </row>
    <row r="94" spans="2:20">
      <c r="B94" s="358"/>
    </row>
    <row r="95" spans="2:20">
      <c r="B95" s="358"/>
    </row>
    <row r="101" spans="2:2">
      <c r="B101" s="478"/>
    </row>
    <row r="109" spans="2:2">
      <c r="B109" s="358"/>
    </row>
    <row r="110" spans="2:2">
      <c r="B110" s="358"/>
    </row>
    <row r="111" spans="2:2">
      <c r="B111" s="358"/>
    </row>
    <row r="112" spans="2:2">
      <c r="B112" s="358"/>
    </row>
    <row r="113" spans="2:2">
      <c r="B113" s="358"/>
    </row>
  </sheetData>
  <mergeCells count="453">
    <mergeCell ref="EG43:EH43"/>
    <mergeCell ref="EG44:EH44"/>
    <mergeCell ref="EG45:EH45"/>
    <mergeCell ref="EG46:EH46"/>
    <mergeCell ref="EG47:EH47"/>
    <mergeCell ref="EI42:EJ42"/>
    <mergeCell ref="EK42:EL42"/>
    <mergeCell ref="EI43:EJ43"/>
    <mergeCell ref="EK43:EL43"/>
    <mergeCell ref="EI44:EJ44"/>
    <mergeCell ref="EK44:EL44"/>
    <mergeCell ref="EI45:EJ45"/>
    <mergeCell ref="EK45:EL45"/>
    <mergeCell ref="EI46:EJ46"/>
    <mergeCell ref="EK46:EL46"/>
    <mergeCell ref="EI47:EJ47"/>
    <mergeCell ref="EK47:EL47"/>
    <mergeCell ref="EG29:EH29"/>
    <mergeCell ref="EG30:EH30"/>
    <mergeCell ref="EG31:EH31"/>
    <mergeCell ref="EG32:EH32"/>
    <mergeCell ref="EG33:EH33"/>
    <mergeCell ref="EI28:EJ28"/>
    <mergeCell ref="EK28:EL28"/>
    <mergeCell ref="EI29:EJ29"/>
    <mergeCell ref="EK29:EL29"/>
    <mergeCell ref="EI30:EJ30"/>
    <mergeCell ref="EK30:EL30"/>
    <mergeCell ref="EI31:EJ31"/>
    <mergeCell ref="EK31:EL31"/>
    <mergeCell ref="EI32:EJ32"/>
    <mergeCell ref="EK32:EL32"/>
    <mergeCell ref="EI33:EJ33"/>
    <mergeCell ref="EK33:EL33"/>
    <mergeCell ref="C2:F2"/>
    <mergeCell ref="BB10:BI10"/>
    <mergeCell ref="CF10:CM10"/>
    <mergeCell ref="HD10:HK10"/>
    <mergeCell ref="HN10:HU10"/>
    <mergeCell ref="HY10:IA10"/>
    <mergeCell ref="AS13:AT13"/>
    <mergeCell ref="AU13:AV13"/>
    <mergeCell ref="AY13:AZ13"/>
    <mergeCell ref="BB13:BC13"/>
    <mergeCell ref="BD13:BE13"/>
    <mergeCell ref="BH13:BI13"/>
    <mergeCell ref="BW13:BX13"/>
    <mergeCell ref="BY13:BZ13"/>
    <mergeCell ref="CC13:CD13"/>
    <mergeCell ref="CF13:CG13"/>
    <mergeCell ref="CH13:CI13"/>
    <mergeCell ref="CL13:CM13"/>
    <mergeCell ref="BF13:BG13"/>
    <mergeCell ref="AW13:AX13"/>
    <mergeCell ref="CF12:CK12"/>
    <mergeCell ref="CJ13:CK13"/>
    <mergeCell ref="DY12:ED12"/>
    <mergeCell ref="AS5:AT5"/>
    <mergeCell ref="IC10:IE10"/>
    <mergeCell ref="EG12:EL12"/>
    <mergeCell ref="HD13:HE13"/>
    <mergeCell ref="HF13:HG13"/>
    <mergeCell ref="HJ13:HK13"/>
    <mergeCell ref="HN13:HO13"/>
    <mergeCell ref="HP13:HQ13"/>
    <mergeCell ref="HT13:HU13"/>
    <mergeCell ref="HH13:HI13"/>
    <mergeCell ref="HN12:HS12"/>
    <mergeCell ref="HR13:HS13"/>
    <mergeCell ref="HT14:HU14"/>
    <mergeCell ref="BB15:BC15"/>
    <mergeCell ref="BD15:BE15"/>
    <mergeCell ref="BW15:BX15"/>
    <mergeCell ref="BY15:BZ15"/>
    <mergeCell ref="GY14:GZ14"/>
    <mergeCell ref="HJ14:HK14"/>
    <mergeCell ref="BW14:BX14"/>
    <mergeCell ref="BY14:BZ14"/>
    <mergeCell ref="CC14:CD14"/>
    <mergeCell ref="CF14:CG14"/>
    <mergeCell ref="CH14:CI14"/>
    <mergeCell ref="CL14:CM14"/>
    <mergeCell ref="BB14:BC14"/>
    <mergeCell ref="BD14:BE14"/>
    <mergeCell ref="BH14:BI14"/>
    <mergeCell ref="BF14:BG14"/>
    <mergeCell ref="CJ14:CK14"/>
    <mergeCell ref="HJ17:HK17"/>
    <mergeCell ref="BB16:BC16"/>
    <mergeCell ref="BD16:BE16"/>
    <mergeCell ref="BW16:BX16"/>
    <mergeCell ref="BY16:BZ16"/>
    <mergeCell ref="CF16:CG16"/>
    <mergeCell ref="CH16:CI16"/>
    <mergeCell ref="CF15:CG15"/>
    <mergeCell ref="CH15:CI15"/>
    <mergeCell ref="BF15:BG15"/>
    <mergeCell ref="BF16:BG16"/>
    <mergeCell ref="CJ15:CK15"/>
    <mergeCell ref="CJ16:CK16"/>
    <mergeCell ref="CF17:CG17"/>
    <mergeCell ref="CH17:CI17"/>
    <mergeCell ref="BB17:BC17"/>
    <mergeCell ref="BD17:BE17"/>
    <mergeCell ref="BW17:BX17"/>
    <mergeCell ref="BY17:BZ17"/>
    <mergeCell ref="BF17:BG17"/>
    <mergeCell ref="CJ17:CK17"/>
    <mergeCell ref="DI26:DJ26"/>
    <mergeCell ref="DK26:DL26"/>
    <mergeCell ref="CF19:CG19"/>
    <mergeCell ref="CH19:CI19"/>
    <mergeCell ref="EG26:EL26"/>
    <mergeCell ref="CJ19:CK19"/>
    <mergeCell ref="DM26:DN26"/>
    <mergeCell ref="BB18:BC18"/>
    <mergeCell ref="BD18:BE18"/>
    <mergeCell ref="BW18:BX18"/>
    <mergeCell ref="BY18:BZ18"/>
    <mergeCell ref="CF18:CG18"/>
    <mergeCell ref="CH18:CI18"/>
    <mergeCell ref="CJ18:CK18"/>
    <mergeCell ref="BB19:BC19"/>
    <mergeCell ref="BD19:BE19"/>
    <mergeCell ref="BW19:BX19"/>
    <mergeCell ref="BY19:BZ19"/>
    <mergeCell ref="DA26:DB26"/>
    <mergeCell ref="DC26:DD26"/>
    <mergeCell ref="EA28:EB28"/>
    <mergeCell ref="GY28:GZ28"/>
    <mergeCell ref="EC28:ED28"/>
    <mergeCell ref="AS28:AT28"/>
    <mergeCell ref="AU28:AV28"/>
    <mergeCell ref="AY28:AZ28"/>
    <mergeCell ref="BW28:BX28"/>
    <mergeCell ref="BY28:BZ28"/>
    <mergeCell ref="CC28:CD28"/>
    <mergeCell ref="DA28:DB28"/>
    <mergeCell ref="DC28:DD28"/>
    <mergeCell ref="DI28:DJ28"/>
    <mergeCell ref="EG28:EH28"/>
    <mergeCell ref="AW28:AX28"/>
    <mergeCell ref="CC27:CD27"/>
    <mergeCell ref="CA27:CB27"/>
    <mergeCell ref="BH27:BI27"/>
    <mergeCell ref="DQ29:DR29"/>
    <mergeCell ref="DK28:DL28"/>
    <mergeCell ref="BH28:BI28"/>
    <mergeCell ref="DQ28:DR28"/>
    <mergeCell ref="DS28:DT28"/>
    <mergeCell ref="DY28:DZ28"/>
    <mergeCell ref="DS29:DT29"/>
    <mergeCell ref="DY29:DZ29"/>
    <mergeCell ref="EA29:EB29"/>
    <mergeCell ref="DM29:DN29"/>
    <mergeCell ref="AS29:AT29"/>
    <mergeCell ref="AU29:AV29"/>
    <mergeCell ref="BW29:BX29"/>
    <mergeCell ref="BY29:BZ29"/>
    <mergeCell ref="DA29:DB29"/>
    <mergeCell ref="DC29:DD29"/>
    <mergeCell ref="DI29:DJ29"/>
    <mergeCell ref="DK29:DL29"/>
    <mergeCell ref="DQ30:DR30"/>
    <mergeCell ref="DS30:DT30"/>
    <mergeCell ref="DY30:DZ30"/>
    <mergeCell ref="EA30:EB30"/>
    <mergeCell ref="DM30:DN30"/>
    <mergeCell ref="AS30:AT30"/>
    <mergeCell ref="AU30:AV30"/>
    <mergeCell ref="BW30:BX30"/>
    <mergeCell ref="BY30:BZ30"/>
    <mergeCell ref="DA30:DB30"/>
    <mergeCell ref="DC30:DD30"/>
    <mergeCell ref="AW30:AX30"/>
    <mergeCell ref="DI30:DJ30"/>
    <mergeCell ref="DK30:DL30"/>
    <mergeCell ref="DE30:DF30"/>
    <mergeCell ref="DS31:DT31"/>
    <mergeCell ref="DY31:DZ31"/>
    <mergeCell ref="EA31:EB31"/>
    <mergeCell ref="DM31:DN31"/>
    <mergeCell ref="AS31:AT31"/>
    <mergeCell ref="AU31:AV31"/>
    <mergeCell ref="BW31:BX31"/>
    <mergeCell ref="BY31:BZ31"/>
    <mergeCell ref="DA31:DB31"/>
    <mergeCell ref="DC31:DD31"/>
    <mergeCell ref="AW31:AX31"/>
    <mergeCell ref="DI31:DJ31"/>
    <mergeCell ref="DK31:DL31"/>
    <mergeCell ref="DE31:DF31"/>
    <mergeCell ref="AS32:AT32"/>
    <mergeCell ref="AU32:AV32"/>
    <mergeCell ref="BW32:BX32"/>
    <mergeCell ref="BY32:BZ32"/>
    <mergeCell ref="DA32:DB32"/>
    <mergeCell ref="DC32:DD32"/>
    <mergeCell ref="AW32:AX32"/>
    <mergeCell ref="DI32:DJ32"/>
    <mergeCell ref="DK32:DL32"/>
    <mergeCell ref="DE32:DF32"/>
    <mergeCell ref="CA32:CB32"/>
    <mergeCell ref="AS33:AT33"/>
    <mergeCell ref="AU33:AV33"/>
    <mergeCell ref="BW33:BX33"/>
    <mergeCell ref="BY33:BZ33"/>
    <mergeCell ref="DA33:DB33"/>
    <mergeCell ref="DC33:DD33"/>
    <mergeCell ref="AW33:AX33"/>
    <mergeCell ref="DE33:DF33"/>
    <mergeCell ref="CA33:CB33"/>
    <mergeCell ref="AS27:AT27"/>
    <mergeCell ref="AY14:AZ14"/>
    <mergeCell ref="BW26:CB26"/>
    <mergeCell ref="CA28:CB28"/>
    <mergeCell ref="CA29:CB29"/>
    <mergeCell ref="CA30:CB30"/>
    <mergeCell ref="CA31:CB31"/>
    <mergeCell ref="AU27:AV27"/>
    <mergeCell ref="AY27:AZ27"/>
    <mergeCell ref="BW27:BX27"/>
    <mergeCell ref="BY27:BZ27"/>
    <mergeCell ref="BB26:BG26"/>
    <mergeCell ref="BB27:BC27"/>
    <mergeCell ref="BD27:BE27"/>
    <mergeCell ref="BF27:BG27"/>
    <mergeCell ref="AS26:AX26"/>
    <mergeCell ref="AW27:AX27"/>
    <mergeCell ref="AW29:AX29"/>
    <mergeCell ref="C15:C19"/>
    <mergeCell ref="BF18:BG18"/>
    <mergeCell ref="BF19:BG19"/>
    <mergeCell ref="BW12:CB12"/>
    <mergeCell ref="CA13:CB13"/>
    <mergeCell ref="CA14:CB14"/>
    <mergeCell ref="CA15:CB15"/>
    <mergeCell ref="CA16:CB16"/>
    <mergeCell ref="CA17:CB17"/>
    <mergeCell ref="CA18:CB18"/>
    <mergeCell ref="CA19:CB19"/>
    <mergeCell ref="BB12:BG12"/>
    <mergeCell ref="AS12:AX12"/>
    <mergeCell ref="BN13:BO13"/>
    <mergeCell ref="BP13:BQ13"/>
    <mergeCell ref="BR13:BS13"/>
    <mergeCell ref="BR14:BS14"/>
    <mergeCell ref="AS46:AT46"/>
    <mergeCell ref="AU46:AV46"/>
    <mergeCell ref="AW46:AX46"/>
    <mergeCell ref="AS47:AT47"/>
    <mergeCell ref="AU47:AV47"/>
    <mergeCell ref="AW47:AX47"/>
    <mergeCell ref="AS44:AT44"/>
    <mergeCell ref="AU44:AV44"/>
    <mergeCell ref="AW44:AX44"/>
    <mergeCell ref="AS45:AT45"/>
    <mergeCell ref="AU45:AV45"/>
    <mergeCell ref="AW45:AX45"/>
    <mergeCell ref="AW42:AX42"/>
    <mergeCell ref="AY42:AZ42"/>
    <mergeCell ref="DA42:DB42"/>
    <mergeCell ref="BW42:BX42"/>
    <mergeCell ref="BY42:BZ42"/>
    <mergeCell ref="CA42:CB42"/>
    <mergeCell ref="CC42:CD42"/>
    <mergeCell ref="CF37:CM37"/>
    <mergeCell ref="CF40:CK40"/>
    <mergeCell ref="CF41:CG41"/>
    <mergeCell ref="CH41:CI41"/>
    <mergeCell ref="CJ41:CK41"/>
    <mergeCell ref="CL41:CM41"/>
    <mergeCell ref="CL42:CM42"/>
    <mergeCell ref="DA40:DB40"/>
    <mergeCell ref="BW41:BX41"/>
    <mergeCell ref="BY41:BZ41"/>
    <mergeCell ref="AS43:AT43"/>
    <mergeCell ref="AU43:AV43"/>
    <mergeCell ref="AW43:AX43"/>
    <mergeCell ref="DU42:DV42"/>
    <mergeCell ref="DY42:DZ42"/>
    <mergeCell ref="EA42:EB42"/>
    <mergeCell ref="EC42:ED42"/>
    <mergeCell ref="GY42:GZ42"/>
    <mergeCell ref="DQ40:DV40"/>
    <mergeCell ref="DY40:ED40"/>
    <mergeCell ref="EG40:EL40"/>
    <mergeCell ref="EG42:EH42"/>
    <mergeCell ref="DQ42:DR42"/>
    <mergeCell ref="CA43:CB43"/>
    <mergeCell ref="AS40:AX40"/>
    <mergeCell ref="AS41:AT41"/>
    <mergeCell ref="AU41:AV41"/>
    <mergeCell ref="AW41:AX41"/>
    <mergeCell ref="AY41:AZ41"/>
    <mergeCell ref="DI40:DJ40"/>
    <mergeCell ref="DK40:DL40"/>
    <mergeCell ref="DM40:DN40"/>
    <mergeCell ref="AS42:AT42"/>
    <mergeCell ref="AU42:AV42"/>
    <mergeCell ref="DU46:DV46"/>
    <mergeCell ref="DY46:DZ46"/>
    <mergeCell ref="EA46:EB46"/>
    <mergeCell ref="DA46:DB46"/>
    <mergeCell ref="DC46:DD46"/>
    <mergeCell ref="DE46:DF46"/>
    <mergeCell ref="DI46:DJ46"/>
    <mergeCell ref="DQ44:DR44"/>
    <mergeCell ref="DS44:DT44"/>
    <mergeCell ref="DU44:DV44"/>
    <mergeCell ref="DY44:DZ44"/>
    <mergeCell ref="EA44:EB44"/>
    <mergeCell ref="DU45:DV45"/>
    <mergeCell ref="DY45:DZ45"/>
    <mergeCell ref="EA45:EB45"/>
    <mergeCell ref="DA44:DB44"/>
    <mergeCell ref="DC44:DD44"/>
    <mergeCell ref="DE44:DF44"/>
    <mergeCell ref="DI44:DJ44"/>
    <mergeCell ref="DK44:DL44"/>
    <mergeCell ref="DM44:DN44"/>
    <mergeCell ref="DK46:DL46"/>
    <mergeCell ref="DM46:DN46"/>
    <mergeCell ref="DQ46:DR46"/>
    <mergeCell ref="DU47:DV47"/>
    <mergeCell ref="DY47:DZ47"/>
    <mergeCell ref="EA47:EB47"/>
    <mergeCell ref="DA47:DB47"/>
    <mergeCell ref="DC47:DD47"/>
    <mergeCell ref="DE47:DF47"/>
    <mergeCell ref="DI47:DJ47"/>
    <mergeCell ref="DK47:DL47"/>
    <mergeCell ref="DM47:DN47"/>
    <mergeCell ref="DQ47:DR47"/>
    <mergeCell ref="DS47:DT47"/>
    <mergeCell ref="EC45:ED45"/>
    <mergeCell ref="DA45:DB45"/>
    <mergeCell ref="DC45:DD45"/>
    <mergeCell ref="DE45:DF45"/>
    <mergeCell ref="DI45:DJ45"/>
    <mergeCell ref="DK45:DL45"/>
    <mergeCell ref="DM45:DN45"/>
    <mergeCell ref="EC44:ED44"/>
    <mergeCell ref="DQ43:DR43"/>
    <mergeCell ref="DS43:DT43"/>
    <mergeCell ref="DU43:DV43"/>
    <mergeCell ref="DY43:DZ43"/>
    <mergeCell ref="EA43:EB43"/>
    <mergeCell ref="EC43:ED43"/>
    <mergeCell ref="DA43:DB43"/>
    <mergeCell ref="DC43:DD43"/>
    <mergeCell ref="DE43:DF43"/>
    <mergeCell ref="DI43:DJ43"/>
    <mergeCell ref="DK43:DL43"/>
    <mergeCell ref="DM43:DN43"/>
    <mergeCell ref="DQ45:DR45"/>
    <mergeCell ref="DS45:DT45"/>
    <mergeCell ref="DE42:DF42"/>
    <mergeCell ref="DI42:DJ42"/>
    <mergeCell ref="DK42:DL42"/>
    <mergeCell ref="DM42:DN42"/>
    <mergeCell ref="BL10:BS10"/>
    <mergeCell ref="HD12:HI12"/>
    <mergeCell ref="DQ12:DV12"/>
    <mergeCell ref="DC40:DD40"/>
    <mergeCell ref="DE40:DF40"/>
    <mergeCell ref="DI33:DJ33"/>
    <mergeCell ref="DK33:DL33"/>
    <mergeCell ref="DQ33:DR33"/>
    <mergeCell ref="DS33:DT33"/>
    <mergeCell ref="DY33:DZ33"/>
    <mergeCell ref="EA33:EB33"/>
    <mergeCell ref="DM33:DN33"/>
    <mergeCell ref="DU33:DV33"/>
    <mergeCell ref="DY32:DZ32"/>
    <mergeCell ref="EA32:EB32"/>
    <mergeCell ref="DM32:DN32"/>
    <mergeCell ref="DU32:DV32"/>
    <mergeCell ref="DQ32:DR32"/>
    <mergeCell ref="DS32:DT32"/>
    <mergeCell ref="DQ31:DR31"/>
    <mergeCell ref="EC47:ED47"/>
    <mergeCell ref="EC46:ED46"/>
    <mergeCell ref="BW47:BX47"/>
    <mergeCell ref="BY47:BZ47"/>
    <mergeCell ref="CA47:CB47"/>
    <mergeCell ref="CF26:CK26"/>
    <mergeCell ref="CF27:CG27"/>
    <mergeCell ref="CH27:CI27"/>
    <mergeCell ref="CJ27:CK27"/>
    <mergeCell ref="BW45:BX45"/>
    <mergeCell ref="BY45:BZ45"/>
    <mergeCell ref="CA45:CB45"/>
    <mergeCell ref="BW46:BX46"/>
    <mergeCell ref="BY46:BZ46"/>
    <mergeCell ref="CA46:CB46"/>
    <mergeCell ref="BW43:BX43"/>
    <mergeCell ref="BY43:BZ43"/>
    <mergeCell ref="BW44:BX44"/>
    <mergeCell ref="BY44:BZ44"/>
    <mergeCell ref="CA44:CB44"/>
    <mergeCell ref="BW40:CB40"/>
    <mergeCell ref="DS46:DT46"/>
    <mergeCell ref="DS42:DT42"/>
    <mergeCell ref="DC42:DD42"/>
    <mergeCell ref="BH45:BI45"/>
    <mergeCell ref="CL45:CM45"/>
    <mergeCell ref="CL17:CM17"/>
    <mergeCell ref="CL31:CM31"/>
    <mergeCell ref="CV17:CW17"/>
    <mergeCell ref="BH42:BI42"/>
    <mergeCell ref="BR17:BS17"/>
    <mergeCell ref="BH17:BI17"/>
    <mergeCell ref="BM1:BN1"/>
    <mergeCell ref="CP10:CW10"/>
    <mergeCell ref="CP12:CU12"/>
    <mergeCell ref="CP13:CQ13"/>
    <mergeCell ref="CR13:CS13"/>
    <mergeCell ref="CT13:CU13"/>
    <mergeCell ref="CV13:CW13"/>
    <mergeCell ref="CV14:CW14"/>
    <mergeCell ref="CF23:CM23"/>
    <mergeCell ref="CQ1:CR1"/>
    <mergeCell ref="CL27:CM27"/>
    <mergeCell ref="CL28:CM28"/>
    <mergeCell ref="CA41:CB41"/>
    <mergeCell ref="CC41:CD41"/>
    <mergeCell ref="BL12:BQ12"/>
    <mergeCell ref="BL13:BM13"/>
    <mergeCell ref="HT17:HU17"/>
    <mergeCell ref="BB23:BI23"/>
    <mergeCell ref="BH31:BI31"/>
    <mergeCell ref="BB37:BI37"/>
    <mergeCell ref="BB40:BG40"/>
    <mergeCell ref="BB41:BC41"/>
    <mergeCell ref="BD41:BE41"/>
    <mergeCell ref="BF41:BG41"/>
    <mergeCell ref="BH41:BI41"/>
    <mergeCell ref="EC29:ED29"/>
    <mergeCell ref="EC30:ED30"/>
    <mergeCell ref="EC31:ED31"/>
    <mergeCell ref="EC32:ED32"/>
    <mergeCell ref="EC33:ED33"/>
    <mergeCell ref="DY26:ED26"/>
    <mergeCell ref="DQ26:DV26"/>
    <mergeCell ref="DU28:DV28"/>
    <mergeCell ref="DU29:DV29"/>
    <mergeCell ref="DU30:DV30"/>
    <mergeCell ref="DU31:DV31"/>
    <mergeCell ref="DM28:DN28"/>
    <mergeCell ref="DE26:DF26"/>
    <mergeCell ref="DE28:DF28"/>
    <mergeCell ref="DE29:DF29"/>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FD91-75F4-4239-923B-0315AC9FEB80}">
  <sheetPr>
    <tabColor theme="4" tint="0.59999389629810485"/>
  </sheetPr>
  <dimension ref="A1:BI30"/>
  <sheetViews>
    <sheetView workbookViewId="0">
      <selection activeCell="J17" sqref="J17"/>
    </sheetView>
  </sheetViews>
  <sheetFormatPr defaultRowHeight="15"/>
  <cols>
    <col min="1" max="1" width="29.85546875" bestFit="1" customWidth="1"/>
    <col min="3" max="3" width="14" bestFit="1" customWidth="1"/>
    <col min="10" max="10" width="27.5703125" bestFit="1" customWidth="1"/>
    <col min="14" max="14" width="27.5703125" bestFit="1" customWidth="1"/>
    <col min="21" max="21" width="9.140625" customWidth="1"/>
    <col min="22" max="22" width="27.5703125" bestFit="1" customWidth="1"/>
    <col min="23" max="23" width="17" bestFit="1" customWidth="1"/>
    <col min="24" max="25" width="9.140625" customWidth="1"/>
    <col min="26" max="26" width="27.5703125" bestFit="1" customWidth="1"/>
    <col min="27" max="31" width="9.140625" customWidth="1"/>
    <col min="32" max="32" width="27.5703125" bestFit="1" customWidth="1"/>
    <col min="33" max="33" width="9.140625" customWidth="1"/>
    <col min="38" max="38" width="9.140625" customWidth="1"/>
    <col min="45" max="45" width="27.5703125" bestFit="1" customWidth="1"/>
    <col min="64" max="64" width="17" bestFit="1" customWidth="1"/>
    <col min="68" max="68" width="17" bestFit="1" customWidth="1"/>
  </cols>
  <sheetData>
    <row r="1" spans="1:61" ht="15.75" thickBot="1">
      <c r="A1" s="1230" t="s">
        <v>179</v>
      </c>
      <c r="B1" s="1231"/>
      <c r="C1" s="1231"/>
      <c r="D1" s="1232"/>
      <c r="E1" s="210"/>
      <c r="F1" s="706"/>
      <c r="G1" s="701"/>
      <c r="H1" s="706"/>
      <c r="I1" s="706"/>
      <c r="J1" s="706"/>
      <c r="K1" s="706"/>
      <c r="L1" s="706"/>
      <c r="M1" s="706"/>
      <c r="N1" s="706"/>
      <c r="O1" s="706"/>
      <c r="P1" s="706"/>
      <c r="Q1" s="706"/>
      <c r="R1" s="706"/>
      <c r="S1" s="706"/>
      <c r="T1" s="707"/>
      <c r="U1" s="669"/>
      <c r="V1" s="669"/>
      <c r="W1" s="669"/>
      <c r="X1" s="669"/>
      <c r="Y1" s="669"/>
      <c r="Z1" s="669"/>
      <c r="AA1" s="669"/>
      <c r="AB1" s="210"/>
      <c r="AC1" s="210"/>
      <c r="AD1" s="528"/>
      <c r="AE1" s="210"/>
      <c r="AF1" s="210"/>
      <c r="AG1" s="669"/>
      <c r="AH1" s="669"/>
      <c r="AI1" s="669"/>
      <c r="AJ1" s="669"/>
      <c r="AK1" s="669"/>
      <c r="AL1" s="669"/>
      <c r="AM1" s="669"/>
      <c r="AN1" s="669"/>
      <c r="AO1" s="669"/>
      <c r="AP1" s="669"/>
      <c r="AQ1" s="669"/>
      <c r="AR1" s="210"/>
      <c r="AS1" s="210"/>
      <c r="AT1" s="669"/>
      <c r="AU1" s="669"/>
      <c r="AV1" s="210"/>
      <c r="AW1" s="210"/>
      <c r="AX1" s="210"/>
      <c r="AY1" s="210"/>
      <c r="AZ1" s="210"/>
      <c r="BA1" s="210"/>
      <c r="BB1" s="210"/>
      <c r="BC1" s="210"/>
      <c r="BD1" s="210"/>
      <c r="BE1" s="210"/>
      <c r="BF1" s="210"/>
      <c r="BG1" s="210"/>
      <c r="BH1" s="210"/>
      <c r="BI1" s="211"/>
    </row>
    <row r="2" spans="1:61">
      <c r="A2" s="747" t="str">
        <f>'(GW) (IW) (Cut)'!C3</f>
        <v>Diameter</v>
      </c>
      <c r="B2" s="746">
        <f>'(GW) (IW) (Cut)'!D3</f>
        <v>10</v>
      </c>
      <c r="C2" s="268"/>
      <c r="D2" s="268"/>
      <c r="F2" s="562"/>
      <c r="G2" s="703"/>
      <c r="H2" s="562"/>
      <c r="I2" s="562"/>
      <c r="J2" s="562"/>
      <c r="K2" s="562"/>
      <c r="L2" s="562"/>
      <c r="M2" s="562"/>
      <c r="N2" s="562"/>
      <c r="O2" s="562"/>
      <c r="P2" s="562"/>
      <c r="Q2" s="562"/>
      <c r="R2" s="562"/>
      <c r="S2" s="562"/>
      <c r="T2" s="708"/>
      <c r="U2" s="382"/>
      <c r="V2" s="382"/>
      <c r="W2" s="382"/>
      <c r="X2" s="382"/>
      <c r="Y2" s="382"/>
      <c r="Z2" s="382"/>
      <c r="AA2" s="382"/>
      <c r="AD2" s="532"/>
      <c r="AG2" s="382"/>
      <c r="AH2" s="382"/>
      <c r="AI2" s="382"/>
      <c r="AJ2" s="382"/>
      <c r="AK2" s="382"/>
      <c r="AL2" s="382"/>
      <c r="AM2" s="382"/>
      <c r="AN2" s="382"/>
      <c r="AO2" s="382"/>
      <c r="AP2" s="382"/>
      <c r="AQ2" s="382"/>
      <c r="AT2" s="382"/>
      <c r="AU2" s="382"/>
      <c r="BI2" s="47"/>
    </row>
    <row r="3" spans="1:61">
      <c r="A3" s="747" t="str">
        <f>'(GW) (IW) (Cut)'!C4</f>
        <v>Max Width</v>
      </c>
      <c r="B3" s="524">
        <f>'(GW) (IW) (Cut)'!D4</f>
        <v>12</v>
      </c>
      <c r="F3" s="562"/>
      <c r="G3" s="703"/>
      <c r="H3" s="562"/>
      <c r="I3" s="562"/>
      <c r="J3" s="562"/>
      <c r="K3" s="562"/>
      <c r="L3" s="562"/>
      <c r="M3" s="562"/>
      <c r="N3" s="562"/>
      <c r="O3" s="562"/>
      <c r="P3" s="562"/>
      <c r="Q3" s="562"/>
      <c r="R3" s="562"/>
      <c r="S3" s="562"/>
      <c r="T3" s="708"/>
      <c r="U3" s="382"/>
      <c r="V3" s="382"/>
      <c r="Y3" s="382"/>
      <c r="Z3" s="382"/>
      <c r="AA3" s="382"/>
      <c r="AD3" s="532"/>
      <c r="AG3" s="382"/>
      <c r="AH3" s="382"/>
      <c r="AI3" s="382"/>
      <c r="AJ3" s="382"/>
      <c r="AK3" s="382"/>
      <c r="AL3" s="382"/>
      <c r="AM3" s="382"/>
      <c r="AN3" s="382"/>
      <c r="AO3" s="382"/>
      <c r="AP3" s="382"/>
      <c r="AQ3" s="382"/>
      <c r="AT3" s="382"/>
      <c r="AU3" s="382"/>
      <c r="BI3" s="47"/>
    </row>
    <row r="4" spans="1:61" ht="15.75" thickBot="1">
      <c r="A4" s="747" t="str">
        <f>'(GW) (IW) (Cut)'!C5</f>
        <v>Linear feet</v>
      </c>
      <c r="B4" s="524">
        <f>'(GW) (IW) (Cut)'!D5</f>
        <v>2</v>
      </c>
      <c r="C4" t="s">
        <v>75</v>
      </c>
      <c r="F4" s="268"/>
      <c r="G4" s="666"/>
      <c r="H4" s="268"/>
      <c r="I4" s="268"/>
      <c r="J4" s="268"/>
      <c r="K4" s="268"/>
      <c r="L4" s="268"/>
      <c r="M4" s="268"/>
      <c r="N4" s="268"/>
      <c r="O4" s="268"/>
      <c r="P4" s="268"/>
      <c r="Q4" s="268"/>
      <c r="R4" s="268"/>
      <c r="S4" s="268"/>
      <c r="T4" s="665"/>
      <c r="U4" s="382"/>
      <c r="V4" s="382"/>
      <c r="Y4" s="382"/>
      <c r="Z4" s="382"/>
      <c r="AA4" s="382"/>
      <c r="AD4" s="532"/>
      <c r="AG4" s="382"/>
      <c r="AH4" s="382"/>
      <c r="AI4" s="382"/>
      <c r="AJ4" s="382"/>
      <c r="AK4" s="382"/>
      <c r="AL4" s="382"/>
      <c r="AM4" s="382"/>
      <c r="AN4" s="382"/>
      <c r="AO4" s="382"/>
      <c r="AP4" s="382"/>
      <c r="AQ4" s="382"/>
      <c r="AT4" s="382"/>
      <c r="AU4" s="382"/>
      <c r="BI4" s="47"/>
    </row>
    <row r="5" spans="1:61" ht="15.75" thickBot="1">
      <c r="A5" s="747"/>
      <c r="B5" s="320">
        <f>'(GW) (IW) (Cut)'!D6</f>
        <v>5.25</v>
      </c>
      <c r="G5" s="47"/>
      <c r="J5" s="1230" t="s">
        <v>1327</v>
      </c>
      <c r="K5" s="1231"/>
      <c r="L5" s="1231"/>
      <c r="M5" s="1231"/>
      <c r="N5" s="1231"/>
      <c r="O5" s="1232"/>
      <c r="T5" s="532"/>
      <c r="V5" s="1230" t="s">
        <v>1328</v>
      </c>
      <c r="W5" s="1231"/>
      <c r="X5" s="1231"/>
      <c r="Y5" s="1231"/>
      <c r="Z5" s="1231"/>
      <c r="AA5" s="1232"/>
      <c r="AD5" s="532"/>
      <c r="AF5" s="1230" t="s">
        <v>1329</v>
      </c>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2"/>
      <c r="BD5" s="268"/>
      <c r="BE5" s="268"/>
      <c r="BF5" s="268"/>
      <c r="BG5" s="268"/>
      <c r="BI5" s="47"/>
    </row>
    <row r="6" spans="1:61" ht="15.75" thickBot="1">
      <c r="A6" s="747" t="str">
        <f>'(GW) (IW) (Cut)'!C7</f>
        <v>Fabric/Linear feet rounded</v>
      </c>
      <c r="B6" s="524">
        <f>'(GW) (IW) (Cut)'!D7</f>
        <v>6</v>
      </c>
      <c r="C6" s="358" t="s">
        <v>75</v>
      </c>
      <c r="G6" s="47"/>
      <c r="T6" s="532"/>
      <c r="AD6" s="532"/>
      <c r="AN6" s="382"/>
      <c r="AO6" s="382"/>
      <c r="AP6" s="382"/>
      <c r="AQ6" s="382"/>
      <c r="AT6" s="382"/>
      <c r="AU6" s="382"/>
      <c r="BI6" s="47"/>
    </row>
    <row r="7" spans="1:61" ht="15.75" thickBot="1">
      <c r="A7" s="747" t="str">
        <f>'(GW) (IW) (Cut)'!C8</f>
        <v>total Fabric ft needed (Rounded)</v>
      </c>
      <c r="B7" s="524">
        <f>'(GW) (IW) (Cut)'!D8</f>
        <v>12</v>
      </c>
      <c r="C7" t="s">
        <v>75</v>
      </c>
      <c r="G7" s="47"/>
      <c r="J7" s="1230" t="s">
        <v>1330</v>
      </c>
      <c r="K7" s="1232"/>
      <c r="N7" s="1230" t="s">
        <v>543</v>
      </c>
      <c r="O7" s="1232"/>
      <c r="T7" s="532"/>
      <c r="V7" s="1230" t="s">
        <v>518</v>
      </c>
      <c r="W7" s="1232"/>
      <c r="Z7" s="1230" t="s">
        <v>543</v>
      </c>
      <c r="AA7" s="1232"/>
      <c r="AD7" s="532"/>
      <c r="AF7" s="1230" t="s">
        <v>518</v>
      </c>
      <c r="AG7" s="1231"/>
      <c r="AH7" s="1231"/>
      <c r="AI7" s="1231"/>
      <c r="AJ7" s="1231"/>
      <c r="AK7" s="1231"/>
      <c r="AL7" s="1231"/>
      <c r="AM7" s="1231"/>
      <c r="AN7" s="1231"/>
      <c r="AO7" s="1231"/>
      <c r="AP7" s="1232"/>
      <c r="AQ7" s="268"/>
      <c r="AS7" s="1230" t="s">
        <v>543</v>
      </c>
      <c r="AT7" s="1231"/>
      <c r="AU7" s="1231"/>
      <c r="AV7" s="1231"/>
      <c r="AW7" s="1231"/>
      <c r="AX7" s="1231"/>
      <c r="AY7" s="1231"/>
      <c r="AZ7" s="1231"/>
      <c r="BA7" s="1231"/>
      <c r="BB7" s="1231"/>
      <c r="BC7" s="1232"/>
      <c r="BD7" s="268"/>
      <c r="BE7" s="268"/>
      <c r="BF7" s="268"/>
      <c r="BG7" s="268"/>
      <c r="BI7" s="47"/>
    </row>
    <row r="8" spans="1:61">
      <c r="A8" s="747" t="str">
        <f>'(GW) (IW) (Cut)'!C9</f>
        <v>Needed Pieces per linear foot</v>
      </c>
      <c r="B8" s="524">
        <f>'(GW) (IW) (Cut)'!D9</f>
        <v>1</v>
      </c>
      <c r="G8" s="47"/>
      <c r="T8" s="532"/>
      <c r="AD8" s="532"/>
      <c r="AU8" s="382"/>
      <c r="BI8" s="47"/>
    </row>
    <row r="9" spans="1:61" ht="15.75" thickBot="1">
      <c r="A9" s="704"/>
      <c r="B9" s="382"/>
      <c r="C9" s="382"/>
      <c r="D9" s="382"/>
      <c r="G9" s="47"/>
      <c r="T9" s="532"/>
      <c r="AD9" s="532"/>
      <c r="BI9" s="47"/>
    </row>
    <row r="10" spans="1:61" ht="16.5" thickBot="1">
      <c r="A10" s="704"/>
      <c r="B10" s="382"/>
      <c r="C10" s="382"/>
      <c r="D10" s="382"/>
      <c r="G10" s="47"/>
      <c r="J10" s="693" t="s">
        <v>90</v>
      </c>
      <c r="K10" s="694" t="s">
        <v>91</v>
      </c>
      <c r="N10" s="693" t="s">
        <v>90</v>
      </c>
      <c r="O10" s="694" t="s">
        <v>91</v>
      </c>
      <c r="T10" s="532"/>
      <c r="V10" s="693" t="s">
        <v>90</v>
      </c>
      <c r="W10" s="694" t="s">
        <v>91</v>
      </c>
      <c r="Z10" s="693" t="s">
        <v>90</v>
      </c>
      <c r="AA10" s="694" t="s">
        <v>91</v>
      </c>
      <c r="AD10" s="532"/>
      <c r="AF10" s="693" t="s">
        <v>90</v>
      </c>
      <c r="AG10" s="694" t="s">
        <v>91</v>
      </c>
      <c r="AI10" s="1230" t="str">
        <f>'(GW) (IW) (Cut)'!HD12</f>
        <v>12.15 (2)</v>
      </c>
      <c r="AJ10" s="1231"/>
      <c r="AK10" s="1231"/>
      <c r="AL10" s="1231"/>
      <c r="AM10" s="1231"/>
      <c r="AN10" s="1232"/>
      <c r="AS10" s="693" t="s">
        <v>90</v>
      </c>
      <c r="AT10" s="694" t="s">
        <v>91</v>
      </c>
      <c r="AV10" s="1230" t="str">
        <f>'(GW) (IW) (Cut)'!HN12</f>
        <v>12.30 (2)</v>
      </c>
      <c r="AW10" s="1231"/>
      <c r="AX10" s="1231"/>
      <c r="AY10" s="1231"/>
      <c r="AZ10" s="1231"/>
      <c r="BA10" s="1232"/>
      <c r="BI10" s="47"/>
    </row>
    <row r="11" spans="1:61" ht="16.5" thickBot="1">
      <c r="A11" s="704"/>
      <c r="B11" s="382"/>
      <c r="C11" s="382"/>
      <c r="D11" s="382"/>
      <c r="G11" s="47"/>
      <c r="J11" s="439" t="s">
        <v>243</v>
      </c>
      <c r="K11" s="438">
        <f>'(GW) (IW) (Full) (Combo)'!EA20</f>
        <v>0</v>
      </c>
      <c r="N11" s="439" t="s">
        <v>243</v>
      </c>
      <c r="O11" s="438">
        <f>'(GW) (IW) (Full) (Combo)'!EF20</f>
        <v>0</v>
      </c>
      <c r="T11" s="532"/>
      <c r="V11" s="439" t="s">
        <v>243</v>
      </c>
      <c r="W11" s="438">
        <f>'(GW) (IW) (Full) (No Rules)'!EA20</f>
        <v>0</v>
      </c>
      <c r="Z11" s="439" t="s">
        <v>243</v>
      </c>
      <c r="AA11" s="438">
        <f>'(GW) (IW) (Full) (No Rules)'!EF20</f>
        <v>0</v>
      </c>
      <c r="AD11" s="532"/>
      <c r="AF11" s="439" t="s">
        <v>243</v>
      </c>
      <c r="AG11" s="438">
        <f>IF(AP17=20,AP16,0)</f>
        <v>0</v>
      </c>
      <c r="AI11" s="1261" t="str">
        <f>'(GW) (IW) (Cut)'!HD13</f>
        <v>12"</v>
      </c>
      <c r="AJ11" s="1237"/>
      <c r="AK11" s="1261" t="str">
        <f>'(GW) (IW) (Cut)'!HF13</f>
        <v>12"</v>
      </c>
      <c r="AL11" s="1237"/>
      <c r="AM11" s="1261" t="str">
        <f>'(GW) (IW) (Cut)'!HH13</f>
        <v>12"</v>
      </c>
      <c r="AN11" s="1237"/>
      <c r="AO11" s="1261" t="str">
        <f>'(GW) (IW) (Cut)'!HJ13</f>
        <v>OVERFLOW</v>
      </c>
      <c r="AP11" s="1237"/>
      <c r="AQ11" s="268"/>
      <c r="AS11" s="439" t="s">
        <v>243</v>
      </c>
      <c r="AT11" s="438">
        <f>IF(BC17=20,BC16,0)</f>
        <v>0</v>
      </c>
      <c r="AV11" s="1261" t="str">
        <f>'(GW) (IW) (Cut)'!HN13</f>
        <v>12"</v>
      </c>
      <c r="AW11" s="1237"/>
      <c r="AX11" s="1261" t="str">
        <f>'(GW) (IW) (Cut)'!HP13</f>
        <v>12"</v>
      </c>
      <c r="AY11" s="1237"/>
      <c r="AZ11" s="1261" t="str">
        <f>'(GW) (IW) (Cut)'!HR13</f>
        <v>12"</v>
      </c>
      <c r="BA11" s="1237"/>
      <c r="BB11" s="1261" t="str">
        <f>'(GW) (IW) (Cut)'!HT13</f>
        <v>OVERFLOW</v>
      </c>
      <c r="BC11" s="1237"/>
      <c r="BI11" s="47"/>
    </row>
    <row r="12" spans="1:61" ht="16.5" thickBot="1">
      <c r="A12" s="704"/>
      <c r="B12" s="382"/>
      <c r="C12" s="382"/>
      <c r="D12" s="382"/>
      <c r="G12" s="47"/>
      <c r="J12" s="439" t="s">
        <v>252</v>
      </c>
      <c r="K12" s="438">
        <f>'(GW) (IW) (Full) (Combo)'!EA21</f>
        <v>2</v>
      </c>
      <c r="N12" s="439" t="s">
        <v>252</v>
      </c>
      <c r="O12" s="438">
        <f>'(GW) (IW) (Full) (Combo)'!EF21</f>
        <v>0</v>
      </c>
      <c r="T12" s="532"/>
      <c r="V12" s="439" t="s">
        <v>252</v>
      </c>
      <c r="W12" s="438">
        <f>'(GW) (IW) (Full) (No Rules)'!EA21</f>
        <v>2</v>
      </c>
      <c r="Z12" s="439" t="s">
        <v>252</v>
      </c>
      <c r="AA12" s="438">
        <f>'(GW) (IW) (Full) (No Rules)'!EF21</f>
        <v>0</v>
      </c>
      <c r="AD12" s="532"/>
      <c r="AF12" s="439" t="s">
        <v>252</v>
      </c>
      <c r="AG12" s="438">
        <f>IF(AP17=15,AP16,0)</f>
        <v>2</v>
      </c>
      <c r="AI12" s="737" t="str">
        <f>'(GW) (IW) (Cut)'!HD14</f>
        <v>                6</v>
      </c>
      <c r="AJ12" s="739" t="str">
        <f>'(GW) (IW) (Cut)'!HE14</f>
        <v>' (1)          ┃</v>
      </c>
      <c r="AK12" s="739" t="str">
        <f>'(GW) (IW) (Cut)'!HF14</f>
        <v>                6</v>
      </c>
      <c r="AL12" s="739" t="str">
        <f>'(GW) (IW) (Cut)'!HG14</f>
        <v>' (1)          ┃</v>
      </c>
      <c r="AM12" s="739" t="str">
        <f>'(GW) (IW) (Cut)'!HH14</f>
        <v/>
      </c>
      <c r="AN12" s="733" t="str">
        <f>'(GW) (IW) (Cut)'!HI14</f>
        <v>          ┃          ┃</v>
      </c>
      <c r="AO12" s="1236" t="str">
        <f>'(GW) (IW) (Cut)'!HJ14</f>
        <v>Total 15'</v>
      </c>
      <c r="AP12" s="1237"/>
      <c r="AQ12" s="268"/>
      <c r="AS12" s="439" t="s">
        <v>252</v>
      </c>
      <c r="AT12" s="438">
        <f>IF(BC17=15,BC16,0)</f>
        <v>0</v>
      </c>
      <c r="AV12" s="737" t="str">
        <f>'(GW) (IW) (Cut)'!HN14</f>
        <v>                6</v>
      </c>
      <c r="AW12" s="739" t="str">
        <f>'(GW) (IW) (Cut)'!HO14</f>
        <v>' (1)          ┃</v>
      </c>
      <c r="AX12" s="739" t="str">
        <f>'(GW) (IW) (Cut)'!HP14</f>
        <v>                6</v>
      </c>
      <c r="AY12" s="739" t="str">
        <f>'(GW) (IW) (Cut)'!HQ14</f>
        <v>' (1)          ┃</v>
      </c>
      <c r="AZ12" s="739" t="str">
        <f>'(GW) (IW) (Cut)'!HR14</f>
        <v/>
      </c>
      <c r="BA12" s="733" t="str">
        <f>'(GW) (IW) (Cut)'!HS14</f>
        <v>          ┃          ┃</v>
      </c>
      <c r="BB12" s="1261" t="str">
        <f>'(GW) (IW) (Cut)'!HT14</f>
        <v>Total 30'</v>
      </c>
      <c r="BC12" s="1237"/>
      <c r="BI12" s="47"/>
    </row>
    <row r="13" spans="1:61" ht="16.5" thickBot="1">
      <c r="A13" s="704"/>
      <c r="B13" s="382"/>
      <c r="C13" s="382"/>
      <c r="D13" s="382"/>
      <c r="G13" s="47"/>
      <c r="J13" s="439" t="s">
        <v>256</v>
      </c>
      <c r="K13" s="438">
        <f>'(GW) (IW) (Full) (Combo)'!EA22</f>
        <v>0</v>
      </c>
      <c r="N13" s="439" t="s">
        <v>256</v>
      </c>
      <c r="O13" s="438">
        <f>'(GW) (IW) (Full) (Combo)'!EF22</f>
        <v>2</v>
      </c>
      <c r="T13" s="532"/>
      <c r="V13" s="439" t="s">
        <v>256</v>
      </c>
      <c r="W13" s="438">
        <f>'(GW) (IW) (Full) (No Rules)'!EA22</f>
        <v>0</v>
      </c>
      <c r="Z13" s="439" t="s">
        <v>256</v>
      </c>
      <c r="AA13" s="438">
        <f>'(GW) (IW) (Full) (No Rules)'!EF22</f>
        <v>2</v>
      </c>
      <c r="AD13" s="532"/>
      <c r="AF13" s="439" t="s">
        <v>256</v>
      </c>
      <c r="AG13" s="438">
        <f>IF(AP17=30,AP16,0)</f>
        <v>0</v>
      </c>
      <c r="AI13" s="740" t="str">
        <f>'(GW) (IW) (Cut)'!HD15</f>
        <v/>
      </c>
      <c r="AJ13" s="734" t="str">
        <f>'(GW) (IW) (Cut)'!HE15</f>
        <v>                 ┃          ┃</v>
      </c>
      <c r="AK13" s="734" t="str">
        <f>'(GW) (IW) (Cut)'!HF15</f>
        <v/>
      </c>
      <c r="AL13" s="734" t="str">
        <f>'(GW) (IW) (Cut)'!HG15</f>
        <v>                 ┃          ┃</v>
      </c>
      <c r="AM13" s="734" t="str">
        <f>'(GW) (IW) (Cut)'!HH15</f>
        <v/>
      </c>
      <c r="AN13" s="735" t="str">
        <f>'(GW) (IW) (Cut)'!HI15</f>
        <v>          ┃          ┃</v>
      </c>
      <c r="AO13" s="738">
        <f>'(GW) (IW) (Cut)'!HJ15</f>
        <v>1</v>
      </c>
      <c r="AP13" s="738" t="str">
        <f>'(GW) (IW) (Cut)'!HK15</f>
        <v>9' rolls</v>
      </c>
      <c r="AQ13" s="1"/>
      <c r="AS13" s="439" t="s">
        <v>256</v>
      </c>
      <c r="AT13" s="438">
        <f>IF(BC17=30,BC16,0)</f>
        <v>2</v>
      </c>
      <c r="AV13" s="740" t="str">
        <f>'(GW) (IW) (Cut)'!HN15</f>
        <v/>
      </c>
      <c r="AW13" s="734" t="str">
        <f>'(GW) (IW) (Cut)'!HO15</f>
        <v>                 ┃          ┃</v>
      </c>
      <c r="AX13" s="734" t="str">
        <f>'(GW) (IW) (Cut)'!HP15</f>
        <v/>
      </c>
      <c r="AY13" s="734" t="str">
        <f>'(GW) (IW) (Cut)'!HQ15</f>
        <v>                 ┃          ┃</v>
      </c>
      <c r="AZ13" s="734" t="str">
        <f>'(GW) (IW) (Cut)'!HR15</f>
        <v/>
      </c>
      <c r="BA13" s="735" t="str">
        <f>'(GW) (IW) (Cut)'!HS15</f>
        <v>          ┃          ┃</v>
      </c>
      <c r="BB13" s="738">
        <f>'(GW) (IW) (Cut)'!HT15</f>
        <v>1</v>
      </c>
      <c r="BC13" s="738" t="str">
        <f>'(GW) (IW) (Cut)'!HU15</f>
        <v>24' rolls</v>
      </c>
      <c r="BI13" s="47"/>
    </row>
    <row r="14" spans="1:61" ht="15.75" thickBot="1">
      <c r="A14" s="704"/>
      <c r="B14" s="382"/>
      <c r="C14" s="382"/>
      <c r="D14" s="382"/>
      <c r="G14" s="47"/>
      <c r="T14" s="532"/>
      <c r="AD14" s="532"/>
      <c r="AI14" s="740" t="str">
        <f>'(GW) (IW) (Cut)'!HD16</f>
        <v/>
      </c>
      <c r="AJ14" s="734" t="str">
        <f>'(GW) (IW) (Cut)'!HE16</f>
        <v>                 ┃          ┃</v>
      </c>
      <c r="AK14" s="734" t="str">
        <f>'(GW) (IW) (Cut)'!HF16</f>
        <v/>
      </c>
      <c r="AL14" s="734" t="str">
        <f>'(GW) (IW) (Cut)'!HG16</f>
        <v>                 ┃          ┃</v>
      </c>
      <c r="AM14" s="734" t="str">
        <f>'(GW) (IW) (Cut)'!HH16</f>
        <v/>
      </c>
      <c r="AN14" s="735" t="str">
        <f>'(GW) (IW) (Cut)'!HI16</f>
        <v>          ┃          ┃</v>
      </c>
      <c r="AO14" s="738">
        <f>'(GW) (IW) (Cut)'!HJ16</f>
        <v>1</v>
      </c>
      <c r="AP14" s="738" t="str">
        <f>'(GW) (IW) (Cut)'!HK16</f>
        <v>6' rolls</v>
      </c>
      <c r="AQ14" s="1"/>
      <c r="AV14" s="740" t="str">
        <f>'(GW) (IW) (Cut)'!HN16</f>
        <v/>
      </c>
      <c r="AW14" s="734" t="str">
        <f>'(GW) (IW) (Cut)'!HO16</f>
        <v>                 ┃          ┃</v>
      </c>
      <c r="AX14" s="734" t="str">
        <f>'(GW) (IW) (Cut)'!HP16</f>
        <v/>
      </c>
      <c r="AY14" s="734" t="str">
        <f>'(GW) (IW) (Cut)'!HQ16</f>
        <v>                 ┃          ┃</v>
      </c>
      <c r="AZ14" s="734" t="str">
        <f>'(GW) (IW) (Cut)'!HR16</f>
        <v/>
      </c>
      <c r="BA14" s="735" t="str">
        <f>'(GW) (IW) (Cut)'!HS16</f>
        <v>          ┃          ┃</v>
      </c>
      <c r="BB14" s="738">
        <f>'(GW) (IW) (Cut)'!HT16</f>
        <v>1</v>
      </c>
      <c r="BC14" s="738" t="str">
        <f>'(GW) (IW) (Cut)'!HU16</f>
        <v>6' rolls</v>
      </c>
      <c r="BI14" s="47"/>
    </row>
    <row r="15" spans="1:61" ht="15.75" thickBot="1">
      <c r="A15" s="704"/>
      <c r="B15" s="382"/>
      <c r="C15" s="382"/>
      <c r="D15" s="382"/>
      <c r="G15" s="47"/>
      <c r="T15" s="532"/>
      <c r="AD15" s="532"/>
      <c r="AI15" s="740" t="str">
        <f>'(GW) (IW) (Cut)'!HD17</f>
        <v/>
      </c>
      <c r="AJ15" s="734" t="str">
        <f>'(GW) (IW) (Cut)'!HE17</f>
        <v>                 ┃          ┃</v>
      </c>
      <c r="AK15" s="734" t="str">
        <f>'(GW) (IW) (Cut)'!HF17</f>
        <v/>
      </c>
      <c r="AL15" s="734" t="str">
        <f>'(GW) (IW) (Cut)'!HG17</f>
        <v>                 ┃          ┃</v>
      </c>
      <c r="AM15" s="734" t="str">
        <f>'(GW) (IW) (Cut)'!HH17</f>
        <v/>
      </c>
      <c r="AN15" s="735" t="str">
        <f>'(GW) (IW) (Cut)'!HI17</f>
        <v>          ┃          ┃</v>
      </c>
      <c r="AO15" s="1279" t="str">
        <f>'(GW) (IW) (Cut)'!HJ17</f>
        <v>MATERIALS</v>
      </c>
      <c r="AP15" s="1277"/>
      <c r="AQ15" s="1"/>
      <c r="AV15" s="740" t="str">
        <f>'(GW) (IW) (Cut)'!HN17</f>
        <v/>
      </c>
      <c r="AW15" s="734" t="str">
        <f>'(GW) (IW) (Cut)'!HO17</f>
        <v>                 ┃          ┃</v>
      </c>
      <c r="AX15" s="734" t="str">
        <f>'(GW) (IW) (Cut)'!HP17</f>
        <v/>
      </c>
      <c r="AY15" s="734" t="str">
        <f>'(GW) (IW) (Cut)'!HQ17</f>
        <v>                 ┃          ┃</v>
      </c>
      <c r="AZ15" s="734" t="str">
        <f>'(GW) (IW) (Cut)'!HR17</f>
        <v/>
      </c>
      <c r="BA15" s="735" t="str">
        <f>'(GW) (IW) (Cut)'!HS17</f>
        <v>          ┃          ┃</v>
      </c>
      <c r="BB15" s="1279" t="str">
        <f>'(GW) (IW) (Cut)'!HT17</f>
        <v>MATERIALS</v>
      </c>
      <c r="BC15" s="1277"/>
      <c r="BI15" s="47"/>
    </row>
    <row r="16" spans="1:61" ht="15.75" thickBot="1">
      <c r="A16" s="704"/>
      <c r="B16" s="382"/>
      <c r="C16" s="382"/>
      <c r="D16" s="382"/>
      <c r="G16" s="47"/>
      <c r="T16" s="532"/>
      <c r="AD16" s="532"/>
      <c r="AI16" s="740" t="str">
        <f>'(GW) (IW) (Cut)'!HD18</f>
        <v/>
      </c>
      <c r="AJ16" s="734" t="str">
        <f>'(GW) (IW) (Cut)'!HE18</f>
        <v>                 ┃          ┃</v>
      </c>
      <c r="AK16" s="734" t="str">
        <f>'(GW) (IW) (Cut)'!HF18</f>
        <v/>
      </c>
      <c r="AL16" s="734" t="str">
        <f>'(GW) (IW) (Cut)'!HG18</f>
        <v>                 ┃          ┃</v>
      </c>
      <c r="AM16" s="734" t="str">
        <f>'(GW) (IW) (Cut)'!HH18</f>
        <v/>
      </c>
      <c r="AN16" s="735" t="str">
        <f>'(GW) (IW) (Cut)'!HI18</f>
        <v>          ┃          ┃</v>
      </c>
      <c r="AO16" s="745" t="str">
        <f>'(GW) (IW) (Cut)'!HJ18</f>
        <v>Q</v>
      </c>
      <c r="AP16" s="649">
        <f>'(GW) (IW) (Cut)'!HK18</f>
        <v>2</v>
      </c>
      <c r="AQ16" s="1"/>
      <c r="AR16" s="268"/>
      <c r="AV16" s="740" t="str">
        <f>'(GW) (IW) (Cut)'!HN18</f>
        <v/>
      </c>
      <c r="AW16" s="734" t="str">
        <f>'(GW) (IW) (Cut)'!HO18</f>
        <v>                 ┃          ┃</v>
      </c>
      <c r="AX16" s="734" t="str">
        <f>'(GW) (IW) (Cut)'!HP18</f>
        <v/>
      </c>
      <c r="AY16" s="734" t="str">
        <f>'(GW) (IW) (Cut)'!HQ18</f>
        <v>                 ┃          ┃</v>
      </c>
      <c r="AZ16" s="734" t="str">
        <f>'(GW) (IW) (Cut)'!HR18</f>
        <v/>
      </c>
      <c r="BA16" s="735" t="str">
        <f>'(GW) (IW) (Cut)'!HS18</f>
        <v>          ┃          ┃</v>
      </c>
      <c r="BB16" s="717" t="str">
        <f>'(GW) (IW) (Cut)'!HT18</f>
        <v>Q</v>
      </c>
      <c r="BC16" s="649">
        <f>'(GW) (IW) (Cut)'!HU18</f>
        <v>2</v>
      </c>
      <c r="BD16" s="268"/>
      <c r="BE16" s="268"/>
      <c r="BF16" s="268"/>
      <c r="BG16" s="268"/>
      <c r="BI16" s="47"/>
    </row>
    <row r="17" spans="1:61" ht="15.75" thickBot="1">
      <c r="A17" s="704"/>
      <c r="B17" s="382"/>
      <c r="C17" s="382"/>
      <c r="D17" s="382"/>
      <c r="G17" s="47"/>
      <c r="T17" s="532"/>
      <c r="AD17" s="532"/>
      <c r="AI17" s="741" t="str">
        <f>'(GW) (IW) (Cut)'!HD19</f>
        <v/>
      </c>
      <c r="AJ17" s="742" t="str">
        <f>'(GW) (IW) (Cut)'!HE19</f>
        <v>                 ┃          ┃</v>
      </c>
      <c r="AK17" s="742" t="str">
        <f>'(GW) (IW) (Cut)'!HF19</f>
        <v/>
      </c>
      <c r="AL17" s="742" t="str">
        <f>'(GW) (IW) (Cut)'!HG19</f>
        <v>                 ┃          ┃</v>
      </c>
      <c r="AM17" s="742" t="str">
        <f>'(GW) (IW) (Cut)'!HH19</f>
        <v/>
      </c>
      <c r="AN17" s="736" t="str">
        <f>'(GW) (IW) (Cut)'!HI19</f>
        <v>          ┃          ┃</v>
      </c>
      <c r="AO17" s="745">
        <f>'(GW) (IW) (Cut)'!HJ19</f>
        <v>12</v>
      </c>
      <c r="AP17" s="649">
        <f>'(GW) (IW) (Cut)'!HK19</f>
        <v>15</v>
      </c>
      <c r="AQ17" s="1"/>
      <c r="AR17" s="268"/>
      <c r="AV17" s="741" t="str">
        <f>'(GW) (IW) (Cut)'!HN19</f>
        <v/>
      </c>
      <c r="AW17" s="742" t="str">
        <f>'(GW) (IW) (Cut)'!HO19</f>
        <v>                 ┃          ┃</v>
      </c>
      <c r="AX17" s="742" t="str">
        <f>'(GW) (IW) (Cut)'!HP19</f>
        <v/>
      </c>
      <c r="AY17" s="742" t="str">
        <f>'(GW) (IW) (Cut)'!HQ19</f>
        <v>                 ┃          ┃</v>
      </c>
      <c r="AZ17" s="742" t="str">
        <f>'(GW) (IW) (Cut)'!HR19</f>
        <v/>
      </c>
      <c r="BA17" s="736" t="str">
        <f>'(GW) (IW) (Cut)'!HS19</f>
        <v>          ┃          ┃</v>
      </c>
      <c r="BB17" s="717">
        <f>'(GW) (IW) (Cut)'!HT19</f>
        <v>12</v>
      </c>
      <c r="BC17" s="649">
        <f>'(GW) (IW) (Cut)'!HU19</f>
        <v>30</v>
      </c>
      <c r="BD17" s="268"/>
      <c r="BE17" s="268"/>
      <c r="BF17" s="268"/>
      <c r="BG17" s="268"/>
      <c r="BI17" s="47"/>
    </row>
    <row r="18" spans="1:61">
      <c r="A18" s="704"/>
      <c r="B18" s="382"/>
      <c r="C18" s="382"/>
      <c r="D18" s="382"/>
      <c r="G18" s="47"/>
      <c r="T18" s="532"/>
      <c r="AD18" s="532"/>
      <c r="AR18" s="1"/>
      <c r="AS18" s="1"/>
      <c r="AT18" s="1"/>
      <c r="AU18" s="1"/>
      <c r="AV18" s="1"/>
      <c r="AW18" s="1"/>
      <c r="AX18" s="1"/>
      <c r="AY18" s="1"/>
      <c r="AZ18" s="1"/>
      <c r="BA18" s="1"/>
      <c r="BB18" s="1"/>
      <c r="BC18" s="1"/>
      <c r="BD18" s="1"/>
      <c r="BE18" s="1"/>
      <c r="BF18" s="1"/>
      <c r="BG18" s="1"/>
      <c r="BI18" s="47"/>
    </row>
    <row r="19" spans="1:61">
      <c r="A19" s="704"/>
      <c r="G19" s="47"/>
      <c r="T19" s="532"/>
      <c r="AD19" s="532"/>
      <c r="AN19" s="382"/>
      <c r="AO19" s="382"/>
      <c r="AP19" s="382"/>
      <c r="AQ19" s="382"/>
      <c r="AR19" s="1"/>
      <c r="AS19" s="1"/>
      <c r="AT19" s="1"/>
      <c r="AU19" s="1"/>
      <c r="AV19" s="1"/>
      <c r="AW19" s="1"/>
      <c r="AX19" s="1"/>
      <c r="AY19" s="1"/>
      <c r="AZ19" s="1"/>
      <c r="BA19" s="1"/>
      <c r="BB19" s="1"/>
      <c r="BC19" s="1"/>
      <c r="BD19" s="1"/>
      <c r="BE19" s="1"/>
      <c r="BF19" s="1"/>
      <c r="BG19" s="1"/>
      <c r="BI19" s="47"/>
    </row>
    <row r="20" spans="1:61" ht="15.75" thickBot="1">
      <c r="A20" s="705"/>
      <c r="B20" s="46"/>
      <c r="C20" s="46"/>
      <c r="D20" s="46"/>
      <c r="E20" s="46"/>
      <c r="F20" s="46"/>
      <c r="G20" s="664"/>
      <c r="H20" s="46"/>
      <c r="I20" s="46"/>
      <c r="J20" s="46"/>
      <c r="K20" s="46"/>
      <c r="L20" s="46"/>
      <c r="M20" s="46"/>
      <c r="N20" s="46"/>
      <c r="O20" s="46"/>
      <c r="P20" s="46"/>
      <c r="Q20" s="46"/>
      <c r="R20" s="46"/>
      <c r="S20" s="46"/>
      <c r="T20" s="663"/>
      <c r="U20" s="46"/>
      <c r="V20" s="46"/>
      <c r="W20" s="46"/>
      <c r="X20" s="46"/>
      <c r="Y20" s="46"/>
      <c r="Z20" s="46"/>
      <c r="AA20" s="46"/>
      <c r="AB20" s="46"/>
      <c r="AC20" s="46"/>
      <c r="AD20" s="532"/>
      <c r="AN20" s="382"/>
      <c r="AO20" s="382"/>
      <c r="AP20" s="382"/>
      <c r="AQ20" s="382"/>
      <c r="AR20" s="1"/>
      <c r="AS20" s="1"/>
      <c r="AT20" s="1"/>
      <c r="AU20" s="1"/>
      <c r="AV20" s="1"/>
      <c r="AW20" s="1"/>
      <c r="AX20" s="1"/>
      <c r="AY20" s="1"/>
      <c r="AZ20" s="1"/>
      <c r="BA20" s="1"/>
      <c r="BB20" s="1"/>
      <c r="BC20" s="1"/>
      <c r="BD20" s="1"/>
      <c r="BE20" s="1"/>
      <c r="BF20" s="1"/>
      <c r="BG20" s="1"/>
      <c r="BI20" s="47"/>
    </row>
    <row r="21" spans="1:61">
      <c r="A21" s="382"/>
      <c r="AD21" s="532"/>
      <c r="AN21" s="382"/>
      <c r="AO21" s="382"/>
      <c r="AP21" s="382"/>
      <c r="AQ21" s="382"/>
      <c r="AR21" s="1"/>
      <c r="AS21" s="1"/>
      <c r="AT21" s="1"/>
      <c r="AU21" s="1"/>
      <c r="AV21" s="1"/>
      <c r="AW21" s="1"/>
      <c r="AX21" s="1"/>
      <c r="AY21" s="1"/>
      <c r="AZ21" s="1"/>
      <c r="BA21" s="1"/>
      <c r="BB21" s="1"/>
      <c r="BC21" s="1"/>
      <c r="BD21" s="1"/>
      <c r="BI21" s="47"/>
    </row>
    <row r="22" spans="1:61">
      <c r="A22" s="382"/>
      <c r="AD22" s="532"/>
      <c r="AN22" s="382"/>
      <c r="AO22" s="382"/>
      <c r="AP22" s="382"/>
      <c r="AQ22" s="382"/>
      <c r="AR22" s="1"/>
      <c r="AS22" s="1"/>
      <c r="AT22" s="1"/>
      <c r="AU22" s="1"/>
      <c r="AV22" s="1"/>
      <c r="AW22" s="1"/>
      <c r="AX22" s="1"/>
      <c r="AY22" s="1"/>
      <c r="AZ22" s="1"/>
      <c r="BA22" s="1"/>
      <c r="BB22" s="1"/>
      <c r="BC22" s="1"/>
      <c r="BD22" s="1"/>
      <c r="BE22" s="268"/>
      <c r="BF22" s="268"/>
      <c r="BG22" s="268"/>
      <c r="BI22" s="47"/>
    </row>
    <row r="23" spans="1:61">
      <c r="A23" s="382"/>
      <c r="AD23" s="532"/>
      <c r="AN23" s="382"/>
      <c r="AO23" s="382"/>
      <c r="AP23" s="382"/>
      <c r="AQ23" s="382"/>
      <c r="BI23" s="47"/>
    </row>
    <row r="24" spans="1:61">
      <c r="A24" s="382"/>
      <c r="AD24" s="532"/>
      <c r="AN24" s="382"/>
      <c r="AO24" s="382"/>
      <c r="AP24" s="382"/>
      <c r="AQ24" s="382"/>
      <c r="AR24" s="382"/>
      <c r="BI24" s="47"/>
    </row>
    <row r="25" spans="1:61">
      <c r="A25" s="382"/>
      <c r="AD25" s="532"/>
      <c r="AN25" s="382"/>
      <c r="AO25" s="382"/>
      <c r="AP25" s="382"/>
      <c r="AQ25" s="382"/>
      <c r="AR25" s="382"/>
      <c r="BI25" s="47"/>
    </row>
    <row r="26" spans="1:61" ht="15.75" thickBot="1">
      <c r="A26" s="382"/>
      <c r="AB26" s="262"/>
      <c r="AC26" s="262"/>
      <c r="AD26" s="663"/>
      <c r="AE26" s="46"/>
      <c r="AF26" s="46"/>
      <c r="AG26" s="46"/>
      <c r="AH26" s="46"/>
      <c r="AI26" s="46"/>
      <c r="AJ26" s="46"/>
      <c r="AK26" s="46"/>
      <c r="AL26" s="46"/>
      <c r="AM26" s="46"/>
      <c r="AN26" s="668"/>
      <c r="AO26" s="668"/>
      <c r="AP26" s="668"/>
      <c r="AQ26" s="668"/>
      <c r="AR26" s="46"/>
      <c r="AS26" s="46"/>
      <c r="AT26" s="46"/>
      <c r="AU26" s="46"/>
      <c r="AV26" s="46"/>
      <c r="AW26" s="46"/>
      <c r="AX26" s="46"/>
      <c r="AY26" s="46"/>
      <c r="AZ26" s="46"/>
      <c r="BA26" s="46"/>
      <c r="BB26" s="46"/>
      <c r="BC26" s="46"/>
      <c r="BD26" s="46"/>
      <c r="BE26" s="46"/>
      <c r="BF26" s="46"/>
      <c r="BG26" s="46"/>
      <c r="BH26" s="46"/>
      <c r="BI26" s="664"/>
    </row>
    <row r="27" spans="1:61">
      <c r="A27" s="382"/>
      <c r="AB27" s="262"/>
      <c r="AC27" s="262"/>
      <c r="AI27" s="382"/>
      <c r="AJ27" s="382"/>
      <c r="AK27" s="382"/>
      <c r="AL27" s="382"/>
      <c r="AM27" s="382"/>
      <c r="AN27" s="571"/>
      <c r="AO27" s="571"/>
      <c r="AP27" s="571"/>
      <c r="AQ27" s="571"/>
      <c r="AR27" s="382"/>
    </row>
    <row r="28" spans="1:61">
      <c r="A28" s="382"/>
      <c r="AB28" s="262"/>
      <c r="AC28" s="262"/>
    </row>
    <row r="29" spans="1:61">
      <c r="A29" s="382"/>
      <c r="AB29" s="262"/>
      <c r="AC29" s="262"/>
    </row>
    <row r="30" spans="1:61">
      <c r="A30" s="382"/>
      <c r="AB30" s="262"/>
      <c r="AC30" s="262"/>
    </row>
  </sheetData>
  <mergeCells count="24">
    <mergeCell ref="A1:D1"/>
    <mergeCell ref="J5:O5"/>
    <mergeCell ref="J7:K7"/>
    <mergeCell ref="N7:O7"/>
    <mergeCell ref="AI10:AN10"/>
    <mergeCell ref="V5:AA5"/>
    <mergeCell ref="V7:W7"/>
    <mergeCell ref="Z7:AA7"/>
    <mergeCell ref="AF7:AP7"/>
    <mergeCell ref="BB15:BC15"/>
    <mergeCell ref="AF5:BC5"/>
    <mergeCell ref="AS7:BC7"/>
    <mergeCell ref="AV10:BA10"/>
    <mergeCell ref="AV11:AW11"/>
    <mergeCell ref="AX11:AY11"/>
    <mergeCell ref="AZ11:BA11"/>
    <mergeCell ref="BB11:BC11"/>
    <mergeCell ref="BB12:BC12"/>
    <mergeCell ref="AM11:AN11"/>
    <mergeCell ref="AO15:AP15"/>
    <mergeCell ref="AO12:AP12"/>
    <mergeCell ref="AI11:AJ11"/>
    <mergeCell ref="AK11:AL11"/>
    <mergeCell ref="AO11:AP1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0AA48-72CC-44E0-9647-DA5AAB1BE059}">
  <sheetPr>
    <tabColor theme="4" tint="0.59999389629810485"/>
    <pageSetUpPr autoPageBreaks="0"/>
  </sheetPr>
  <dimension ref="E4:AU49"/>
  <sheetViews>
    <sheetView topLeftCell="B1" workbookViewId="0">
      <selection activeCell="G52" sqref="G52"/>
    </sheetView>
  </sheetViews>
  <sheetFormatPr defaultColWidth="9.140625" defaultRowHeight="15"/>
  <cols>
    <col min="1" max="1" width="18.140625" bestFit="1" customWidth="1"/>
    <col min="5" max="5" width="18.140625" bestFit="1" customWidth="1"/>
    <col min="6" max="6" width="13" customWidth="1"/>
    <col min="7" max="7" width="29.140625" customWidth="1"/>
    <col min="8" max="8" width="9.140625" customWidth="1"/>
    <col min="9" max="21" width="9.140625" hidden="1" customWidth="1"/>
    <col min="22" max="23" width="9.140625" customWidth="1"/>
    <col min="24" max="47" width="10.7109375" customWidth="1"/>
  </cols>
  <sheetData>
    <row r="4" spans="5:47" ht="45.75" hidden="1" thickBot="1">
      <c r="L4" s="509" t="s">
        <v>598</v>
      </c>
      <c r="M4" s="510"/>
      <c r="N4" s="513" t="s">
        <v>601</v>
      </c>
      <c r="X4" s="1306" t="s">
        <v>608</v>
      </c>
      <c r="Y4" s="1303"/>
      <c r="Z4" s="1303" t="s">
        <v>608</v>
      </c>
      <c r="AA4" s="1303"/>
      <c r="AB4" s="1303" t="s">
        <v>608</v>
      </c>
      <c r="AC4" s="1303"/>
      <c r="AD4" s="1303" t="s">
        <v>608</v>
      </c>
      <c r="AE4" s="1303"/>
      <c r="AF4" s="1303" t="s">
        <v>608</v>
      </c>
      <c r="AG4" s="1303"/>
      <c r="AH4" s="1303" t="s">
        <v>608</v>
      </c>
      <c r="AI4" s="1303"/>
      <c r="AJ4" s="1303" t="s">
        <v>608</v>
      </c>
      <c r="AK4" s="1303"/>
      <c r="AL4" s="1303" t="s">
        <v>608</v>
      </c>
      <c r="AM4" s="1303"/>
      <c r="AN4" s="1303" t="s">
        <v>608</v>
      </c>
      <c r="AO4" s="1303"/>
      <c r="AP4" s="1303" t="s">
        <v>608</v>
      </c>
      <c r="AQ4" s="1303"/>
      <c r="AR4" s="1303" t="s">
        <v>608</v>
      </c>
      <c r="AS4" s="1303"/>
      <c r="AT4" s="1303" t="s">
        <v>608</v>
      </c>
      <c r="AU4" s="1305"/>
    </row>
    <row r="5" spans="5:47" ht="61.5" hidden="1" customHeight="1">
      <c r="L5" s="766">
        <v>1</v>
      </c>
      <c r="N5" s="514" t="s">
        <v>634</v>
      </c>
      <c r="X5" s="1308" t="str">
        <f>IF(COLUMN()-COLUMN($X$5)+1&lt;=$F$10*$L$5*2,
TEXT($N$5,"0.00")&amp;" ("&amp;ROUNDUP((COLUMN()-COLUMN($X$5)+2)/($L$5*2),0)&amp;")",
"")</f>
        <v>12" 15' (1)</v>
      </c>
      <c r="Y5" s="1310"/>
      <c r="Z5" s="1308" t="str">
        <f>IF(COLUMN()-COLUMN($X$5)+1&lt;=$F$10*$L$5*2,
TEXT($N$5,"0.00")&amp;" ("&amp;ROUNDUP((COLUMN()-COLUMN($X$5)+2)/($L$5*2),0)&amp;")",
"")</f>
        <v>12" 15' (2)</v>
      </c>
      <c r="AA5" s="1309"/>
      <c r="AB5" s="1310" t="str">
        <f>IF(COLUMN()-COLUMN($X$5)+1&lt;=$F$10*$L$5*2,
TEXT($N$5,"0.00")&amp;" ("&amp;ROUNDUP((COLUMN()-COLUMN($X$5)+2)/($L$5*2),0)&amp;")",
"")</f>
        <v>12" 15' (3)</v>
      </c>
      <c r="AC5" s="1310"/>
      <c r="AD5" s="1308" t="str">
        <f>IF(COLUMN()-COLUMN($X$5)+1&lt;=$F$10*$L$5*2,
TEXT($N$5,"0.00")&amp;" ("&amp;ROUNDUP((COLUMN()-COLUMN($X$5)+2)/($L$5*2),0)&amp;")",
"")</f>
        <v/>
      </c>
      <c r="AE5" s="1309"/>
      <c r="AF5" s="1310" t="str">
        <f>IF(COLUMN()-COLUMN($X$5)+1&lt;=$F$10*$L$5*2,
TEXT($N$5,"0.00")&amp;" ("&amp;ROUNDUP((COLUMN()-COLUMN($X$5)+2)/($L$5*2),0)&amp;")",
"")</f>
        <v/>
      </c>
      <c r="AG5" s="1310"/>
      <c r="AH5" s="1308" t="str">
        <f>IF(COLUMN()-COLUMN($X$5)+1&lt;=$F$10*$L$5*2,
TEXT($N$5,"0.00")&amp;" ("&amp;ROUNDUP((COLUMN()-COLUMN($X$5)+2)/($L$5*2),0)&amp;")",
"")</f>
        <v/>
      </c>
      <c r="AI5" s="1309"/>
      <c r="AJ5" s="1310" t="str">
        <f>IF(COLUMN()-COLUMN($X$5)+1&lt;=$F$10*$L$5*2,
TEXT($N$5,"0.00")&amp;" ("&amp;ROUNDUP((COLUMN()-COLUMN($X$5)+2)/($L$5*2),0)&amp;")",
"")</f>
        <v/>
      </c>
      <c r="AK5" s="1310"/>
      <c r="AL5" s="1308" t="str">
        <f>IF(COLUMN()-COLUMN($X$5)+1&lt;=$F$10*$L$5*2,
TEXT($N$5,"0.00")&amp;" ("&amp;ROUNDUP((COLUMN()-COLUMN($X$5)+2)/($L$5*2),0)&amp;")",
"")</f>
        <v/>
      </c>
      <c r="AM5" s="1309"/>
      <c r="AN5" s="1310" t="str">
        <f>IF(COLUMN()-COLUMN($X$5)+1&lt;=$F$10*$L$5*2,
TEXT($N$5,"0.00")&amp;" ("&amp;ROUNDUP((COLUMN()-COLUMN($X$5)+2)/($L$5*2),0)&amp;")",
"")</f>
        <v/>
      </c>
      <c r="AO5" s="1310"/>
      <c r="AP5" s="1308" t="str">
        <f>IF(COLUMN()-COLUMN($X$5)+1&lt;=$F$10*$L$5*2,
TEXT($N$5,"0.00")&amp;" ("&amp;ROUNDUP((COLUMN()-COLUMN($X$5)+2)/($L$5*2),0)&amp;")",
"")</f>
        <v/>
      </c>
      <c r="AQ5" s="1309"/>
      <c r="AR5" s="1310" t="str">
        <f>IF(COLUMN()-COLUMN($X$5)+1&lt;=$F$10*$L$5*2,
TEXT($N$5,"0.00")&amp;" ("&amp;ROUNDUP((COLUMN()-COLUMN($X$5)+2)/($L$5*2),0)&amp;")",
"")</f>
        <v/>
      </c>
      <c r="AS5" s="1310"/>
      <c r="AT5" s="1301" t="str">
        <f>IF(COLUMN()-COLUMN($X$5)+1&lt;=$F$10*$L$5*2,
TEXT($N$5,"0.00")&amp;" ("&amp;ROUNDUP((COLUMN()-COLUMN($X$5)+2)/($L$5*2),0)&amp;")",
"")</f>
        <v/>
      </c>
      <c r="AU5" s="1302"/>
    </row>
    <row r="6" spans="5:47" ht="61.5" hidden="1" customHeight="1">
      <c r="L6" s="766">
        <v>1</v>
      </c>
      <c r="N6" s="514" t="s">
        <v>635</v>
      </c>
      <c r="X6" s="1298" t="str" cm="1">
        <f t="array" ref="X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Y6" s="1300"/>
      <c r="Z6" s="1298" t="str" cm="1">
        <f t="array" ref="Z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A6" s="1299"/>
      <c r="AB6" s="1300" t="str" cm="1">
        <f t="array" ref="AB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C6" s="1300"/>
      <c r="AD6" s="1298" t="str" cm="1">
        <f t="array" ref="AD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E6" s="1299"/>
      <c r="AF6" s="1300" t="str" cm="1">
        <f t="array" ref="AF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G6" s="1300"/>
      <c r="AH6" s="1298" t="str" cm="1">
        <f t="array" ref="AH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I6" s="1299"/>
      <c r="AJ6" s="1300" t="str" cm="1">
        <f t="array" ref="AJ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K6" s="1300"/>
      <c r="AL6" s="1298" t="str" cm="1">
        <f t="array" ref="AL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M6" s="1299"/>
      <c r="AN6" s="1300" t="str" cm="1">
        <f t="array" ref="AN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O6" s="1300"/>
      <c r="AP6" s="1298" t="str" cm="1">
        <f t="array" ref="AP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Q6" s="1299"/>
      <c r="AR6" s="1300" t="str" cm="1">
        <f t="array" ref="AR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S6" s="1300"/>
      <c r="AT6" s="1298" t="str" cm="1">
        <f t="array" ref="AT6">_xlfn.LET(
_xlpm.c,COLUMN()-COLUMN($X$7),
_xlpm.blk,INT(_xlpm.c/2)+1,
_xlpm.above1,INDEX($X$5:$ZZ$5,1,2*_xlpm.blk-1),
_xlpm.above2,INDEX($X$5:$ZZ$5,1,2*_xlpm.blk-1),
_xlpm.open,AND(_xlpm.above1="",_xlpm.above2=""),
_xlpm.openCount,SUM((INDEX($X$5:$ZZ$5,1,2*_xlfn.SEQUENCE(1,_xlpm.blk)-1)="")*(INDEX($X$5:$ZZ$5,1,2*_xlfn.SEQUENCE(1,_xlpm.blk)-1)="")),
IF(NOT(_xlpm.open),"",
IF(_xlpm.openCount&lt;=$F$11*$L$6,
TEXT($N$6,"0.00")&amp;" ("&amp;ROUNDUP(_xlpm.openCount/$L$6,0)&amp;")",
"")))</f>
        <v/>
      </c>
      <c r="AU6" s="1299"/>
    </row>
    <row r="7" spans="5:47" ht="61.5" hidden="1" customHeight="1" thickBot="1">
      <c r="L7" s="767">
        <v>1</v>
      </c>
      <c r="M7" s="512"/>
      <c r="N7" s="516" t="s">
        <v>636</v>
      </c>
      <c r="X7" s="539" t="str" cm="1">
        <f t="array" ref="X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Y7" s="541" t="str" cm="1">
        <f t="array" ref="Y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Z7" s="539" t="str" cm="1">
        <f t="array" ref="Z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A7" s="540" t="str" cm="1">
        <f t="array" ref="AA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B7" s="542" t="str" cm="1">
        <f t="array" ref="AB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C7" s="541" t="str" cm="1">
        <f t="array" ref="AC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D7" s="539" t="str" cm="1">
        <f t="array" ref="AD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6" 20' (1)</v>
      </c>
      <c r="AE7" s="540" t="str" cm="1">
        <f t="array" ref="AE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6" 20' (2)</v>
      </c>
      <c r="AF7" s="542" t="str" cm="1">
        <f t="array" ref="AF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6" 20' (3)</v>
      </c>
      <c r="AG7" s="541" t="str" cm="1">
        <f t="array" ref="AG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H7" s="539" t="str" cm="1">
        <f t="array" ref="AH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I7" s="540" t="str" cm="1">
        <f t="array" ref="AI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J7" s="542" t="str" cm="1">
        <f t="array" ref="AJ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K7" s="541" t="str" cm="1">
        <f t="array" ref="AK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L7" s="539" t="str" cm="1">
        <f t="array" ref="AL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M7" s="540" t="str" cm="1">
        <f t="array" ref="AM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N7" s="542" t="str" cm="1">
        <f t="array" ref="AN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O7" s="541" t="str" cm="1">
        <f t="array" ref="AO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P7" s="539" t="str" cm="1">
        <f t="array" ref="AP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Q7" s="540" t="str" cm="1">
        <f t="array" ref="AQ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R7" s="542" t="str" cm="1">
        <f t="array" ref="AR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S7" s="541" t="str" cm="1">
        <f t="array" ref="AS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T7" s="539" t="str" cm="1">
        <f t="array" ref="AT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c r="AU7" s="540" t="str" cm="1">
        <f t="array" ref="AU7">_xlfn.LET(
_xlpm.c,COLUMN()-COLUMN($X$7),
_xlpm.blk,INT(_xlpm.c/2)+1,
_xlpm.above1,INDEX($X$5:$ZZ$5,1,2*_xlpm.blk-1),
_xlpm.above2,INDEX($X$6:$ZZ$6,1,2*_xlpm.blk-1),
_xlpm.open,AND(_xlpm.above1="",_xlpm.above2=""),
_xlpm.cols,_xlfn.SEQUENCE(1,_xlpm.c+1,0),
_xlpm.openCount,SUM((INDEX($X$5:$ZZ$5,1,2*INT(_xlpm.cols/2)+1)="")*(INDEX($X$6:$ZZ$6,1,2*INT(_xlpm.cols/2)+1)="")),
IF(NOT(_xlpm.open),"",
IF(_xlpm.openCount&lt;=$F$12*$L$7,
TEXT($N$7,"0.00")&amp;" ("&amp;ROUNDUP(_xlpm.openCount/$L$7,0)&amp;")",
"")))</f>
        <v/>
      </c>
    </row>
    <row r="8" spans="5:47" ht="15.75" thickBot="1">
      <c r="E8" s="358"/>
      <c r="F8" s="358"/>
      <c r="G8" s="358"/>
    </row>
    <row r="9" spans="5:47" ht="13.5" customHeight="1" thickBot="1">
      <c r="E9" s="997" t="s">
        <v>637</v>
      </c>
      <c r="F9" s="997"/>
      <c r="G9" s="997"/>
      <c r="X9" s="1306" t="s">
        <v>608</v>
      </c>
      <c r="Y9" s="1305"/>
      <c r="Z9" s="1304" t="s">
        <v>608</v>
      </c>
      <c r="AA9" s="1307"/>
      <c r="AB9" s="1306" t="s">
        <v>608</v>
      </c>
      <c r="AC9" s="1305"/>
      <c r="AD9" s="1304" t="s">
        <v>608</v>
      </c>
      <c r="AE9" s="1307"/>
      <c r="AF9" s="1306" t="s">
        <v>608</v>
      </c>
      <c r="AG9" s="1305"/>
      <c r="AH9" s="1304" t="s">
        <v>608</v>
      </c>
      <c r="AI9" s="1307"/>
      <c r="AJ9" s="1306" t="s">
        <v>608</v>
      </c>
      <c r="AK9" s="1305"/>
      <c r="AL9" s="1304" t="s">
        <v>608</v>
      </c>
      <c r="AM9" s="1307"/>
      <c r="AN9" s="1306" t="s">
        <v>608</v>
      </c>
      <c r="AO9" s="1305"/>
      <c r="AP9" s="1304" t="s">
        <v>608</v>
      </c>
      <c r="AQ9" s="1307"/>
      <c r="AR9" s="1306" t="s">
        <v>608</v>
      </c>
      <c r="AS9" s="1305"/>
      <c r="AT9" s="1304" t="s">
        <v>608</v>
      </c>
      <c r="AU9" s="1305"/>
    </row>
    <row r="10" spans="5:47" ht="30" customHeight="1" thickBot="1">
      <c r="E10" s="492" t="s">
        <v>246</v>
      </c>
      <c r="F10" s="523">
        <f>'(GW) (IW) (Full) (Combo)'!B3</f>
        <v>3</v>
      </c>
      <c r="G10" s="521" t="str">
        <f>'(GW) (IW) (Full) (Combo)'!C3</f>
        <v>Gets (3) 12" by 15' isolation wrap</v>
      </c>
      <c r="X10" s="538" t="str" cm="1">
        <f t="array" ref="X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(1)</v>
      </c>
      <c r="Y10" s="544" t="str" cm="1">
        <f t="array" ref="Y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Z10" s="538" t="str" cm="1">
        <f t="array" ref="Z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(2)</v>
      </c>
      <c r="AA10" s="543" t="str" cm="1">
        <f t="array" ref="AA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B10" s="545" t="str" cm="1">
        <f t="array" ref="AB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12" 15' (3)</v>
      </c>
      <c r="AC10" s="544" t="str" cm="1">
        <f t="array" ref="AC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&lt; Same Piece</v>
      </c>
      <c r="AD10" s="538" t="str" cm="1">
        <f t="array" ref="AD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6" 20' (1)</v>
      </c>
      <c r="AE10" s="543" t="str" cm="1">
        <f t="array" ref="AE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6" 20' (2)</v>
      </c>
      <c r="AF10" s="545" t="str" cm="1">
        <f t="array" ref="AF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6" 20' (3)</v>
      </c>
      <c r="AG10" s="544" t="str" cm="1">
        <f t="array" ref="AG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H10" s="538" t="str" cm="1">
        <f t="array" ref="AH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I10" s="543" t="str" cm="1">
        <f t="array" ref="AI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J10" s="545" t="str" cm="1">
        <f t="array" ref="AJ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K10" s="544" t="str" cm="1">
        <f t="array" ref="AK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L10" s="538" t="str" cm="1">
        <f t="array" ref="AL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M10" s="543" t="str" cm="1">
        <f t="array" ref="AM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N10" s="545" t="str" cm="1">
        <f t="array" ref="AN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O10" s="544" t="str" cm="1">
        <f t="array" ref="AO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P10" s="538" t="str" cm="1">
        <f t="array" ref="AP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Q10" s="543" t="str" cm="1">
        <f t="array" ref="AQ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R10" s="545" t="str" cm="1">
        <f t="array" ref="AR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S10" s="544" t="str" cm="1">
        <f t="array" ref="AS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T10" s="538" t="str" cm="1">
        <f t="array" ref="AT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c r="AU10" s="543" t="str" cm="1">
        <f t="array" ref="AU10">_xlfn.LET(
_xlpm.colNum,COLUMN()-COLUMN($X$10),
_xlpm.blockNum,INT(_xlpm.colNum/2)+1,
_xlpm.isSecondCell,MOD(_xlpm.colNum,2)=1,
_xlpm.rowOneMain,INDEX($X$5:$ZZ$5,1,2*_xlpm.blockNum-1),
_xlpm.rowTwoMain,INDEX($X$6:$ZZ$6,1,2*_xlpm.blockNum-1),
_xlpm.rowOne,IF(_xlpm.rowOneMain&lt;&gt;"",IF(_xlpm.isSecondCell,"&lt; Same Piece",_xlpm.rowOneMain),""),
_xlpm.rowTwo,IF(_xlpm.rowTwoMain&lt;&gt;"",IF(_xlpm.isSecondCell,"&lt; Same Piece",_xlpm.rowTwoMain),""),
_xlpm.rowThree,INDEX($X$7:$ZZ$7,1,_xlpm.colNum+1),
_xlfn.TEXTJOIN("",TRUE,_xlpm.rowOne,_xlpm.rowTwo,_xlpm.rowThree)
)</f>
        <v/>
      </c>
    </row>
    <row r="11" spans="5:47" ht="30" customHeight="1">
      <c r="E11" s="492" t="s">
        <v>253</v>
      </c>
      <c r="F11" s="523">
        <f>'(GW) (IW) (Full) (Combo)'!B4</f>
        <v>0</v>
      </c>
      <c r="G11" s="521" t="str">
        <f>'(GW) (IW) (Full) (Combo)'!C4</f>
        <v/>
      </c>
    </row>
    <row r="12" spans="5:47" ht="30" customHeight="1">
      <c r="E12" s="492" t="s">
        <v>240</v>
      </c>
      <c r="F12" s="523">
        <f>'(GW) (IW) (Full) (Combo)'!B2</f>
        <v>3</v>
      </c>
      <c r="G12" s="521" t="str">
        <f>'(GW) (IW) (Full) (Combo)'!C2</f>
        <v>Gets (3) 6" wide isolation wrap</v>
      </c>
    </row>
    <row r="14" spans="5:47" hidden="1">
      <c r="E14" s="553" t="s">
        <v>307</v>
      </c>
      <c r="F14">
        <f>SUM(F10:F12)</f>
        <v>6</v>
      </c>
    </row>
    <row r="15" spans="5:47" hidden="1"/>
    <row r="16" spans="5:47" hidden="1">
      <c r="E16" s="492" t="s">
        <v>246</v>
      </c>
      <c r="F16" s="523">
        <f>IF(F14=F10,F10,0)</f>
        <v>0</v>
      </c>
    </row>
    <row r="17" spans="5:47" hidden="1">
      <c r="E17" s="492" t="s">
        <v>253</v>
      </c>
      <c r="F17" s="523">
        <f>IF(F14=F11,F11,0)</f>
        <v>0</v>
      </c>
    </row>
    <row r="18" spans="5:47" hidden="1">
      <c r="E18" s="492" t="s">
        <v>240</v>
      </c>
      <c r="F18" s="523">
        <f>IF(F14=F12,F12,0)</f>
        <v>0</v>
      </c>
    </row>
    <row r="19" spans="5:47" hidden="1">
      <c r="E19" s="554" t="s">
        <v>638</v>
      </c>
      <c r="F19" s="523">
        <f>IF(SUM(F16:F18)=0,1,0)</f>
        <v>1</v>
      </c>
    </row>
    <row r="20" spans="5:47" hidden="1"/>
    <row r="21" spans="5:47" hidden="1"/>
    <row r="22" spans="5:47" hidden="1"/>
    <row r="23" spans="5:47" hidden="1"/>
    <row r="24" spans="5:47" hidden="1">
      <c r="E24" t="s">
        <v>639</v>
      </c>
    </row>
    <row r="25" spans="5:47" hidden="1">
      <c r="E25" s="492" t="s">
        <v>240</v>
      </c>
      <c r="F25" s="522">
        <f>F12</f>
        <v>3</v>
      </c>
    </row>
    <row r="26" spans="5:47" hidden="1">
      <c r="E26" s="492" t="s">
        <v>246</v>
      </c>
      <c r="F26" s="522">
        <f>F10</f>
        <v>3</v>
      </c>
    </row>
    <row r="27" spans="5:47" hidden="1">
      <c r="E27" s="492" t="s">
        <v>253</v>
      </c>
      <c r="F27" s="522">
        <f>F11</f>
        <v>0</v>
      </c>
    </row>
    <row r="28" spans="5:47" ht="15.75" thickBot="1"/>
    <row r="29" spans="5:47" ht="15.75" thickBot="1">
      <c r="E29" s="997" t="s">
        <v>622</v>
      </c>
      <c r="F29" s="997"/>
      <c r="G29" s="997"/>
      <c r="T29" s="997" t="s">
        <v>640</v>
      </c>
      <c r="U29" s="997"/>
      <c r="X29" s="1306" t="s">
        <v>608</v>
      </c>
      <c r="Y29" s="1303"/>
      <c r="Z29" s="1303" t="s">
        <v>608</v>
      </c>
      <c r="AA29" s="1303"/>
      <c r="AB29" s="1303" t="s">
        <v>608</v>
      </c>
      <c r="AC29" s="1303"/>
      <c r="AD29" s="1303" t="s">
        <v>608</v>
      </c>
      <c r="AE29" s="1303"/>
      <c r="AF29" s="1303" t="s">
        <v>608</v>
      </c>
      <c r="AG29" s="1303"/>
      <c r="AH29" s="1303" t="s">
        <v>608</v>
      </c>
      <c r="AI29" s="1303"/>
      <c r="AJ29" s="1303" t="s">
        <v>608</v>
      </c>
      <c r="AK29" s="1303"/>
      <c r="AL29" s="1303" t="s">
        <v>608</v>
      </c>
      <c r="AM29" s="1303"/>
      <c r="AN29" s="1303" t="s">
        <v>608</v>
      </c>
      <c r="AO29" s="1303"/>
      <c r="AP29" s="1303" t="s">
        <v>608</v>
      </c>
      <c r="AQ29" s="1303"/>
      <c r="AR29" s="1303" t="s">
        <v>608</v>
      </c>
      <c r="AS29" s="1303"/>
      <c r="AT29" s="1303" t="s">
        <v>608</v>
      </c>
      <c r="AU29" s="1305"/>
    </row>
    <row r="30" spans="5:47" ht="30" customHeight="1">
      <c r="E30" s="492" t="s">
        <v>240</v>
      </c>
      <c r="F30" s="522" t="str">
        <f>IFERROR('(GW) (IW) (Full) (Combo)'!B7,0)</f>
        <v xml:space="preserve">Each one gets cut into (4) equal pieces that are (21) ft long </v>
      </c>
      <c r="G30" s="521" t="str">
        <f>IFERROR('(GW) (IW) (Full) (Combo)'!C7,"")</f>
        <v xml:space="preserve">Each one gets cut into (0) equal pieces that are (21) ft long </v>
      </c>
      <c r="I30" s="508" t="s">
        <v>596</v>
      </c>
      <c r="J30" s="509" t="s">
        <v>597</v>
      </c>
      <c r="K30" s="509" t="s">
        <v>598</v>
      </c>
      <c r="L30" s="509" t="s">
        <v>599</v>
      </c>
      <c r="M30" s="510"/>
      <c r="N30" s="513" t="s">
        <v>601</v>
      </c>
      <c r="P30" s="508" t="s">
        <v>597</v>
      </c>
      <c r="Q30" s="509" t="s">
        <v>596</v>
      </c>
      <c r="R30" s="510"/>
      <c r="T30" s="491">
        <f>N32</f>
        <v>6.2</v>
      </c>
      <c r="U30" s="504">
        <f>IFERROR('(GW) (IW) (Full) (Combo)'!AZ44,0)</f>
        <v>0</v>
      </c>
      <c r="X30" s="548" t="e">
        <f t="shared" ref="X30:AU30" si="0">IF(COLUMN()-COLUMN($X$30)+1&lt;=$J$32*$K$32,
TEXT($N$32,"0.00")&amp;" ("&amp;ROUNDUP((COLUMN()-COLUMN($X$30)+1)/$K$32,0)&amp;")",
"")</f>
        <v>#VALUE!</v>
      </c>
      <c r="Y30" s="549" t="e">
        <f t="shared" si="0"/>
        <v>#VALUE!</v>
      </c>
      <c r="Z30" s="547" t="e">
        <f t="shared" si="0"/>
        <v>#VALUE!</v>
      </c>
      <c r="AA30" s="550" t="e">
        <f t="shared" si="0"/>
        <v>#VALUE!</v>
      </c>
      <c r="AB30" s="548" t="e">
        <f t="shared" si="0"/>
        <v>#VALUE!</v>
      </c>
      <c r="AC30" s="549" t="e">
        <f t="shared" si="0"/>
        <v>#VALUE!</v>
      </c>
      <c r="AD30" s="547" t="e">
        <f t="shared" si="0"/>
        <v>#VALUE!</v>
      </c>
      <c r="AE30" s="550" t="e">
        <f t="shared" si="0"/>
        <v>#VALUE!</v>
      </c>
      <c r="AF30" s="548" t="e">
        <f t="shared" si="0"/>
        <v>#VALUE!</v>
      </c>
      <c r="AG30" s="549" t="e">
        <f t="shared" si="0"/>
        <v>#VALUE!</v>
      </c>
      <c r="AH30" s="547" t="e">
        <f t="shared" si="0"/>
        <v>#VALUE!</v>
      </c>
      <c r="AI30" s="550" t="e">
        <f t="shared" si="0"/>
        <v>#VALUE!</v>
      </c>
      <c r="AJ30" s="548" t="e">
        <f t="shared" si="0"/>
        <v>#VALUE!</v>
      </c>
      <c r="AK30" s="549" t="e">
        <f t="shared" si="0"/>
        <v>#VALUE!</v>
      </c>
      <c r="AL30" s="547" t="e">
        <f t="shared" si="0"/>
        <v>#VALUE!</v>
      </c>
      <c r="AM30" s="550" t="e">
        <f t="shared" si="0"/>
        <v>#VALUE!</v>
      </c>
      <c r="AN30" s="548" t="e">
        <f t="shared" si="0"/>
        <v>#VALUE!</v>
      </c>
      <c r="AO30" s="549" t="e">
        <f t="shared" si="0"/>
        <v>#VALUE!</v>
      </c>
      <c r="AP30" s="547" t="e">
        <f t="shared" si="0"/>
        <v>#VALUE!</v>
      </c>
      <c r="AQ30" s="550" t="e">
        <f t="shared" si="0"/>
        <v>#VALUE!</v>
      </c>
      <c r="AR30" s="548" t="e">
        <f t="shared" si="0"/>
        <v>#VALUE!</v>
      </c>
      <c r="AS30" s="549" t="e">
        <f t="shared" si="0"/>
        <v>#VALUE!</v>
      </c>
      <c r="AT30" s="547" t="e">
        <f t="shared" si="0"/>
        <v>#VALUE!</v>
      </c>
      <c r="AU30" s="546" t="e">
        <f t="shared" si="0"/>
        <v>#VALUE!</v>
      </c>
    </row>
    <row r="31" spans="5:47" ht="30" customHeight="1">
      <c r="E31" s="492" t="s">
        <v>246</v>
      </c>
      <c r="F31" s="522" t="str">
        <f>IFERROR('(GW) (IW) (Full) (Combo)'!B8,0)</f>
        <v>Each one gets cut into (2) equal pieces that are (21) ft long</v>
      </c>
      <c r="G31" s="521" t="str">
        <f>IFERROR('(GW) (IW) (Full) (Combo)'!C8,"")</f>
        <v>Each one gets cut into () equal pieces that are (21) ft long</v>
      </c>
      <c r="I31" s="496"/>
      <c r="N31" s="497"/>
      <c r="P31" s="496"/>
      <c r="T31" s="491">
        <f>N34</f>
        <v>12.15</v>
      </c>
      <c r="U31" s="504">
        <f>IFERROR('(GW) (IW) (Full) (Combo)'!AZ46,0)</f>
        <v>0</v>
      </c>
      <c r="X31" s="1315" t="e">
        <f>IF(COLUMN()-COLUMN($X$31)+1&lt;=$J$34*$K$34*2,
TEXT($N$34,"0.00")&amp;" ("&amp;ROUNDUP((COLUMN()-COLUMN($X$31)+1)/($K$34*2),0)&amp;")",
"")</f>
        <v>#VALUE!</v>
      </c>
      <c r="Y31" s="1316"/>
      <c r="Z31" s="991" t="e">
        <f>IF(COLUMN()-COLUMN($X$31)+1&lt;=$J$34*$K$34*2,
TEXT($N$34,"0.00")&amp;" ("&amp;ROUNDUP((COLUMN()-COLUMN($X$31)+1)/($K$34*2),0)&amp;")",
"")</f>
        <v>#VALUE!</v>
      </c>
      <c r="AA31" s="991"/>
      <c r="AB31" s="1315" t="e">
        <f>IF(COLUMN()-COLUMN($X$31)+1&lt;=$J$34*$K$34*2,
TEXT($N$34,"0.00")&amp;" ("&amp;ROUNDUP((COLUMN()-COLUMN($X$31)+1)/($K$34*2),0)&amp;")",
"")</f>
        <v>#VALUE!</v>
      </c>
      <c r="AC31" s="1316"/>
      <c r="AD31" s="991" t="e">
        <f>IF(COLUMN()-COLUMN($X$31)+1&lt;=$J$34*$K$34*2,
TEXT($N$34,"0.00")&amp;" ("&amp;ROUNDUP((COLUMN()-COLUMN($X$31)+1)/($K$34*2),0)&amp;")",
"")</f>
        <v>#VALUE!</v>
      </c>
      <c r="AE31" s="991"/>
      <c r="AF31" s="1315" t="e">
        <f>IF(COLUMN()-COLUMN($X$31)+1&lt;=$J$34*$K$34*2,
TEXT($N$34,"0.00")&amp;" ("&amp;ROUNDUP((COLUMN()-COLUMN($X$31)+1)/($K$34*2),0)&amp;")",
"")</f>
        <v>#VALUE!</v>
      </c>
      <c r="AG31" s="1316"/>
      <c r="AH31" s="991" t="e">
        <f>IF(COLUMN()-COLUMN($X$31)+1&lt;=$J$34*$K$34*2,
TEXT($N$34,"0.00")&amp;" ("&amp;ROUNDUP((COLUMN()-COLUMN($X$31)+1)/($K$34*2),0)&amp;")",
"")</f>
        <v>#VALUE!</v>
      </c>
      <c r="AI31" s="991"/>
      <c r="AJ31" s="1315" t="e">
        <f>IF(COLUMN()-COLUMN($X$31)+1&lt;=$J$34*$K$34*2,
TEXT($N$34,"0.00")&amp;" ("&amp;ROUNDUP((COLUMN()-COLUMN($X$31)+1)/($K$34*2),0)&amp;")",
"")</f>
        <v>#VALUE!</v>
      </c>
      <c r="AK31" s="1316"/>
      <c r="AL31" s="991" t="e">
        <f>IF(COLUMN()-COLUMN($X$31)+1&lt;=$J$34*$K$34*2,
TEXT($N$34,"0.00")&amp;" ("&amp;ROUNDUP((COLUMN()-COLUMN($X$31)+1)/($K$34*2),0)&amp;")",
"")</f>
        <v>#VALUE!</v>
      </c>
      <c r="AM31" s="991"/>
      <c r="AN31" s="1315" t="e">
        <f>IF(COLUMN()-COLUMN($X$31)+1&lt;=$J$34*$K$34*2,
TEXT($N$34,"0.00")&amp;" ("&amp;ROUNDUP((COLUMN()-COLUMN($X$31)+1)/($K$34*2),0)&amp;")",
"")</f>
        <v>#VALUE!</v>
      </c>
      <c r="AO31" s="1316"/>
      <c r="AP31" s="991" t="e">
        <f>IF(COLUMN()-COLUMN($X$31)+1&lt;=$J$34*$K$34*2,
TEXT($N$34,"0.00")&amp;" ("&amp;ROUNDUP((COLUMN()-COLUMN($X$31)+1)/($K$34*2),0)&amp;")",
"")</f>
        <v>#VALUE!</v>
      </c>
      <c r="AQ31" s="991"/>
      <c r="AR31" s="1315" t="e">
        <f>IF(COLUMN()-COLUMN($X$31)+1&lt;=$J$34*$K$34*2,
TEXT($N$34,"0.00")&amp;" ("&amp;ROUNDUP((COLUMN()-COLUMN($X$31)+1)/($K$34*2),0)&amp;")",
"")</f>
        <v>#VALUE!</v>
      </c>
      <c r="AS31" s="1316"/>
      <c r="AT31" s="991" t="e">
        <f>IF(COLUMN()-COLUMN($X$31)+1&lt;=$J$34*$K$34*2,
TEXT($N$34,"0.00")&amp;" ("&amp;ROUNDUP((COLUMN()-COLUMN($X$31)+1)/($K$34*2),0)&amp;")",
"")</f>
        <v>#VALUE!</v>
      </c>
      <c r="AU31" s="1317"/>
    </row>
    <row r="32" spans="5:47" ht="30" customHeight="1" thickBot="1">
      <c r="E32" s="492" t="s">
        <v>253</v>
      </c>
      <c r="F32" s="522" t="str">
        <f>IFERROR('(GW) (IW) (Full) (Combo)'!B9,0)</f>
        <v>Each one gets cut into (1) equal pieces that are (21) ft long</v>
      </c>
      <c r="G32" s="521" t="str">
        <f>IFERROR('(GW) (IW) (Full) (Combo)'!C9,"")</f>
        <v>Each one gets cut into () equal pieces that are (21) ft long</v>
      </c>
      <c r="I32" s="768">
        <v>6.2</v>
      </c>
      <c r="J32" s="765" t="str">
        <f>IFERROR('(GW) (IW) (Full) (Combo)'!BL44,0)</f>
        <v>6" 20'</v>
      </c>
      <c r="K32" s="766" t="str">
        <f>'(GW) (IW) (Full) (Combo)'!BM44</f>
        <v>6" 21'</v>
      </c>
      <c r="L32" s="765">
        <f>IFERROR('(GW) (IW) (Full) (Combo)'!BN44,0)</f>
        <v>0</v>
      </c>
      <c r="N32" s="514">
        <f>'(GW) (IW) (Full) (Combo)'!BP44</f>
        <v>6.2</v>
      </c>
      <c r="P32" s="769" t="str">
        <f>IFERROR('(GW) (IW) (Full) (Combo)'!BT44,0)</f>
        <v>6" 21' (3)</v>
      </c>
      <c r="Q32" s="770">
        <v>6.2</v>
      </c>
      <c r="T32" s="491">
        <f>N36</f>
        <v>12.3</v>
      </c>
      <c r="U32" s="504">
        <f>IFERROR('(GW) (IW) (Full) (Combo)'!AZ48,0)</f>
        <v>0</v>
      </c>
      <c r="X32" s="1311" t="e">
        <f>IF(COLUMN()-COLUMN($X$32)+1&lt;=$J$36*$K$36*2,
TEXT($N$36,"0.00")&amp;" ("&amp;ROUNDUP((COLUMN()-COLUMN($X$32)+1)/($K$36*2),0)&amp;")",
"")</f>
        <v>#VALUE!</v>
      </c>
      <c r="Y32" s="1312"/>
      <c r="Z32" s="1313" t="e">
        <f>IF(COLUMN()-COLUMN($X$32)+1&lt;=$J$36*$K$36*2,
TEXT($N$36,"0.00")&amp;" ("&amp;ROUNDUP((COLUMN()-COLUMN($X$32)+1)/($K$36*2),0)&amp;")",
"")</f>
        <v>#VALUE!</v>
      </c>
      <c r="AA32" s="1313"/>
      <c r="AB32" s="1311" t="e">
        <f>IF(COLUMN()-COLUMN($X$32)+1&lt;=$J$36*$K$36*2,
TEXT($N$36,"0.00")&amp;" ("&amp;ROUNDUP((COLUMN()-COLUMN($X$32)+1)/($K$36*2),0)&amp;")",
"")</f>
        <v>#VALUE!</v>
      </c>
      <c r="AC32" s="1312"/>
      <c r="AD32" s="1313" t="e">
        <f>IF(COLUMN()-COLUMN($X$32)+1&lt;=$J$36*$K$36*2,
TEXT($N$36,"0.00")&amp;" ("&amp;ROUNDUP((COLUMN()-COLUMN($X$32)+1)/($K$36*2),0)&amp;")",
"")</f>
        <v>#VALUE!</v>
      </c>
      <c r="AE32" s="1313"/>
      <c r="AF32" s="1311" t="e">
        <f>IF(COLUMN()-COLUMN($X$32)+1&lt;=$J$36*$K$36*2,
TEXT($N$36,"0.00")&amp;" ("&amp;ROUNDUP((COLUMN()-COLUMN($X$32)+1)/($K$36*2),0)&amp;")",
"")</f>
        <v>#VALUE!</v>
      </c>
      <c r="AG32" s="1312"/>
      <c r="AH32" s="1313" t="e">
        <f>IF(COLUMN()-COLUMN($X$32)+1&lt;=$J$36*$K$36*2,
TEXT($N$36,"0.00")&amp;" ("&amp;ROUNDUP((COLUMN()-COLUMN($X$32)+1)/($K$36*2),0)&amp;")",
"")</f>
        <v>#VALUE!</v>
      </c>
      <c r="AI32" s="1313"/>
      <c r="AJ32" s="1311" t="e">
        <f>IF(COLUMN()-COLUMN($X$32)+1&lt;=$J$36*$K$36*2,
TEXT($N$36,"0.00")&amp;" ("&amp;ROUNDUP((COLUMN()-COLUMN($X$32)+1)/($K$36*2),0)&amp;")",
"")</f>
        <v>#VALUE!</v>
      </c>
      <c r="AK32" s="1312"/>
      <c r="AL32" s="1313" t="e">
        <f>IF(COLUMN()-COLUMN($X$32)+1&lt;=$J$36*$K$36*2,
TEXT($N$36,"0.00")&amp;" ("&amp;ROUNDUP((COLUMN()-COLUMN($X$32)+1)/($K$36*2),0)&amp;")",
"")</f>
        <v>#VALUE!</v>
      </c>
      <c r="AM32" s="1313"/>
      <c r="AN32" s="1311" t="e">
        <f>IF(COLUMN()-COLUMN($X$32)+1&lt;=$J$36*$K$36*2,
TEXT($N$36,"0.00")&amp;" ("&amp;ROUNDUP((COLUMN()-COLUMN($X$32)+1)/($K$36*2),0)&amp;")",
"")</f>
        <v>#VALUE!</v>
      </c>
      <c r="AO32" s="1312"/>
      <c r="AP32" s="1313" t="e">
        <f>IF(COLUMN()-COLUMN($X$32)+1&lt;=$J$36*$K$36*2,
TEXT($N$36,"0.00")&amp;" ("&amp;ROUNDUP((COLUMN()-COLUMN($X$32)+1)/($K$36*2),0)&amp;")",
"")</f>
        <v>#VALUE!</v>
      </c>
      <c r="AQ32" s="1313"/>
      <c r="AR32" s="1311" t="e">
        <f>IF(COLUMN()-COLUMN($X$32)+1&lt;=$J$36*$K$36*2,
TEXT($N$36,"0.00")&amp;" ("&amp;ROUNDUP((COLUMN()-COLUMN($X$32)+1)/($K$36*2),0)&amp;")",
"")</f>
        <v>#VALUE!</v>
      </c>
      <c r="AS32" s="1312"/>
      <c r="AT32" s="1313" t="e">
        <f>IF(COLUMN()-COLUMN($X$32)+1&lt;=$J$36*$K$36*2,
TEXT($N$36,"0.00")&amp;" ("&amp;ROUNDUP((COLUMN()-COLUMN($X$32)+1)/($K$36*2),0)&amp;")",
"")</f>
        <v>#VALUE!</v>
      </c>
      <c r="AU32" s="1314"/>
    </row>
    <row r="33" spans="5:18">
      <c r="I33" s="628"/>
      <c r="J33" s="629"/>
      <c r="K33" s="629"/>
      <c r="L33" s="629"/>
      <c r="N33" s="515"/>
      <c r="P33" s="630"/>
      <c r="Q33" s="631"/>
    </row>
    <row r="34" spans="5:18" hidden="1">
      <c r="I34" s="768">
        <v>12.15</v>
      </c>
      <c r="J34" s="765" t="str">
        <f>IFERROR('(GW) (IW) (Full) (Combo)'!BL46,0)</f>
        <v>12" 15'</v>
      </c>
      <c r="K34" s="766" t="str">
        <f>'(GW) (IW) (Full) (Combo)'!BM46</f>
        <v>12" 21'</v>
      </c>
      <c r="L34" s="765">
        <f>IFERROR('(GW) (IW) (Full) (Combo)'!BN46,0)</f>
        <v>0</v>
      </c>
      <c r="N34" s="514">
        <f>'(GW) (IW) (Full) (Combo)'!BP46</f>
        <v>12.15</v>
      </c>
      <c r="P34" s="769" t="str">
        <f>IFERROR('(GW) (IW) (Full) (Combo)'!BT46,0)</f>
        <v>12" 21' (2)</v>
      </c>
      <c r="Q34" s="770">
        <v>12.15</v>
      </c>
    </row>
    <row r="35" spans="5:18" hidden="1">
      <c r="I35" s="628"/>
      <c r="J35" s="629"/>
      <c r="K35" s="629"/>
      <c r="L35" s="629"/>
      <c r="N35" s="515"/>
      <c r="P35" s="630"/>
      <c r="Q35" s="631"/>
    </row>
    <row r="36" spans="5:18" ht="15.75" hidden="1" thickBot="1">
      <c r="E36" s="551" t="s">
        <v>641</v>
      </c>
      <c r="F36" s="552">
        <f>IF(OR(AND(F10&gt;0,F12&gt;0),AND(F11&gt;0,F12&gt;0)),1,0)</f>
        <v>1</v>
      </c>
      <c r="I36" s="771">
        <v>12.15</v>
      </c>
      <c r="J36" s="772" t="str">
        <f>IFERROR('(GW) (IW) (Full) (Combo)'!BL48,0)</f>
        <v>12" 30'</v>
      </c>
      <c r="K36" s="767" t="str">
        <f>'(GW) (IW) (Full) (Combo)'!BM48</f>
        <v>12" 21'</v>
      </c>
      <c r="L36" s="772">
        <f>IFERROR('(GW) (IW) (Full) (Combo)'!BN48,0)</f>
        <v>0</v>
      </c>
      <c r="M36" s="512"/>
      <c r="N36" s="516">
        <f>'(GW) (IW) (Full) (Combo)'!BP48</f>
        <v>12.3</v>
      </c>
      <c r="P36" s="773" t="str">
        <f>IFERROR('(GW) (IW) (Full) (Combo)'!BT48,0)</f>
        <v>12" 21' (2)</v>
      </c>
      <c r="Q36" s="774">
        <v>12.15</v>
      </c>
      <c r="R36" s="512"/>
    </row>
    <row r="37" spans="5:18" hidden="1">
      <c r="G37" s="268" t="s">
        <v>642</v>
      </c>
    </row>
    <row r="38" spans="5:18" hidden="1">
      <c r="E38" s="492" t="s">
        <v>240</v>
      </c>
      <c r="F38" s="522" cm="1">
        <f t="array" ref="F38">IF(F30=F12,F30,MIN(_xlfn._xlws.FILTER(CHOOSE({1,2},F12,F30),CHOOSE({1,2},F12,F30)&lt;&gt;0)))</f>
        <v>3</v>
      </c>
      <c r="G38">
        <f>IF(F38=F30,1,0)</f>
        <v>0</v>
      </c>
    </row>
    <row r="39" spans="5:18" hidden="1">
      <c r="E39" s="492" t="s">
        <v>246</v>
      </c>
      <c r="F39" s="522" cm="1">
        <f t="array" ref="F39">IF(F31=F10,F31,MIN(_xlfn._xlws.FILTER(CHOOSE({1,2},F10,F31),CHOOSE({1,2},F10,F31)&lt;&gt;0)))</f>
        <v>3</v>
      </c>
      <c r="G39">
        <f>IF(F39=F31,1,0)</f>
        <v>0</v>
      </c>
    </row>
    <row r="40" spans="5:18" hidden="1">
      <c r="E40" s="492" t="s">
        <v>253</v>
      </c>
      <c r="F40" s="522" cm="1">
        <f t="array" ref="F40">IF(F32=F11,F32,MIN(_xlfn._xlws.FILTER(CHOOSE({1,2},F11,F32),CHOOSE({1,2},F11,F32)&lt;&gt;0)))</f>
        <v>0</v>
      </c>
      <c r="G40">
        <f>IF(F40=F32,1,0)</f>
        <v>0</v>
      </c>
    </row>
    <row r="41" spans="5:18" hidden="1"/>
    <row r="42" spans="5:18" hidden="1">
      <c r="E42" s="553" t="s">
        <v>401</v>
      </c>
      <c r="F42" s="451" cm="1">
        <f t="array" ref="F42">MIN(_xlfn._xlws.FILTER(CHOOSE({1,2,3},F38,F39,F40),CHOOSE({1,2,3},F38,F39,F40)&lt;&gt;0))</f>
        <v>3</v>
      </c>
    </row>
    <row r="43" spans="5:18" hidden="1"/>
    <row r="44" spans="5:18" hidden="1"/>
    <row r="45" spans="5:18" hidden="1"/>
    <row r="46" spans="5:18">
      <c r="E46" s="1221" t="s">
        <v>518</v>
      </c>
      <c r="F46" s="1221"/>
      <c r="G46" s="1221"/>
    </row>
    <row r="47" spans="5:18" ht="30" customHeight="1">
      <c r="E47" s="555" t="s">
        <v>240</v>
      </c>
      <c r="F47" s="556">
        <f>IF(F42=F38,IF(G38=1,F38,0),0)</f>
        <v>0</v>
      </c>
      <c r="G47" s="291" t="str">
        <f>IF(F47&gt;0,IF(G38=1,G30,G12),"")</f>
        <v/>
      </c>
      <c r="M47">
        <f>'(GW) (IW) (Full) (Combo)'!BQ51</f>
        <v>0</v>
      </c>
    </row>
    <row r="48" spans="5:18" ht="30" customHeight="1">
      <c r="E48" s="492" t="s">
        <v>246</v>
      </c>
      <c r="F48" s="557">
        <f>IF(F42=F39,IF(G39=1,F39,0),0)</f>
        <v>0</v>
      </c>
      <c r="G48" s="291" t="str">
        <f>IF(F48&gt;0,IF(G39=1,G31,G10),"")</f>
        <v/>
      </c>
    </row>
    <row r="49" spans="5:7">
      <c r="E49" s="492" t="s">
        <v>253</v>
      </c>
      <c r="F49" s="557">
        <f>IF(F42=F40,IF(G40=1,F40,0),0)</f>
        <v>0</v>
      </c>
      <c r="G49" s="291" t="str">
        <f>IF(F49&gt;0,IF(G40=1,G32,G11),"")</f>
        <v/>
      </c>
    </row>
  </sheetData>
  <mergeCells count="88">
    <mergeCell ref="AP32:AQ32"/>
    <mergeCell ref="AR32:AS32"/>
    <mergeCell ref="AT32:AU32"/>
    <mergeCell ref="E46:G46"/>
    <mergeCell ref="AT31:AU31"/>
    <mergeCell ref="X32:Y32"/>
    <mergeCell ref="Z32:AA32"/>
    <mergeCell ref="AB32:AC32"/>
    <mergeCell ref="AD32:AE32"/>
    <mergeCell ref="AF32:AG32"/>
    <mergeCell ref="AH32:AI32"/>
    <mergeCell ref="AJ32:AK32"/>
    <mergeCell ref="AL32:AM32"/>
    <mergeCell ref="AN32:AO32"/>
    <mergeCell ref="AH31:AI31"/>
    <mergeCell ref="AJ31:AK31"/>
    <mergeCell ref="AT29:AU29"/>
    <mergeCell ref="X31:Y31"/>
    <mergeCell ref="Z31:AA31"/>
    <mergeCell ref="AB31:AC31"/>
    <mergeCell ref="AD31:AE31"/>
    <mergeCell ref="AF31:AG31"/>
    <mergeCell ref="AL31:AM31"/>
    <mergeCell ref="AN31:AO31"/>
    <mergeCell ref="AP31:AQ31"/>
    <mergeCell ref="AR31:AS31"/>
    <mergeCell ref="AL29:AM29"/>
    <mergeCell ref="AN29:AO29"/>
    <mergeCell ref="AP29:AQ29"/>
    <mergeCell ref="AR29:AS29"/>
    <mergeCell ref="AT9:AU9"/>
    <mergeCell ref="E29:G29"/>
    <mergeCell ref="T29:U29"/>
    <mergeCell ref="X29:Y29"/>
    <mergeCell ref="Z29:AA29"/>
    <mergeCell ref="AB29:AC29"/>
    <mergeCell ref="AD29:AE29"/>
    <mergeCell ref="AF29:AG29"/>
    <mergeCell ref="AH29:AI29"/>
    <mergeCell ref="AJ29:AK29"/>
    <mergeCell ref="AH9:AI9"/>
    <mergeCell ref="AJ9:AK9"/>
    <mergeCell ref="AL9:AM9"/>
    <mergeCell ref="AN9:AO9"/>
    <mergeCell ref="AP9:AQ9"/>
    <mergeCell ref="AR9:AS9"/>
    <mergeCell ref="E9:G9"/>
    <mergeCell ref="X9:Y9"/>
    <mergeCell ref="Z9:AA9"/>
    <mergeCell ref="AB9:AC9"/>
    <mergeCell ref="AD9:AE9"/>
    <mergeCell ref="AF9:AG9"/>
    <mergeCell ref="AJ6:AK6"/>
    <mergeCell ref="AL6:AM6"/>
    <mergeCell ref="AN6:AO6"/>
    <mergeCell ref="AP6:AQ6"/>
    <mergeCell ref="AR6:AS6"/>
    <mergeCell ref="AT6:AU6"/>
    <mergeCell ref="X6:Y6"/>
    <mergeCell ref="Z6:AA6"/>
    <mergeCell ref="AB6:AC6"/>
    <mergeCell ref="AD6:AE6"/>
    <mergeCell ref="AF6:AG6"/>
    <mergeCell ref="AH6:AI6"/>
    <mergeCell ref="AT5:AU5"/>
    <mergeCell ref="X5:Y5"/>
    <mergeCell ref="Z5:AA5"/>
    <mergeCell ref="AB5:AC5"/>
    <mergeCell ref="AD5:AE5"/>
    <mergeCell ref="AF5:AG5"/>
    <mergeCell ref="AH5:AI5"/>
    <mergeCell ref="AJ5:AK5"/>
    <mergeCell ref="AL5:AM5"/>
    <mergeCell ref="AN5:AO5"/>
    <mergeCell ref="AP5:AQ5"/>
    <mergeCell ref="AR5:AS5"/>
    <mergeCell ref="AT4:AU4"/>
    <mergeCell ref="X4:Y4"/>
    <mergeCell ref="Z4:AA4"/>
    <mergeCell ref="AB4:AC4"/>
    <mergeCell ref="AD4:AE4"/>
    <mergeCell ref="AF4:AG4"/>
    <mergeCell ref="AH4:AI4"/>
    <mergeCell ref="AJ4:AK4"/>
    <mergeCell ref="AL4:AM4"/>
    <mergeCell ref="AN4:AO4"/>
    <mergeCell ref="AP4:AQ4"/>
    <mergeCell ref="AR4:AS4"/>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4D47D-1F5E-4CEE-84F7-A83E70431D00}">
  <sheetPr>
    <tabColor theme="4" tint="0.59999389629810485"/>
  </sheetPr>
  <dimension ref="C1:FW37"/>
  <sheetViews>
    <sheetView topLeftCell="C1" workbookViewId="0">
      <selection activeCell="G21" sqref="G21"/>
    </sheetView>
  </sheetViews>
  <sheetFormatPr defaultRowHeight="15"/>
  <cols>
    <col min="3" max="3" width="41.42578125" customWidth="1"/>
    <col min="8" max="8" width="40.7109375" customWidth="1"/>
    <col min="10" max="10" width="25.85546875" bestFit="1" customWidth="1"/>
    <col min="12" max="12" width="12.42578125" customWidth="1"/>
    <col min="13" max="13" width="26.140625" customWidth="1"/>
    <col min="15" max="15" width="15.140625" customWidth="1"/>
    <col min="16" max="16" width="9.28515625" customWidth="1"/>
    <col min="17" max="17" width="15.140625" customWidth="1"/>
    <col min="171" max="171" width="17" bestFit="1" customWidth="1"/>
    <col min="172" max="172" width="11" customWidth="1"/>
    <col min="175" max="175" width="17" bestFit="1" customWidth="1"/>
  </cols>
  <sheetData>
    <row r="1" spans="3:179" ht="15.75" thickBot="1">
      <c r="C1" s="528"/>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c r="DR1" s="210"/>
      <c r="DS1" s="210"/>
      <c r="DT1" s="210"/>
      <c r="DU1" s="210"/>
      <c r="DV1" s="210"/>
      <c r="DW1" s="210"/>
      <c r="DX1" s="210"/>
      <c r="DY1" s="210"/>
      <c r="DZ1" s="210"/>
      <c r="EA1" s="210"/>
      <c r="EB1" s="210"/>
      <c r="EC1" s="210"/>
      <c r="ED1" s="210"/>
      <c r="EE1" s="210"/>
      <c r="EF1" s="210"/>
      <c r="EG1" s="210"/>
      <c r="EH1" s="210"/>
      <c r="EI1" s="210"/>
      <c r="EJ1" s="210"/>
      <c r="EK1" s="210"/>
      <c r="EL1" s="210"/>
      <c r="EM1" s="210"/>
      <c r="EN1" s="210"/>
      <c r="EO1" s="210"/>
      <c r="EP1" s="210"/>
      <c r="EQ1" s="210"/>
      <c r="ER1" s="210"/>
      <c r="ES1" s="210"/>
      <c r="ET1" s="210"/>
      <c r="EU1" s="211"/>
      <c r="EV1" s="210"/>
      <c r="EW1" s="210"/>
      <c r="EX1" s="210"/>
      <c r="EY1" s="210"/>
      <c r="EZ1" s="210"/>
      <c r="FA1" s="210"/>
      <c r="FB1" s="210"/>
      <c r="FC1" s="210"/>
      <c r="FD1" s="210"/>
      <c r="FE1" s="210"/>
      <c r="FF1" s="210"/>
      <c r="FG1" s="210"/>
      <c r="FH1" s="210"/>
      <c r="FI1" s="210"/>
      <c r="FJ1" s="210"/>
      <c r="FK1" s="210"/>
      <c r="FL1" s="210"/>
      <c r="FM1" s="211"/>
      <c r="FN1" s="528"/>
      <c r="FO1" s="210"/>
      <c r="FP1" s="210"/>
      <c r="FQ1" s="210"/>
      <c r="FR1" s="210"/>
      <c r="FS1" s="210"/>
      <c r="FT1" s="210"/>
      <c r="FU1" s="210"/>
      <c r="FV1" s="210"/>
      <c r="FW1" s="211"/>
    </row>
    <row r="2" spans="3:179" ht="15.75" thickBot="1">
      <c r="C2" s="1424" t="s">
        <v>1331</v>
      </c>
      <c r="D2" s="1381"/>
      <c r="E2" s="1284"/>
      <c r="F2" s="268"/>
      <c r="EU2" s="47"/>
      <c r="FM2" s="47"/>
      <c r="FN2" s="532"/>
      <c r="FW2" s="47"/>
    </row>
    <row r="3" spans="3:179">
      <c r="C3" s="532"/>
      <c r="EU3" s="47"/>
      <c r="FM3" s="47"/>
      <c r="FN3" s="532"/>
      <c r="FW3" s="47"/>
    </row>
    <row r="4" spans="3:179">
      <c r="C4" s="661" t="s">
        <v>549</v>
      </c>
      <c r="D4" s="482">
        <f>'Girth Weld Calc (GW)'!B2</f>
        <v>1</v>
      </c>
      <c r="E4" t="s">
        <v>75</v>
      </c>
      <c r="G4" s="695"/>
      <c r="EU4" s="47"/>
      <c r="FM4" s="47"/>
      <c r="FN4" s="532"/>
      <c r="FW4" s="47"/>
    </row>
    <row r="5" spans="3:179">
      <c r="C5" s="661"/>
      <c r="D5" s="358">
        <f>MAX('Girth Weld Calc (GW)'!AA9,'Girth Weld Calc (GW)'!AA12,'Girth Weld Calc (GW)'!AA15)</f>
        <v>3.0833333333333335</v>
      </c>
      <c r="EU5" s="47"/>
      <c r="FM5" s="47"/>
      <c r="FN5" s="532"/>
      <c r="FW5" s="47"/>
    </row>
    <row r="6" spans="3:179">
      <c r="C6" s="661" t="s">
        <v>555</v>
      </c>
      <c r="D6" s="591">
        <f>ROUNDUP(D5,0)</f>
        <v>4</v>
      </c>
      <c r="E6" s="358" t="s">
        <v>75</v>
      </c>
      <c r="F6" s="358">
        <f>ROUNDUP(D5,0)</f>
        <v>4</v>
      </c>
      <c r="EU6" s="47"/>
      <c r="FM6" s="47"/>
      <c r="FN6" s="532"/>
      <c r="FW6" s="47"/>
    </row>
    <row r="7" spans="3:179">
      <c r="C7" s="661" t="s">
        <v>557</v>
      </c>
      <c r="D7" s="490">
        <f>D6*D8*D4</f>
        <v>12</v>
      </c>
      <c r="E7" t="s">
        <v>75</v>
      </c>
      <c r="EU7" s="47"/>
      <c r="FM7" s="47"/>
      <c r="FN7" s="532"/>
      <c r="FW7" s="47"/>
    </row>
    <row r="8" spans="3:179" ht="15.75" thickBot="1">
      <c r="C8" s="532" t="s">
        <v>559</v>
      </c>
      <c r="D8" s="657">
        <v>3</v>
      </c>
      <c r="EU8" s="47"/>
      <c r="FM8" s="47"/>
      <c r="FN8" s="532"/>
      <c r="FW8" s="47"/>
    </row>
    <row r="9" spans="3:179" ht="15.75" thickBot="1">
      <c r="C9" s="532" t="s">
        <v>560</v>
      </c>
      <c r="D9" s="490">
        <f>(BC18*BD18)-D7</f>
        <v>3</v>
      </c>
      <c r="E9" t="s">
        <v>75</v>
      </c>
      <c r="AV9" s="592"/>
      <c r="AY9" s="1230" t="s">
        <v>561</v>
      </c>
      <c r="AZ9" s="1231"/>
      <c r="BA9" s="1231"/>
      <c r="BB9" s="1231"/>
      <c r="BC9" s="1231"/>
      <c r="BD9" s="1232"/>
      <c r="BE9" s="268"/>
      <c r="BF9" s="268"/>
      <c r="BG9" s="268"/>
      <c r="BH9" s="268"/>
      <c r="BI9" s="268"/>
      <c r="BJ9" s="268"/>
      <c r="BK9" s="268"/>
      <c r="BL9" s="268"/>
      <c r="BN9" s="1230" t="s">
        <v>563</v>
      </c>
      <c r="BO9" s="1231"/>
      <c r="BP9" s="1231"/>
      <c r="BQ9" s="1231"/>
      <c r="BR9" s="1231"/>
      <c r="BS9" s="1232"/>
      <c r="EU9" s="47"/>
      <c r="EX9" s="1230" t="str">
        <f>AY9</f>
        <v>OPTIMAL</v>
      </c>
      <c r="EY9" s="1231"/>
      <c r="EZ9" s="1231"/>
      <c r="FA9" s="1231"/>
      <c r="FB9" s="1231"/>
      <c r="FC9" s="1232"/>
      <c r="FF9" s="1230" t="str">
        <f>BN9</f>
        <v>OPTIMAL BASED ON MATERIALS</v>
      </c>
      <c r="FG9" s="1231"/>
      <c r="FH9" s="1231"/>
      <c r="FI9" s="1231"/>
      <c r="FJ9" s="1231"/>
      <c r="FK9" s="1232"/>
      <c r="FM9" s="47"/>
      <c r="FN9" s="532"/>
      <c r="FO9" s="1230" t="str">
        <f>EX9</f>
        <v>OPTIMAL</v>
      </c>
      <c r="FP9" s="1231"/>
      <c r="FQ9" s="1232"/>
      <c r="FS9" s="1230" t="str">
        <f>FF9</f>
        <v>OPTIMAL BASED ON MATERIALS</v>
      </c>
      <c r="FT9" s="1231"/>
      <c r="FU9" s="1232"/>
      <c r="FW9" s="47"/>
    </row>
    <row r="10" spans="3:179" ht="15.75" thickBot="1">
      <c r="C10" s="532" t="s">
        <v>565</v>
      </c>
      <c r="D10" s="359">
        <f>(BR18*BS18)-D7</f>
        <v>18</v>
      </c>
      <c r="E10" t="s">
        <v>75</v>
      </c>
      <c r="AO10" t="s">
        <v>567</v>
      </c>
      <c r="AP10" t="s">
        <v>524</v>
      </c>
      <c r="EU10" s="47"/>
      <c r="FM10" s="47"/>
      <c r="FN10" s="532"/>
      <c r="FW10" s="47"/>
    </row>
    <row r="11" spans="3:179" ht="15.75" thickBot="1">
      <c r="C11" s="532"/>
      <c r="AD11" s="696"/>
      <c r="AG11" s="696"/>
      <c r="AO11" s="320" t="b">
        <f>Materials!J1</f>
        <v>0</v>
      </c>
      <c r="AP11" t="b">
        <f>AND(AO11=TRUE,BD18=15)</f>
        <v>0</v>
      </c>
      <c r="AR11" s="1283" t="str">
        <f>"12." &amp; E14 &amp; " (" &amp; DH14+EL14 &amp; ")"</f>
        <v>12.15 (1)</v>
      </c>
      <c r="AS11" s="1381"/>
      <c r="AT11" s="1381"/>
      <c r="AU11" s="1284"/>
      <c r="AY11" s="1263" t="str">
        <f t="shared" ref="AY11:AY18" si="0">IF($AW$20&lt;=$AW$34,AR11,AR25)</f>
        <v>12.15 (1)</v>
      </c>
      <c r="AZ11" s="1233"/>
      <c r="BA11" s="1233"/>
      <c r="BB11" s="1234"/>
      <c r="BG11" s="1283">
        <f t="shared" ref="BG11:BG18" si="1">IF($AO$11=TRUE,AR11,0)</f>
        <v>0</v>
      </c>
      <c r="BH11" s="1381"/>
      <c r="BI11" s="1381"/>
      <c r="BJ11" s="1284"/>
      <c r="BN11" s="1263" t="str">
        <f t="shared" ref="BN11:BN18" si="2">IF(AND(OR($BL$18&lt;=$BL$32,BG25=0),$BL$18&gt;0),IF($AO$11=FALSE,"N/A",BG11),BG25)</f>
        <v>12.30 (1)</v>
      </c>
      <c r="BO11" s="1233"/>
      <c r="BP11" s="1233"/>
      <c r="BQ11" s="1234"/>
      <c r="BW11" s="1005">
        <f>SUM(BW13:BX18)</f>
        <v>3</v>
      </c>
      <c r="BX11" s="1006"/>
      <c r="BY11" s="1005">
        <f>SUM(BY13:BZ18)</f>
        <v>0</v>
      </c>
      <c r="BZ11" s="1006"/>
      <c r="CB11" s="1005">
        <f>SUM(CB13:CC18)</f>
        <v>12</v>
      </c>
      <c r="CC11" s="1006"/>
      <c r="CD11" s="1005">
        <f>SUM(CD13:CE18)</f>
        <v>0</v>
      </c>
      <c r="CE11" s="1006"/>
      <c r="CF11" s="268"/>
      <c r="CG11" s="1283" t="s">
        <v>569</v>
      </c>
      <c r="CH11" s="1381"/>
      <c r="CI11" s="1381"/>
      <c r="CJ11" s="1284"/>
      <c r="CK11" s="268"/>
      <c r="CL11" s="1283" t="s">
        <v>570</v>
      </c>
      <c r="CM11" s="1381"/>
      <c r="CN11" s="1381"/>
      <c r="CO11" s="1284"/>
      <c r="CP11" s="268"/>
      <c r="CW11" s="268"/>
      <c r="CX11" s="268"/>
      <c r="DR11" s="268"/>
      <c r="DS11" s="268"/>
      <c r="EU11" s="47"/>
      <c r="EX11" s="1263" t="str">
        <f>AY11</f>
        <v>12.15 (1)</v>
      </c>
      <c r="EY11" s="1233"/>
      <c r="EZ11" s="1233"/>
      <c r="FA11" s="1234"/>
      <c r="FF11" s="1263" t="str">
        <f>BN11</f>
        <v>12.30 (1)</v>
      </c>
      <c r="FG11" s="1233"/>
      <c r="FH11" s="1233"/>
      <c r="FI11" s="1234"/>
      <c r="FM11" s="47"/>
      <c r="FN11" s="532"/>
      <c r="FW11" s="47"/>
    </row>
    <row r="12" spans="3:179" ht="90.75" thickBot="1">
      <c r="C12" s="532"/>
      <c r="G12" s="480" t="str">
        <f>"Linear foot per (" &amp; D6 &amp; ") ft roll"</f>
        <v>Linear foot per (4) ft roll</v>
      </c>
      <c r="H12" s="483" t="s">
        <v>271</v>
      </c>
      <c r="J12" s="483" t="s">
        <v>591</v>
      </c>
      <c r="L12" s="480" t="s">
        <v>592</v>
      </c>
      <c r="O12" s="480" t="s">
        <v>593</v>
      </c>
      <c r="Q12" s="480" t="s">
        <v>594</v>
      </c>
      <c r="U12" s="480" t="s">
        <v>595</v>
      </c>
      <c r="W12" s="658" t="s">
        <v>596</v>
      </c>
      <c r="X12" s="659" t="s">
        <v>597</v>
      </c>
      <c r="Y12" s="659" t="s">
        <v>598</v>
      </c>
      <c r="Z12" s="659" t="s">
        <v>599</v>
      </c>
      <c r="AA12" s="659" t="s">
        <v>600</v>
      </c>
      <c r="AB12" s="659" t="s">
        <v>601</v>
      </c>
      <c r="AD12" s="291" t="s">
        <v>602</v>
      </c>
      <c r="AE12" s="480" t="s">
        <v>603</v>
      </c>
      <c r="AF12" s="480" t="s">
        <v>604</v>
      </c>
      <c r="AG12" s="480" t="s">
        <v>605</v>
      </c>
      <c r="AJ12" s="418" t="s">
        <v>606</v>
      </c>
      <c r="AK12" s="291" t="s">
        <v>607</v>
      </c>
      <c r="AR12" s="1238" t="s">
        <v>608</v>
      </c>
      <c r="AS12" s="1239"/>
      <c r="AT12" s="1263" t="s">
        <v>608</v>
      </c>
      <c r="AU12" s="1233"/>
      <c r="AV12" s="1263" t="s">
        <v>544</v>
      </c>
      <c r="AW12" s="1234"/>
      <c r="AX12" s="268"/>
      <c r="AY12" s="1266" t="str">
        <f t="shared" si="0"/>
        <v>12"</v>
      </c>
      <c r="AZ12" s="1267"/>
      <c r="BA12" s="1266" t="str">
        <f t="shared" ref="BA12:BA18" si="3">IF($AW$20&lt;=$AW$34,AT12,AT26)</f>
        <v>12"</v>
      </c>
      <c r="BB12" s="1267"/>
      <c r="BC12" s="1233" t="s">
        <v>544</v>
      </c>
      <c r="BD12" s="1234"/>
      <c r="BE12" s="268"/>
      <c r="BF12" s="268"/>
      <c r="BG12" s="1238">
        <f t="shared" si="1"/>
        <v>0</v>
      </c>
      <c r="BH12" s="1239"/>
      <c r="BI12" s="1238">
        <f t="shared" ref="BI12:BI18" si="4">IF($AO$11=TRUE,AT12,0)</f>
        <v>0</v>
      </c>
      <c r="BJ12" s="995"/>
      <c r="BK12" s="1230">
        <f>IF($AO$11=TRUE,AV12,0)</f>
        <v>0</v>
      </c>
      <c r="BL12" s="1232"/>
      <c r="BM12" s="268"/>
      <c r="BN12" s="1266" t="str">
        <f t="shared" si="2"/>
        <v>12"</v>
      </c>
      <c r="BO12" s="1267"/>
      <c r="BP12" s="1266" t="str">
        <f>IF(AND(OR($BL$18&lt;=$BL$32,BI26=0),$BL$18&gt;0),IF(BI12=0,"N/A",BI12),BI26)</f>
        <v>12"</v>
      </c>
      <c r="BQ12" s="1267"/>
      <c r="BR12" s="1266" t="str">
        <f>IF(AND(OR($BL$18&lt;=$BL$32,BK26=0),$BL$18&gt;0),IF(BK12=0,"N/A",BK12),BK26)</f>
        <v>OVERFLOW</v>
      </c>
      <c r="BS12" s="1267"/>
      <c r="BT12" s="268"/>
      <c r="BU12" s="268"/>
      <c r="CQ12" s="627" t="s">
        <v>1332</v>
      </c>
      <c r="CS12" s="627" t="s">
        <v>437</v>
      </c>
      <c r="CT12" s="374"/>
      <c r="CU12" s="625" t="s">
        <v>569</v>
      </c>
      <c r="CV12" s="626"/>
      <c r="CW12" s="374"/>
      <c r="CX12" s="627" t="s">
        <v>1333</v>
      </c>
      <c r="CY12" s="268"/>
      <c r="CZ12" s="627" t="s">
        <v>1333</v>
      </c>
      <c r="DA12" s="268"/>
      <c r="DB12" s="627" t="s">
        <v>1333</v>
      </c>
      <c r="DC12" s="268"/>
      <c r="DD12" s="627" t="s">
        <v>1334</v>
      </c>
      <c r="DE12" s="268"/>
      <c r="DF12" s="627" t="s">
        <v>569</v>
      </c>
      <c r="DG12" s="268"/>
      <c r="DH12" s="627" t="s">
        <v>569</v>
      </c>
      <c r="DI12" s="268"/>
      <c r="DJ12" s="627" t="s">
        <v>1335</v>
      </c>
      <c r="DK12" s="627" t="s">
        <v>1336</v>
      </c>
      <c r="DL12" s="268"/>
      <c r="DM12" s="627" t="s">
        <v>1335</v>
      </c>
      <c r="DN12" s="627" t="s">
        <v>1336</v>
      </c>
      <c r="DP12" s="627" t="s">
        <v>1335</v>
      </c>
      <c r="DQ12" s="627" t="s">
        <v>1336</v>
      </c>
      <c r="DR12" s="268"/>
      <c r="DS12" s="268"/>
      <c r="DT12" s="627" t="s">
        <v>435</v>
      </c>
      <c r="DU12" s="627" t="s">
        <v>1337</v>
      </c>
      <c r="DW12" s="1382" t="s">
        <v>570</v>
      </c>
      <c r="DX12" s="1384"/>
      <c r="DZ12" s="627" t="s">
        <v>1338</v>
      </c>
      <c r="EA12" s="268"/>
      <c r="EB12" s="627" t="s">
        <v>1338</v>
      </c>
      <c r="EC12" s="268"/>
      <c r="ED12" s="627" t="s">
        <v>1338</v>
      </c>
      <c r="EE12" s="268"/>
      <c r="EF12" s="627" t="s">
        <v>570</v>
      </c>
      <c r="EH12" s="627" t="s">
        <v>1339</v>
      </c>
      <c r="EI12" s="268"/>
      <c r="EJ12" s="627" t="s">
        <v>1340</v>
      </c>
      <c r="EK12" s="268"/>
      <c r="EL12" s="627" t="s">
        <v>570</v>
      </c>
      <c r="EM12" s="268"/>
      <c r="EN12" s="627" t="s">
        <v>1341</v>
      </c>
      <c r="EO12" s="627" t="s">
        <v>1342</v>
      </c>
      <c r="EQ12" s="624" t="s">
        <v>1343</v>
      </c>
      <c r="EU12" s="47"/>
      <c r="EX12" s="1266" t="str">
        <f>AY12</f>
        <v>12"</v>
      </c>
      <c r="EY12" s="1267"/>
      <c r="EZ12" s="1266" t="str">
        <f>BA12</f>
        <v>12"</v>
      </c>
      <c r="FA12" s="1267"/>
      <c r="FB12" s="1266" t="str">
        <f>BC12</f>
        <v>OVERFLOW</v>
      </c>
      <c r="FC12" s="1267"/>
      <c r="FF12" s="1266" t="str">
        <f>BN12</f>
        <v>12"</v>
      </c>
      <c r="FG12" s="1267"/>
      <c r="FH12" s="1266" t="str">
        <f>BP12</f>
        <v>12"</v>
      </c>
      <c r="FI12" s="1267"/>
      <c r="FJ12" s="1266" t="str">
        <f>BR12</f>
        <v>OVERFLOW</v>
      </c>
      <c r="FK12" s="1267"/>
      <c r="FM12" s="47"/>
      <c r="FN12" s="532"/>
      <c r="FO12" s="693" t="s">
        <v>90</v>
      </c>
      <c r="FP12" s="694" t="s">
        <v>91</v>
      </c>
      <c r="FS12" s="693" t="s">
        <v>90</v>
      </c>
      <c r="FT12" s="694" t="s">
        <v>91</v>
      </c>
      <c r="FW12" s="47"/>
    </row>
    <row r="13" spans="3:179" ht="16.5" thickBot="1">
      <c r="C13" s="532"/>
      <c r="W13" s="532"/>
      <c r="AR13" s="1235" t="str">
        <f t="shared" ref="AR13:AR18" si="5">_xlfn.LET(
_xlpm.total,IF($G$14=0,$D$6,AK14),
_xlpm.fullName,IF($G$14=0,$AG$14,$AB$14),
_xlpm.leftName,$AD$14,
_xlpm.perNum,$Y$14,
_xlpm.allowCols,IF($D$4=1,1,$AE$14),
_xlpm.fullCount,INT(_xlpm.total/_xlpm.fullName),
_xlpm.leftOver,MOD(_xlpm.total,_xlpm.fullName),
_xlpm.maxCount,_xlpm.fullCount+IF(_xlpm.leftOver&gt;0,1,0),
_xlpm.rowsPerCol,IF($G$14=0,_xlpm.maxCount,$D$8),
_xlpm.rowInCol,ROW()-ROW($AR$13)+1,
_xlpm.colBlock,INT((COLUMN()-COLUMN($AR$13))/2),
_xlpm.n,IF(
    $G$14=0,
    _xlpm.rowInCol,
    (_xlpm.rowInCol-1)*_xlpm.allowCols+_xlpm.colBlock+1
),
IF($G$14&lt;&gt;0,
    IF(OR(
        _xlpm.rowInCol&gt;_xlpm.rowsPerCol,
        _xlpm.colBlock+1&gt;_xlpm.allowCols,
        _xlpm.n&gt;$AE$14*$AJ$14
    ),
        "",
        TEXT(_xlpm.fullName,"0.00")&amp;" ("&amp;ROUNDUP(_xlpm.n/_xlpm.perNum,0)&amp;")"
    ),
    IF(OR(_xlpm.rowInCol&gt;_xlpm.rowsPerCol,_xlpm.colBlock+1&gt;_xlpm.allowCols),
        "",
        IF(_xlpm.n&lt;=_xlpm.fullCount,
            TEXT(_xlpm.fullName,"0")&amp;"' ("&amp;_xlpm.n&amp;")",
            TEXT(_xlpm.leftName,"0")&amp;"' ("&amp;_xlpm.n&amp;")"
        )
    )
)
)</f>
        <v xml:space="preserve"> 4' (1)</v>
      </c>
      <c r="AS13" s="1237"/>
      <c r="AT13" s="1235" t="str">
        <f t="shared" ref="AT13:AT18" si="6">_xlfn.LET(
_xlpm.total,IF($G$14=0,$D$6,AM14),
_xlpm.fullName,IF($G$14=0,$AG$14,$AB$14),
_xlpm.leftName,$AD$14,
_xlpm.perNum,$Y$14,
_xlpm.allowCols,IF($D$4=1,1,$AE$14),
_xlpm.fullCount,INT(_xlpm.total/_xlpm.fullName),
_xlpm.leftOver,MOD(_xlpm.total,_xlpm.fullName),
_xlpm.maxCount,_xlpm.fullCount+IF(_xlpm.leftOver&gt;0,1,0),
_xlpm.rowsPerCol,IF($G$14=0,_xlpm.maxCount,$D$8),
_xlpm.rowInCol,ROW()-ROW($AR$13)+1,
_xlpm.colBlock,INT((COLUMN()-COLUMN($AR$13))/2),
_xlpm.n,IF(
    $G$14=0,
    _xlpm.rowInCol,
    (_xlpm.rowInCol-1)*_xlpm.allowCols+_xlpm.colBlock+1
),
IF($G$14&lt;&gt;0,
    IF(OR(
        _xlpm.rowInCol&gt;_xlpm.rowsPerCol,
        _xlpm.colBlock+1&gt;_xlpm.allowCols,
        _xlpm.n&gt;$AE$14*$AJ$14
    ),
        "",
        TEXT(_xlpm.fullName,"0.00")&amp;" ("&amp;ROUNDUP(_xlpm.n/_xlpm.perNum,0)&amp;")"
    ),
    IF(OR(_xlpm.rowInCol&gt;_xlpm.rowsPerCol,_xlpm.colBlock+1&gt;_xlpm.allowCols),
        "",
        IF(_xlpm.n&lt;=_xlpm.fullCount,
            TEXT(_xlpm.fullName,"0")&amp;"' ("&amp;_xlpm.n&amp;")",
            TEXT(_xlpm.leftName,"0")&amp;"' ("&amp;_xlpm.n&amp;")"
        )
    )
)
)</f>
        <v/>
      </c>
      <c r="AU13" s="1237"/>
      <c r="AV13" s="1268" t="str">
        <f>ES13</f>
        <v>Total 3'</v>
      </c>
      <c r="AW13" s="1269"/>
      <c r="AX13" s="1"/>
      <c r="AY13" s="1261" t="str">
        <f t="shared" si="0"/>
        <v xml:space="preserve"> 4' (1)</v>
      </c>
      <c r="AZ13" s="1237"/>
      <c r="BA13" s="1236" t="str">
        <f t="shared" si="3"/>
        <v/>
      </c>
      <c r="BB13" s="1237"/>
      <c r="BC13" s="1287" t="str">
        <f>IF($AW$20&lt;=$AW$34,AV13,AV27)</f>
        <v>Total 3'</v>
      </c>
      <c r="BD13" s="1288"/>
      <c r="BE13" s="268"/>
      <c r="BF13" s="268"/>
      <c r="BG13" s="1261">
        <f t="shared" si="1"/>
        <v>0</v>
      </c>
      <c r="BH13" s="1262"/>
      <c r="BI13" s="1256">
        <f t="shared" si="4"/>
        <v>0</v>
      </c>
      <c r="BJ13" s="1237"/>
      <c r="BK13" s="1256">
        <f>IF($AO$11=TRUE,AV13,0)</f>
        <v>0</v>
      </c>
      <c r="BL13" s="1237"/>
      <c r="BM13" s="1"/>
      <c r="BN13" s="1261" t="str">
        <f t="shared" si="2"/>
        <v xml:space="preserve"> 4' (1)</v>
      </c>
      <c r="BO13" s="1237"/>
      <c r="BP13" s="1261" t="str">
        <f t="shared" ref="BP13:BP18" si="7">IF(AND(OR($BL$18&lt;=$BL$32,BI27=0),$BL$18&gt;0),IF($AO$11=FALSE,"N/A",BI13),BI27)</f>
        <v/>
      </c>
      <c r="BQ13" s="1237"/>
      <c r="BR13" s="1266" t="str">
        <f>IF(AND(OR($BL$18&lt;=$BL$32,BK27=0),$BL$18&gt;0),IF($AO$11=FALSE,"N/A",BK13),BK27)</f>
        <v>Total 18'</v>
      </c>
      <c r="BS13" s="1267"/>
      <c r="BT13" s="1"/>
      <c r="BU13" s="1"/>
      <c r="BW13" s="1005">
        <f t="shared" ref="BW13:BW18" si="8">IF(LEN(AR13)&gt;0,1,0)</f>
        <v>1</v>
      </c>
      <c r="BX13" s="1006"/>
      <c r="BY13" s="1005">
        <f t="shared" ref="BY13:BY18" si="9">IF(LEN(AT13)&gt;0,1,0)</f>
        <v>0</v>
      </c>
      <c r="BZ13" s="1006"/>
      <c r="CB13" s="1005">
        <f t="shared" ref="CB13:CB18" si="10">IF(AR13="","",--_xlfn.TEXTBEFORE(AR13,"'"))</f>
        <v>4</v>
      </c>
      <c r="CC13" s="1006"/>
      <c r="CD13" s="1005" t="str">
        <f t="shared" ref="CD13:CD18" si="11">IF(AT13="","",--_xlfn.TEXTBEFORE(AT13,"'"))</f>
        <v/>
      </c>
      <c r="CE13" s="1006"/>
      <c r="CF13" s="268"/>
      <c r="CG13" s="1005">
        <f t="shared" ref="CG13:CG18" si="12">IF(CB13=$CS$14,CB13,"")</f>
        <v>4</v>
      </c>
      <c r="CH13" s="1006"/>
      <c r="CI13" s="1005" t="str">
        <f t="shared" ref="CI13:CI18" si="13">IF(CD13=$CS$14,CD13,"")</f>
        <v/>
      </c>
      <c r="CJ13" s="1006"/>
      <c r="CK13" s="268"/>
      <c r="CL13" s="1005">
        <f t="shared" ref="CL13:CL18" si="14">IF(CG13=$CS$14,0,IF(CB13="",0,IF(CB13=$CS$14,$AG$14-CB13,$AG$14-$AC$14)))</f>
        <v>0</v>
      </c>
      <c r="CM13" s="1006"/>
      <c r="CN13" s="1005">
        <f t="shared" ref="CN13:CN18" si="15">IF(CI13=$CS$14,0,IF(CD13="",0,IF(CD13=$CS$14,$AG$14-CD13,$AG$14-$AC$14)))</f>
        <v>0</v>
      </c>
      <c r="CO13" s="1006"/>
      <c r="CP13" s="268"/>
      <c r="CQ13" s="374"/>
      <c r="CS13" s="374"/>
      <c r="CT13" s="374"/>
      <c r="CU13" s="374"/>
      <c r="CV13" s="374"/>
      <c r="CW13" s="374"/>
      <c r="CX13" s="374"/>
      <c r="CY13" s="268"/>
      <c r="CZ13" s="374"/>
      <c r="DB13" s="374"/>
      <c r="DD13" s="374"/>
      <c r="DF13" s="374"/>
      <c r="DH13" s="374"/>
      <c r="DI13" s="268"/>
      <c r="DJ13" s="374"/>
      <c r="DK13" s="374"/>
      <c r="DL13" s="268"/>
      <c r="DM13" s="374"/>
      <c r="DN13" s="374"/>
      <c r="DP13" s="374"/>
      <c r="DT13" s="374"/>
      <c r="DU13" s="374"/>
      <c r="DW13" s="374"/>
      <c r="DX13" s="374"/>
      <c r="DZ13" s="374"/>
      <c r="EA13" s="268"/>
      <c r="EB13" s="374"/>
      <c r="ED13" s="374"/>
      <c r="EF13" s="374"/>
      <c r="EH13" s="374"/>
      <c r="EJ13" s="374"/>
      <c r="EL13" s="374"/>
      <c r="EM13" s="268"/>
      <c r="EN13" s="374"/>
      <c r="EO13" s="374"/>
      <c r="EQ13" s="374"/>
      <c r="ES13" s="1271" t="str">
        <f>"Total " &amp; EQ14&amp; "'"</f>
        <v>Total 3'</v>
      </c>
      <c r="ET13" s="1269"/>
      <c r="EU13" s="12"/>
      <c r="EV13" s="1"/>
      <c r="EW13" s="1"/>
      <c r="EX13" s="1261" t="str">
        <f t="shared" ref="EX13:EX18" si="16">AY13</f>
        <v xml:space="preserve"> 4' (1)</v>
      </c>
      <c r="EY13" s="1237"/>
      <c r="EZ13" s="1261" t="str">
        <f t="shared" ref="EZ13:EZ18" si="17">BA13</f>
        <v/>
      </c>
      <c r="FA13" s="1237"/>
      <c r="FB13" s="1266" t="str">
        <f>BC13</f>
        <v>Total 3'</v>
      </c>
      <c r="FC13" s="1267"/>
      <c r="FD13" s="1"/>
      <c r="FF13" s="1261" t="str">
        <f t="shared" ref="FF13:FF18" si="18">BN13</f>
        <v xml:space="preserve"> 4' (1)</v>
      </c>
      <c r="FG13" s="1237"/>
      <c r="FH13" s="1261" t="str">
        <f t="shared" ref="FH13:FH18" si="19">BP13</f>
        <v/>
      </c>
      <c r="FI13" s="1237"/>
      <c r="FJ13" s="1266" t="str">
        <f>BR13</f>
        <v>Total 18'</v>
      </c>
      <c r="FK13" s="1267"/>
      <c r="FM13" s="47"/>
      <c r="FN13" s="532"/>
      <c r="FO13" s="437" t="s">
        <v>218</v>
      </c>
      <c r="FP13" s="438">
        <f>IF(FC18=30,FB18,0)</f>
        <v>0</v>
      </c>
      <c r="FS13" s="437" t="s">
        <v>218</v>
      </c>
      <c r="FT13" s="438">
        <f>IF(FK18=30,FJ18,0)</f>
        <v>1</v>
      </c>
      <c r="FW13" s="47"/>
    </row>
    <row r="14" spans="3:179" ht="30.75" thickBot="1">
      <c r="C14" s="1423" t="s">
        <v>275</v>
      </c>
      <c r="D14" s="595">
        <v>12.15</v>
      </c>
      <c r="E14" s="697">
        <f>Materials!L1</f>
        <v>15</v>
      </c>
      <c r="G14" s="465">
        <f>IFERROR(ROUNDDOWN((E14/$D$6),0),0)</f>
        <v>3</v>
      </c>
      <c r="H14" s="483" t="str">
        <f>"which is (" &amp; (G14) &amp; ") pieces cut into (" &amp; (D6) &amp; ") ft equal length from 12 inch roll"</f>
        <v>which is (3) pieces cut into (4) ft equal length from 12 inch roll</v>
      </c>
      <c r="J14" s="484" t="str">
        <f>"which is (" &amp; ($G$14) &amp; ") Linear foot total"</f>
        <v>which is (3) Linear foot total</v>
      </c>
      <c r="L14" s="486">
        <f>IF((($D$4)-(G14))&lt;=0,0,(($D$4)-(G14)))</f>
        <v>0</v>
      </c>
      <c r="M14" t="str">
        <f>"which are (" &amp; (D6) &amp; ") ft in length"</f>
        <v>which are (4) ft in length</v>
      </c>
      <c r="O14" s="484">
        <f>IFERROR(ROUNDUP(L14/G14,0),L14)</f>
        <v>0</v>
      </c>
      <c r="Q14" s="491">
        <f>((O14)+(G14))</f>
        <v>3</v>
      </c>
      <c r="S14" s="325">
        <f>IFERROR(Q14/G14,Q14)</f>
        <v>1</v>
      </c>
      <c r="U14" s="325">
        <f>ROUNDUP(S14,0)</f>
        <v>1</v>
      </c>
      <c r="V14" s="711">
        <f>ROUNDUP($D$6/E14,0)</f>
        <v>1</v>
      </c>
      <c r="W14" s="776">
        <v>12.15</v>
      </c>
      <c r="X14" s="765">
        <f>U14</f>
        <v>1</v>
      </c>
      <c r="Y14" s="765">
        <f>IF((G14)=0,IFERROR(ROUNDUP(IF((($D$4)-(G14))&lt;=0,0,(($D$4)-(G14)))/(G14),0),IF((($D$4)-(G14))&lt;=0,0,(($D$4)-(G14))))+(G14),(G14))</f>
        <v>3</v>
      </c>
      <c r="Z14" s="765">
        <f>(X14*Y14)</f>
        <v>3</v>
      </c>
      <c r="AA14" s="594">
        <f>(Z14/$D$8)</f>
        <v>1</v>
      </c>
      <c r="AB14" s="491" t="str">
        <f>" " &amp; $D$6 &amp; "'"</f>
        <v xml:space="preserve"> 4'</v>
      </c>
      <c r="AC14" s="711">
        <f>(V14*AG14)-$D$6</f>
        <v>11</v>
      </c>
      <c r="AD14" s="263">
        <f>$D$6-(ROUNDDOWN($D$6/E14,0)*E14)</f>
        <v>4</v>
      </c>
      <c r="AE14" s="686">
        <f>$D$4</f>
        <v>1</v>
      </c>
      <c r="AF14" s="685">
        <f>IFERROR(ROUNDUP(AE14/AA14,0),0)</f>
        <v>1</v>
      </c>
      <c r="AG14" s="263">
        <f>E14</f>
        <v>15</v>
      </c>
      <c r="AJ14" s="685">
        <f>AF14*Z14</f>
        <v>3</v>
      </c>
      <c r="AK14" s="263">
        <f>AE14*AJ14</f>
        <v>3</v>
      </c>
      <c r="AR14" s="1225" t="str">
        <f t="shared" si="5"/>
        <v xml:space="preserve"> 4' (1)</v>
      </c>
      <c r="AS14" s="1226"/>
      <c r="AT14" s="1225" t="str">
        <f t="shared" si="6"/>
        <v/>
      </c>
      <c r="AU14" s="1226"/>
      <c r="AV14" s="455">
        <f>ES14</f>
        <v>1</v>
      </c>
      <c r="AW14" s="455" t="str">
        <f>ET14</f>
        <v>3' rolls</v>
      </c>
      <c r="AX14" s="1"/>
      <c r="AY14" s="1260" t="str">
        <f t="shared" si="0"/>
        <v xml:space="preserve"> 4' (1)</v>
      </c>
      <c r="AZ14" s="1226"/>
      <c r="BA14" s="995" t="str">
        <f t="shared" si="3"/>
        <v/>
      </c>
      <c r="BB14" s="1226"/>
      <c r="BC14" s="637">
        <f>IF($AW$20&lt;=$AW$34,AV14,AV28)</f>
        <v>1</v>
      </c>
      <c r="BD14" s="44" t="str">
        <f>IF($AW$20&lt;=$AW$34,AW14,AW28)</f>
        <v>3' rolls</v>
      </c>
      <c r="BE14" s="1"/>
      <c r="BF14" s="1"/>
      <c r="BG14" s="1260">
        <f t="shared" si="1"/>
        <v>0</v>
      </c>
      <c r="BH14" s="1239"/>
      <c r="BI14" s="1238">
        <f t="shared" si="4"/>
        <v>0</v>
      </c>
      <c r="BJ14" s="1226"/>
      <c r="BK14" s="637">
        <f>IF($AO$11=TRUE,AV14,0)</f>
        <v>0</v>
      </c>
      <c r="BL14" s="44">
        <f>IF($AO$11=TRUE,AW14,0)</f>
        <v>0</v>
      </c>
      <c r="BM14" s="1"/>
      <c r="BN14" s="1260" t="str">
        <f t="shared" si="2"/>
        <v xml:space="preserve"> 4' (1)</v>
      </c>
      <c r="BO14" s="1226"/>
      <c r="BP14" s="1260" t="str">
        <f t="shared" si="7"/>
        <v/>
      </c>
      <c r="BQ14" s="1226"/>
      <c r="BR14" s="637">
        <f>IF(AND(OR($BL$18&lt;=$BL$32,BK28=0),$BL$18&gt;0),IF($AO$11=FALSE,"N/A",BK14),BK28)</f>
        <v>0</v>
      </c>
      <c r="BS14" s="648" t="str">
        <f>IF(AND(OR($BL$18&lt;=$BL$32,BL28=0),$BL$18&gt;0),IF($AO$11=FALSE,"N/A",BL14),BL28)</f>
        <v>0' rolls</v>
      </c>
      <c r="BT14" s="1"/>
      <c r="BU14" s="1"/>
      <c r="BW14" s="1005">
        <f t="shared" si="8"/>
        <v>1</v>
      </c>
      <c r="BX14" s="1006"/>
      <c r="BY14" s="1005">
        <f t="shared" si="9"/>
        <v>0</v>
      </c>
      <c r="BZ14" s="1006"/>
      <c r="CB14" s="1005">
        <f t="shared" si="10"/>
        <v>4</v>
      </c>
      <c r="CC14" s="1006"/>
      <c r="CD14" s="1005" t="str">
        <f t="shared" si="11"/>
        <v/>
      </c>
      <c r="CE14" s="1006"/>
      <c r="CF14" s="268"/>
      <c r="CG14" s="1005">
        <f t="shared" si="12"/>
        <v>4</v>
      </c>
      <c r="CH14" s="1006"/>
      <c r="CI14" s="1005" t="str">
        <f t="shared" si="13"/>
        <v/>
      </c>
      <c r="CJ14" s="1006"/>
      <c r="CK14" s="268"/>
      <c r="CL14" s="1005">
        <f t="shared" si="14"/>
        <v>0</v>
      </c>
      <c r="CM14" s="1006"/>
      <c r="CN14" s="1005">
        <f t="shared" si="15"/>
        <v>0</v>
      </c>
      <c r="CO14" s="1006"/>
      <c r="CP14" s="268"/>
      <c r="CQ14" s="622">
        <f>IF(CB11=CD11,0,1)</f>
        <v>1</v>
      </c>
      <c r="CS14" s="627">
        <f>MAX(CB13:CC18)</f>
        <v>4</v>
      </c>
      <c r="CT14" s="374"/>
      <c r="CU14" s="625" cm="1">
        <f t="array" ref="CU14">SUMPRODUCT(--ISNUMBER(CG13:CJ18),--(CG13:CJ18&lt;&gt;0))</f>
        <v>3</v>
      </c>
      <c r="CV14" s="627">
        <f>CS14</f>
        <v>4</v>
      </c>
      <c r="CW14" s="374"/>
      <c r="CX14" s="622">
        <f>CV14*CU14</f>
        <v>12</v>
      </c>
      <c r="CY14" s="268"/>
      <c r="CZ14" s="622">
        <f>ROUNDDOWN(AG14/CS14,0)</f>
        <v>3</v>
      </c>
      <c r="DB14" s="622">
        <f>AG14*ROUNDUP(CU14/CZ14,0)</f>
        <v>15</v>
      </c>
      <c r="DD14" s="622">
        <f>DB14-CX14</f>
        <v>3</v>
      </c>
      <c r="DF14" s="622">
        <f>CS14*CZ14</f>
        <v>12</v>
      </c>
      <c r="DH14" s="622">
        <f>ROUNDUP(CU14/CZ14,0)</f>
        <v>1</v>
      </c>
      <c r="DI14" s="268"/>
      <c r="DJ14" s="617">
        <f>ROUNDDOWN(CU14/CZ14,0)</f>
        <v>1</v>
      </c>
      <c r="DK14" s="622">
        <f>AG14-(CZ14*CS14)</f>
        <v>3</v>
      </c>
      <c r="DL14" s="1" t="s">
        <v>441</v>
      </c>
      <c r="DM14" s="617">
        <f>DH14-DJ14</f>
        <v>0</v>
      </c>
      <c r="DN14" s="622">
        <f>IF(DJ14=0,DD14,DD14-DK14)</f>
        <v>0</v>
      </c>
      <c r="DP14" s="617">
        <f>DH14</f>
        <v>1</v>
      </c>
      <c r="DQ14" s="622">
        <f>DD14/DP14</f>
        <v>3</v>
      </c>
      <c r="DT14" s="625">
        <f>MIN(CB13:CE18)</f>
        <v>4</v>
      </c>
      <c r="DU14" s="627">
        <f>IF(CS14=DT14,AG14-AD14,DT14)</f>
        <v>11</v>
      </c>
      <c r="DW14" s="625" cm="1">
        <f t="array" ref="DW14">SUMPRODUCT(--ISNUMBER(CL13:CO18),--(CL13:CO18&lt;&gt;0))</f>
        <v>0</v>
      </c>
      <c r="DX14" s="627">
        <f>DU14</f>
        <v>11</v>
      </c>
      <c r="DZ14" s="593">
        <f>DW14*DX14</f>
        <v>0</v>
      </c>
      <c r="EA14" s="268"/>
      <c r="EB14" s="593">
        <f>IFERROR(ROUNDDOWN(AG14/DU14,0),0)</f>
        <v>1</v>
      </c>
      <c r="ED14" s="593">
        <f>_xlfn.CEILING.MATH(DZ14,AG14)</f>
        <v>0</v>
      </c>
      <c r="EF14" s="593">
        <f>ED14/AG14</f>
        <v>0</v>
      </c>
      <c r="EH14" s="593">
        <f>IFERROR((ED14-DZ14)/EF14,0)</f>
        <v>0</v>
      </c>
      <c r="EJ14" s="593">
        <f>DU14*EB14</f>
        <v>11</v>
      </c>
      <c r="EL14" s="593">
        <f>ROUNDUP(DW14/EB14,0)</f>
        <v>0</v>
      </c>
      <c r="EM14" s="268"/>
      <c r="EN14" s="617">
        <f>EL14</f>
        <v>0</v>
      </c>
      <c r="EO14" s="622">
        <f>EH14</f>
        <v>0</v>
      </c>
      <c r="EQ14" s="593">
        <f>(DP14*DQ14)+(EN14*EO14)</f>
        <v>3</v>
      </c>
      <c r="ES14" s="623">
        <f>IF(DK14=0,0,DJ14)</f>
        <v>1</v>
      </c>
      <c r="ET14" s="456" t="str">
        <f>"" &amp; IF(ES14=0,0,DK14) &amp; "' rolls"</f>
        <v>3' rolls</v>
      </c>
      <c r="EU14" s="12"/>
      <c r="EV14" s="1"/>
      <c r="EW14" s="1"/>
      <c r="EX14" s="1260" t="str">
        <f t="shared" si="16"/>
        <v xml:space="preserve"> 4' (1)</v>
      </c>
      <c r="EY14" s="1226"/>
      <c r="EZ14" s="1260" t="str">
        <f t="shared" si="17"/>
        <v/>
      </c>
      <c r="FA14" s="1226"/>
      <c r="FB14" s="637">
        <f>BC14</f>
        <v>1</v>
      </c>
      <c r="FC14" s="648" t="str">
        <f>BD14</f>
        <v>3' rolls</v>
      </c>
      <c r="FD14" s="1"/>
      <c r="FF14" s="1260" t="str">
        <f t="shared" si="18"/>
        <v xml:space="preserve"> 4' (1)</v>
      </c>
      <c r="FG14" s="1226"/>
      <c r="FH14" s="1260" t="str">
        <f t="shared" si="19"/>
        <v/>
      </c>
      <c r="FI14" s="1226"/>
      <c r="FJ14" s="637">
        <f>BR14</f>
        <v>0</v>
      </c>
      <c r="FK14" s="648" t="str">
        <f>BS14</f>
        <v>0' rolls</v>
      </c>
      <c r="FM14" s="47"/>
      <c r="FN14" s="532"/>
      <c r="FO14" s="439" t="s">
        <v>223</v>
      </c>
      <c r="FP14" s="438">
        <f>IF(FC18=15,FB18,0)</f>
        <v>1</v>
      </c>
      <c r="FS14" s="439" t="s">
        <v>223</v>
      </c>
      <c r="FT14" s="438">
        <f>IF(FK18=15,FJ18,0)</f>
        <v>0</v>
      </c>
      <c r="FW14" s="47"/>
    </row>
    <row r="15" spans="3:179" ht="15.75" thickBot="1">
      <c r="C15" s="1423"/>
      <c r="D15" s="479"/>
      <c r="G15" s="477"/>
      <c r="H15" s="477"/>
      <c r="J15" s="485"/>
      <c r="L15" s="487"/>
      <c r="O15" s="485"/>
      <c r="W15" s="660"/>
      <c r="X15" s="629"/>
      <c r="Y15" s="629"/>
      <c r="Z15" s="629"/>
      <c r="AA15" s="268"/>
      <c r="AE15" s="451"/>
      <c r="AF15" s="451"/>
      <c r="AJ15" s="451"/>
      <c r="AR15" s="1225" t="str">
        <f t="shared" si="5"/>
        <v xml:space="preserve"> 4' (1)</v>
      </c>
      <c r="AS15" s="1226"/>
      <c r="AT15" s="1225" t="str">
        <f t="shared" si="6"/>
        <v/>
      </c>
      <c r="AU15" s="1226"/>
      <c r="AV15" s="455">
        <f>ES15</f>
        <v>0</v>
      </c>
      <c r="AW15" s="455" t="str">
        <f>ET15</f>
        <v>0' rolls</v>
      </c>
      <c r="AX15" s="1"/>
      <c r="AY15" s="1260" t="str">
        <f t="shared" si="0"/>
        <v xml:space="preserve"> 4' (1)</v>
      </c>
      <c r="AZ15" s="1226"/>
      <c r="BA15" s="995" t="str">
        <f t="shared" si="3"/>
        <v/>
      </c>
      <c r="BB15" s="1226"/>
      <c r="BC15" s="638">
        <f>IF($AW$20&lt;=$AW$34,AV15,AV29)</f>
        <v>0</v>
      </c>
      <c r="BD15" s="639" t="str">
        <f>IF($AW$20&lt;=$AW$34,AW15,AW29)</f>
        <v>0' rolls</v>
      </c>
      <c r="BF15" s="1"/>
      <c r="BG15" s="1260">
        <f t="shared" si="1"/>
        <v>0</v>
      </c>
      <c r="BH15" s="1239"/>
      <c r="BI15" s="1238">
        <f t="shared" si="4"/>
        <v>0</v>
      </c>
      <c r="BJ15" s="1226"/>
      <c r="BK15" s="638">
        <f>IF($AO$11=TRUE,AV15,0)</f>
        <v>0</v>
      </c>
      <c r="BL15" s="639">
        <f>IF($AO$11=TRUE,AW15,0)</f>
        <v>0</v>
      </c>
      <c r="BM15" s="1"/>
      <c r="BN15" s="1260" t="str">
        <f t="shared" si="2"/>
        <v xml:space="preserve"> 4' (1)</v>
      </c>
      <c r="BO15" s="1226"/>
      <c r="BP15" s="1260" t="str">
        <f t="shared" si="7"/>
        <v/>
      </c>
      <c r="BQ15" s="1226"/>
      <c r="BR15" s="637">
        <f>IF(AND(OR($BL$18&lt;=$BL$32,BK29=0),$BL$18&gt;0),IF($AO$11=FALSE,"N/A",BK15),BK29)</f>
        <v>1</v>
      </c>
      <c r="BS15" s="648" t="str">
        <f>IF(AND(OR($BL$18&lt;=$BL$32,BL29=0),$BL$18&gt;0),IF($AO$11=FALSE,"N/A",BL15),BL29)</f>
        <v>18' rolls</v>
      </c>
      <c r="BT15" s="1"/>
      <c r="BU15" s="1"/>
      <c r="BW15" s="1005">
        <f t="shared" si="8"/>
        <v>1</v>
      </c>
      <c r="BX15" s="1006"/>
      <c r="BY15" s="1005">
        <f t="shared" si="9"/>
        <v>0</v>
      </c>
      <c r="BZ15" s="1006"/>
      <c r="CB15" s="1005">
        <f t="shared" si="10"/>
        <v>4</v>
      </c>
      <c r="CC15" s="1006"/>
      <c r="CD15" s="1005" t="str">
        <f t="shared" si="11"/>
        <v/>
      </c>
      <c r="CE15" s="1006"/>
      <c r="CF15" s="268"/>
      <c r="CG15" s="1005">
        <f t="shared" si="12"/>
        <v>4</v>
      </c>
      <c r="CH15" s="1006"/>
      <c r="CI15" s="1005" t="str">
        <f t="shared" si="13"/>
        <v/>
      </c>
      <c r="CJ15" s="1006"/>
      <c r="CK15" s="268"/>
      <c r="CL15" s="1005">
        <f t="shared" si="14"/>
        <v>0</v>
      </c>
      <c r="CM15" s="1006"/>
      <c r="CN15" s="1005">
        <f t="shared" si="15"/>
        <v>0</v>
      </c>
      <c r="CO15" s="1006"/>
      <c r="CP15" s="268"/>
      <c r="CQ15" s="374"/>
      <c r="CS15" s="374"/>
      <c r="CT15" s="374"/>
      <c r="CU15" s="374"/>
      <c r="CV15" s="374"/>
      <c r="CW15" s="374"/>
      <c r="CX15" s="374"/>
      <c r="CY15" s="268"/>
      <c r="CZ15" s="374"/>
      <c r="DB15" s="374"/>
      <c r="DD15" s="374"/>
      <c r="DF15" s="374"/>
      <c r="DH15" s="374"/>
      <c r="DI15" s="268"/>
      <c r="DJ15" s="374"/>
      <c r="DK15" s="374"/>
      <c r="DL15" s="268"/>
      <c r="DM15" s="374"/>
      <c r="DN15" s="374"/>
      <c r="DP15" s="374"/>
      <c r="DT15" s="374"/>
      <c r="DU15" s="374"/>
      <c r="DW15" s="374"/>
      <c r="DX15" s="374"/>
      <c r="DZ15" s="374"/>
      <c r="EA15" s="268"/>
      <c r="EB15" s="374"/>
      <c r="ED15" s="374"/>
      <c r="EF15" s="374"/>
      <c r="EH15" s="374"/>
      <c r="EJ15" s="374"/>
      <c r="EL15" s="374"/>
      <c r="EM15" s="268"/>
      <c r="EN15" s="374"/>
      <c r="EO15" s="374"/>
      <c r="EQ15" s="374"/>
      <c r="ES15" s="617">
        <f>IF(DN14=0,0,DM14)</f>
        <v>0</v>
      </c>
      <c r="ET15" s="598" t="str">
        <f>"" &amp; IF(ES15=0,0,DN14)  &amp; "' rolls"</f>
        <v>0' rolls</v>
      </c>
      <c r="EU15" s="12"/>
      <c r="EV15" s="1"/>
      <c r="EW15" s="1"/>
      <c r="EX15" s="1260" t="str">
        <f t="shared" si="16"/>
        <v xml:space="preserve"> 4' (1)</v>
      </c>
      <c r="EY15" s="1226"/>
      <c r="EZ15" s="1260" t="str">
        <f t="shared" si="17"/>
        <v/>
      </c>
      <c r="FA15" s="1226"/>
      <c r="FB15" s="637">
        <f>BC15</f>
        <v>0</v>
      </c>
      <c r="FC15" s="648" t="str">
        <f>BD15</f>
        <v>0' rolls</v>
      </c>
      <c r="FD15" s="1"/>
      <c r="FF15" s="1260" t="str">
        <f t="shared" si="18"/>
        <v xml:space="preserve"> 4' (1)</v>
      </c>
      <c r="FG15" s="1226"/>
      <c r="FH15" s="1260" t="str">
        <f t="shared" si="19"/>
        <v/>
      </c>
      <c r="FI15" s="1226"/>
      <c r="FJ15" s="637">
        <f>BR15</f>
        <v>1</v>
      </c>
      <c r="FK15" s="648" t="str">
        <f>BS15</f>
        <v>18' rolls</v>
      </c>
      <c r="FM15" s="47"/>
      <c r="FN15" s="532"/>
      <c r="FW15" s="47"/>
    </row>
    <row r="16" spans="3:179" ht="30.75" thickBot="1">
      <c r="C16" s="1423"/>
      <c r="D16" s="595">
        <v>12.3</v>
      </c>
      <c r="E16" s="697">
        <f>Materials!L2</f>
        <v>30</v>
      </c>
      <c r="G16" s="465">
        <f>IFERROR(ROUNDDOWN((E16/$D$6),0),0)</f>
        <v>7</v>
      </c>
      <c r="H16" s="483" t="str">
        <f>"which is (" &amp; (G16) &amp; ") pieces cut into (" &amp; (D8) &amp; ") ft equal length from 12 inch roll"</f>
        <v>which is (7) pieces cut into (3) ft equal length from 12 inch roll</v>
      </c>
      <c r="J16" s="484" t="str">
        <f>"which is (" &amp; ($G$14) &amp; ") Linear foot total"</f>
        <v>which is (3) Linear foot total</v>
      </c>
      <c r="L16" s="486">
        <f>IF((($D$4)-(G16))&lt;=0,0,(($D$4)-(G16)))</f>
        <v>0</v>
      </c>
      <c r="M16" t="str">
        <f>"which are (" &amp; (D8) &amp; ") ft in length"</f>
        <v>which are (3) ft in length</v>
      </c>
      <c r="O16" s="484">
        <f>IFERROR(ROUNDUP(L16/G16,0),L16)</f>
        <v>0</v>
      </c>
      <c r="Q16" s="491">
        <f>((O16)+(G16))</f>
        <v>7</v>
      </c>
      <c r="S16" s="325">
        <f>IFERROR(Q16/G16,Q16)</f>
        <v>1</v>
      </c>
      <c r="U16" s="325">
        <f>ROUNDUP(S16,0)</f>
        <v>1</v>
      </c>
      <c r="V16" s="711">
        <f>ROUNDUP($D$6/E16,0)</f>
        <v>1</v>
      </c>
      <c r="W16" s="776">
        <v>12.15</v>
      </c>
      <c r="X16" s="765">
        <f>U16</f>
        <v>1</v>
      </c>
      <c r="Y16" s="765">
        <f>IF((G16)=0,IFERROR(ROUNDUP(IF((($D$4)-(G16))&lt;=0,0,(($D$4)-(G16)))/(G16),0),IF((($D$4)-(G16))&lt;=0,0,(($D$4)-(G16))))+(G16),(G16))</f>
        <v>7</v>
      </c>
      <c r="Z16" s="765">
        <f>(X16*Y16)</f>
        <v>7</v>
      </c>
      <c r="AA16" s="594">
        <f>(Z16/$D$8)</f>
        <v>2.3333333333333335</v>
      </c>
      <c r="AB16" s="491" t="str">
        <f>" " &amp; $D$6 &amp; "'"</f>
        <v xml:space="preserve"> 4'</v>
      </c>
      <c r="AC16" s="711">
        <f>(V16*AG16)-$D$6</f>
        <v>26</v>
      </c>
      <c r="AD16" s="263">
        <f>$D$6-(ROUNDDOWN($D$6/E16,0)*E16)</f>
        <v>4</v>
      </c>
      <c r="AE16" s="686">
        <f>$D$4</f>
        <v>1</v>
      </c>
      <c r="AF16" s="685">
        <f>IFERROR(ROUNDUP(AE16/AA16,0),0)</f>
        <v>1</v>
      </c>
      <c r="AG16" s="263">
        <f>E16</f>
        <v>30</v>
      </c>
      <c r="AJ16" s="685">
        <f>AF16*Z16</f>
        <v>7</v>
      </c>
      <c r="AK16" s="263">
        <f>AE16*AJ16</f>
        <v>7</v>
      </c>
      <c r="AR16" s="1225" t="str">
        <f t="shared" si="5"/>
        <v/>
      </c>
      <c r="AS16" s="1226"/>
      <c r="AT16" s="1225" t="str">
        <f t="shared" si="6"/>
        <v/>
      </c>
      <c r="AU16" s="1226"/>
      <c r="AV16" s="596">
        <f>ES16</f>
        <v>0</v>
      </c>
      <c r="AW16" s="596" t="str">
        <f>ET16</f>
        <v>0' rolls</v>
      </c>
      <c r="AX16" s="1"/>
      <c r="AY16" s="1260" t="str">
        <f t="shared" si="0"/>
        <v/>
      </c>
      <c r="AZ16" s="1226"/>
      <c r="BA16" s="995" t="str">
        <f t="shared" si="3"/>
        <v/>
      </c>
      <c r="BB16" s="1226"/>
      <c r="BC16" s="640">
        <f>IF($AW$20&lt;=$AW$34,AV16,AV30)</f>
        <v>0</v>
      </c>
      <c r="BD16" s="641" t="str">
        <f>IF($AW$20&lt;=$AW$34,AW16,AW30)</f>
        <v>0' rolls</v>
      </c>
      <c r="BE16" s="1"/>
      <c r="BF16" s="1"/>
      <c r="BG16" s="1260">
        <f t="shared" si="1"/>
        <v>0</v>
      </c>
      <c r="BH16" s="1239"/>
      <c r="BI16" s="1238">
        <f t="shared" si="4"/>
        <v>0</v>
      </c>
      <c r="BJ16" s="1226"/>
      <c r="BK16" s="640">
        <f>IF($AO$11=TRUE,AV16,0)</f>
        <v>0</v>
      </c>
      <c r="BL16" s="641">
        <f>IF($AO$11=TRUE,AW16,0)</f>
        <v>0</v>
      </c>
      <c r="BM16" s="1"/>
      <c r="BN16" s="1260" t="str">
        <f t="shared" si="2"/>
        <v/>
      </c>
      <c r="BO16" s="1226"/>
      <c r="BP16" s="1260" t="str">
        <f t="shared" si="7"/>
        <v/>
      </c>
      <c r="BQ16" s="1226"/>
      <c r="BR16" s="642">
        <f>IF(AND(OR($BL$18&lt;=$BL$32,BK30=0),$BL$18&gt;0),IF($AO$11=FALSE,"N/A",BK16),BK30)</f>
        <v>0</v>
      </c>
      <c r="BS16" s="649" t="str">
        <f>IF(AND(OR($BL$18&lt;=$BL$32,BL30=0),$BL$18&gt;0),IF($AO$11=FALSE,"N/A",BL16),BL30)</f>
        <v>0' rolls</v>
      </c>
      <c r="BT16" s="1"/>
      <c r="BU16" s="1"/>
      <c r="BW16" s="1005">
        <f t="shared" si="8"/>
        <v>0</v>
      </c>
      <c r="BX16" s="1006"/>
      <c r="BY16" s="1005">
        <f t="shared" si="9"/>
        <v>0</v>
      </c>
      <c r="BZ16" s="1006"/>
      <c r="CB16" s="1005" t="str">
        <f t="shared" si="10"/>
        <v/>
      </c>
      <c r="CC16" s="1006"/>
      <c r="CD16" s="1005" t="str">
        <f t="shared" si="11"/>
        <v/>
      </c>
      <c r="CE16" s="1006"/>
      <c r="CF16" s="268"/>
      <c r="CG16" s="1005" t="str">
        <f t="shared" si="12"/>
        <v/>
      </c>
      <c r="CH16" s="1006"/>
      <c r="CI16" s="1005" t="str">
        <f t="shared" si="13"/>
        <v/>
      </c>
      <c r="CJ16" s="1006"/>
      <c r="CK16" s="268"/>
      <c r="CL16" s="1005">
        <f t="shared" si="14"/>
        <v>0</v>
      </c>
      <c r="CM16" s="1006"/>
      <c r="CN16" s="1005">
        <f t="shared" si="15"/>
        <v>0</v>
      </c>
      <c r="CO16" s="1006"/>
      <c r="CP16" s="268"/>
      <c r="CQ16" s="268"/>
      <c r="CR16" s="268"/>
      <c r="CS16" s="268"/>
      <c r="CT16" s="268"/>
      <c r="CU16" s="268"/>
      <c r="CV16" s="268"/>
      <c r="CW16" s="268"/>
      <c r="CX16" s="268"/>
      <c r="CY16" s="268"/>
      <c r="CZ16" s="268"/>
      <c r="DA16" s="268"/>
      <c r="DB16" s="268"/>
      <c r="DC16" s="268"/>
      <c r="DD16" s="268"/>
      <c r="DE16" s="268"/>
      <c r="DF16" s="268"/>
      <c r="DG16" s="268"/>
      <c r="DH16" s="268"/>
      <c r="DI16" s="268"/>
      <c r="DJ16" s="268"/>
      <c r="DK16" s="268"/>
      <c r="DL16" s="268"/>
      <c r="DM16" s="268"/>
      <c r="DN16" s="268"/>
      <c r="DO16" s="268"/>
      <c r="DP16" s="268"/>
      <c r="DQ16" s="268"/>
      <c r="DR16" s="268"/>
      <c r="DS16" s="268"/>
      <c r="DT16" s="268"/>
      <c r="DU16" s="268"/>
      <c r="DV16" s="268"/>
      <c r="DW16" s="268"/>
      <c r="DX16" s="268"/>
      <c r="DY16" s="268"/>
      <c r="DZ16" s="268"/>
      <c r="EA16" s="268"/>
      <c r="EB16" s="268"/>
      <c r="EC16" s="268"/>
      <c r="ED16" s="268"/>
      <c r="EE16" s="268"/>
      <c r="EF16" s="268"/>
      <c r="EG16" s="268"/>
      <c r="EH16" s="268"/>
      <c r="EI16" s="268"/>
      <c r="EJ16" s="268"/>
      <c r="EK16" s="268"/>
      <c r="EL16" s="268"/>
      <c r="EM16" s="268"/>
      <c r="EN16" s="268"/>
      <c r="EO16" s="268"/>
      <c r="EP16" s="268"/>
      <c r="EQ16" s="268"/>
      <c r="ES16" s="620">
        <f>IF(EO14=0,0,EN14)</f>
        <v>0</v>
      </c>
      <c r="ET16" s="621" t="str">
        <f>"" &amp; IF(ES16=0,0,EO14) &amp; "' rolls"</f>
        <v>0' rolls</v>
      </c>
      <c r="EU16" s="12"/>
      <c r="EV16" s="1"/>
      <c r="EW16" s="1"/>
      <c r="EX16" s="1260" t="str">
        <f t="shared" si="16"/>
        <v/>
      </c>
      <c r="EY16" s="1226"/>
      <c r="EZ16" s="1260" t="str">
        <f t="shared" si="17"/>
        <v/>
      </c>
      <c r="FA16" s="1226"/>
      <c r="FB16" s="642">
        <f>BC16</f>
        <v>0</v>
      </c>
      <c r="FC16" s="649" t="str">
        <f>BD16</f>
        <v>0' rolls</v>
      </c>
      <c r="FD16" s="1"/>
      <c r="FF16" s="1260" t="str">
        <f t="shared" si="18"/>
        <v/>
      </c>
      <c r="FG16" s="1226"/>
      <c r="FH16" s="1260" t="str">
        <f t="shared" si="19"/>
        <v/>
      </c>
      <c r="FI16" s="1226"/>
      <c r="FJ16" s="642">
        <f>BR16</f>
        <v>0</v>
      </c>
      <c r="FK16" s="649" t="str">
        <f>BS16</f>
        <v>0' rolls</v>
      </c>
      <c r="FM16" s="47"/>
      <c r="FN16" s="532"/>
      <c r="FW16" s="47"/>
    </row>
    <row r="17" spans="3:179" ht="15.75" thickBot="1">
      <c r="C17" s="662"/>
      <c r="D17" s="479"/>
      <c r="G17" s="477"/>
      <c r="H17" s="477"/>
      <c r="J17" s="485"/>
      <c r="L17" s="487"/>
      <c r="O17" s="485"/>
      <c r="Q17" s="320"/>
      <c r="X17" s="583"/>
      <c r="Y17" s="764"/>
      <c r="Z17" s="764"/>
      <c r="AA17" s="764"/>
      <c r="AR17" s="1225" t="str">
        <f t="shared" si="5"/>
        <v/>
      </c>
      <c r="AS17" s="1226"/>
      <c r="AT17" s="1225" t="str">
        <f t="shared" si="6"/>
        <v/>
      </c>
      <c r="AU17" s="1226"/>
      <c r="AY17" s="1260" t="str">
        <f t="shared" si="0"/>
        <v/>
      </c>
      <c r="AZ17" s="1226"/>
      <c r="BA17" s="995" t="str">
        <f t="shared" si="3"/>
        <v/>
      </c>
      <c r="BB17" s="1226"/>
      <c r="BG17" s="1260">
        <f t="shared" si="1"/>
        <v>0</v>
      </c>
      <c r="BH17" s="1239"/>
      <c r="BI17" s="1238">
        <f t="shared" si="4"/>
        <v>0</v>
      </c>
      <c r="BJ17" s="1226"/>
      <c r="BN17" s="1260" t="str">
        <f t="shared" si="2"/>
        <v/>
      </c>
      <c r="BO17" s="1226"/>
      <c r="BP17" s="1260" t="str">
        <f t="shared" si="7"/>
        <v/>
      </c>
      <c r="BQ17" s="1226"/>
      <c r="BW17" s="1005">
        <f t="shared" si="8"/>
        <v>0</v>
      </c>
      <c r="BX17" s="1006"/>
      <c r="BY17" s="1005">
        <f t="shared" si="9"/>
        <v>0</v>
      </c>
      <c r="BZ17" s="1006"/>
      <c r="CB17" s="1005" t="str">
        <f t="shared" si="10"/>
        <v/>
      </c>
      <c r="CC17" s="1006"/>
      <c r="CD17" s="1005" t="str">
        <f t="shared" si="11"/>
        <v/>
      </c>
      <c r="CE17" s="1006"/>
      <c r="CF17" s="268"/>
      <c r="CG17" s="1005" t="str">
        <f t="shared" si="12"/>
        <v/>
      </c>
      <c r="CH17" s="1006"/>
      <c r="CI17" s="1005" t="str">
        <f t="shared" si="13"/>
        <v/>
      </c>
      <c r="CJ17" s="1006"/>
      <c r="CK17" s="268"/>
      <c r="CL17" s="1005">
        <f t="shared" si="14"/>
        <v>0</v>
      </c>
      <c r="CM17" s="1006"/>
      <c r="CN17" s="1005">
        <f t="shared" si="15"/>
        <v>0</v>
      </c>
      <c r="CO17" s="1006"/>
      <c r="CP17" s="268"/>
      <c r="CW17" s="268"/>
      <c r="CX17" s="268"/>
      <c r="DR17" s="268"/>
      <c r="DS17" s="268"/>
      <c r="EU17" s="47"/>
      <c r="EX17" s="1260" t="str">
        <f t="shared" si="16"/>
        <v/>
      </c>
      <c r="EY17" s="1226"/>
      <c r="EZ17" s="1260" t="str">
        <f t="shared" si="17"/>
        <v/>
      </c>
      <c r="FA17" s="1226"/>
      <c r="FF17" s="1260" t="str">
        <f t="shared" si="18"/>
        <v/>
      </c>
      <c r="FG17" s="1226"/>
      <c r="FH17" s="1260" t="str">
        <f t="shared" si="19"/>
        <v/>
      </c>
      <c r="FI17" s="1226"/>
      <c r="FM17" s="47"/>
      <c r="FN17" s="532"/>
      <c r="FW17" s="47"/>
    </row>
    <row r="18" spans="3:179" ht="15.75" thickBot="1">
      <c r="C18" s="662"/>
      <c r="D18" s="479"/>
      <c r="G18" s="477"/>
      <c r="H18" s="477"/>
      <c r="J18" s="485"/>
      <c r="L18" s="487"/>
      <c r="O18" s="485"/>
      <c r="Q18" s="320"/>
      <c r="X18" s="583"/>
      <c r="Y18" s="764"/>
      <c r="Z18" s="764"/>
      <c r="AA18" s="764"/>
      <c r="AR18" s="1227" t="str">
        <f t="shared" si="5"/>
        <v/>
      </c>
      <c r="AS18" s="1229"/>
      <c r="AT18" s="1227" t="str">
        <f t="shared" si="6"/>
        <v/>
      </c>
      <c r="AU18" s="1229"/>
      <c r="AV18" t="s">
        <v>506</v>
      </c>
      <c r="AW18" s="597">
        <f>DH14+EL14</f>
        <v>1</v>
      </c>
      <c r="AY18" s="1257" t="str">
        <f t="shared" si="0"/>
        <v/>
      </c>
      <c r="AZ18" s="1229"/>
      <c r="BA18" s="1228" t="str">
        <f t="shared" si="3"/>
        <v/>
      </c>
      <c r="BB18" s="1229"/>
      <c r="BC18" cm="1">
        <f t="array" ref="BC18">_xlfn.IFS(BD18=E16,AW34,BD18=E14,AW20,BD18=0,0)</f>
        <v>1</v>
      </c>
      <c r="BD18" s="597">
        <f>IF($AW$20&lt;=$AW$34,E14,E16)</f>
        <v>15</v>
      </c>
      <c r="BE18" s="597"/>
      <c r="BF18" s="597"/>
      <c r="BG18" s="1257">
        <f t="shared" si="1"/>
        <v>0</v>
      </c>
      <c r="BH18" s="1258"/>
      <c r="BI18" s="1259">
        <f t="shared" si="4"/>
        <v>0</v>
      </c>
      <c r="BJ18" s="1229"/>
      <c r="BK18" t="s">
        <v>506</v>
      </c>
      <c r="BL18">
        <f>IF($AO$11=TRUE,AW20,0)</f>
        <v>0</v>
      </c>
      <c r="BN18" s="1257" t="str">
        <f t="shared" si="2"/>
        <v/>
      </c>
      <c r="BO18" s="1229"/>
      <c r="BP18" s="1257" t="str">
        <f t="shared" si="7"/>
        <v/>
      </c>
      <c r="BQ18" s="1229"/>
      <c r="BR18" cm="1">
        <f t="array" ref="BR18">_xlfn.IFS(BS18=E16,AW34,BS18=E14,AW20,BS18=0,0)</f>
        <v>1</v>
      </c>
      <c r="BS18" s="597">
        <f>IF(AND(BL18=0,BL32=0),0,IF(AND($BL$18&lt;=$BL$32,BL18&lt;&gt;0),E14,E16))</f>
        <v>30</v>
      </c>
      <c r="BW18" s="1005">
        <f t="shared" si="8"/>
        <v>0</v>
      </c>
      <c r="BX18" s="1006"/>
      <c r="BY18" s="1005">
        <f t="shared" si="9"/>
        <v>0</v>
      </c>
      <c r="BZ18" s="1006"/>
      <c r="CB18" s="1005" t="str">
        <f t="shared" si="10"/>
        <v/>
      </c>
      <c r="CC18" s="1006"/>
      <c r="CD18" s="1005" t="str">
        <f t="shared" si="11"/>
        <v/>
      </c>
      <c r="CE18" s="1006"/>
      <c r="CF18" s="268"/>
      <c r="CG18" s="1005" t="str">
        <f t="shared" si="12"/>
        <v/>
      </c>
      <c r="CH18" s="1006"/>
      <c r="CI18" s="1005" t="str">
        <f t="shared" si="13"/>
        <v/>
      </c>
      <c r="CJ18" s="1006"/>
      <c r="CK18" s="268"/>
      <c r="CL18" s="1005">
        <f t="shared" si="14"/>
        <v>0</v>
      </c>
      <c r="CM18" s="1006"/>
      <c r="CN18" s="1005">
        <f t="shared" si="15"/>
        <v>0</v>
      </c>
      <c r="CO18" s="1006"/>
      <c r="CP18" s="268"/>
      <c r="CW18" s="268"/>
      <c r="CX18" s="268"/>
      <c r="DR18" s="268"/>
      <c r="DS18" s="268"/>
      <c r="EU18" s="47"/>
      <c r="EX18" s="1257" t="str">
        <f t="shared" si="16"/>
        <v/>
      </c>
      <c r="EY18" s="1229"/>
      <c r="EZ18" s="1257" t="str">
        <f t="shared" si="17"/>
        <v/>
      </c>
      <c r="FA18" s="1229"/>
      <c r="FB18" s="552">
        <f>BC18</f>
        <v>1</v>
      </c>
      <c r="FC18" s="667">
        <f>BD18</f>
        <v>15</v>
      </c>
      <c r="FF18" s="1257" t="str">
        <f t="shared" si="18"/>
        <v/>
      </c>
      <c r="FG18" s="1229"/>
      <c r="FH18" s="1257" t="str">
        <f t="shared" si="19"/>
        <v/>
      </c>
      <c r="FI18" s="1229"/>
      <c r="FJ18" s="552">
        <f>BR18</f>
        <v>1</v>
      </c>
      <c r="FK18" s="667">
        <f>BS18</f>
        <v>30</v>
      </c>
      <c r="FM18" s="47"/>
      <c r="FN18" s="532"/>
      <c r="FW18" s="47"/>
    </row>
    <row r="19" spans="3:179">
      <c r="C19" s="662"/>
      <c r="D19" s="479"/>
      <c r="G19" s="477"/>
      <c r="H19" s="477"/>
      <c r="J19" s="485"/>
      <c r="L19" s="487"/>
      <c r="O19" s="485"/>
      <c r="Q19" s="320"/>
      <c r="X19" s="583"/>
      <c r="Y19" s="764"/>
      <c r="Z19" s="764"/>
      <c r="AA19" s="764"/>
      <c r="AV19" t="s">
        <v>612</v>
      </c>
      <c r="AW19">
        <f>IF(G14=0,0,1)</f>
        <v>1</v>
      </c>
      <c r="BK19" t="s">
        <v>614</v>
      </c>
      <c r="BL19">
        <f>IF($AO$11=TRUE,AW21,0)</f>
        <v>0</v>
      </c>
      <c r="EU19" s="47"/>
      <c r="FM19" s="47"/>
      <c r="FN19" s="532"/>
      <c r="FW19" s="47"/>
    </row>
    <row r="20" spans="3:179" ht="30">
      <c r="C20" s="662"/>
      <c r="D20" s="479"/>
      <c r="G20" s="477"/>
      <c r="H20" s="477"/>
      <c r="J20" s="485"/>
      <c r="L20" s="487"/>
      <c r="O20" s="485"/>
      <c r="Q20" s="320"/>
      <c r="X20" s="583"/>
      <c r="Y20" s="764"/>
      <c r="Z20" s="764"/>
      <c r="AA20" s="764"/>
      <c r="AV20" s="289" t="s">
        <v>613</v>
      </c>
      <c r="AW20" s="597">
        <f>IF(AW19=0,AW18*D8,AW18)</f>
        <v>1</v>
      </c>
      <c r="BK20" s="597" t="s">
        <v>615</v>
      </c>
      <c r="BL20">
        <f>IF($AO$11=TRUE,AW22,0)</f>
        <v>0</v>
      </c>
      <c r="EU20" s="47"/>
      <c r="FM20" s="47"/>
      <c r="FN20" s="532"/>
      <c r="FW20" s="47"/>
    </row>
    <row r="21" spans="3:179">
      <c r="C21" s="662"/>
      <c r="D21" s="479"/>
      <c r="G21" s="477"/>
      <c r="H21" s="477"/>
      <c r="J21" s="485"/>
      <c r="L21" s="487"/>
      <c r="O21" s="485"/>
      <c r="Q21" s="320"/>
      <c r="X21" s="583"/>
      <c r="Y21" s="764"/>
      <c r="Z21" s="764"/>
      <c r="AA21" s="764"/>
      <c r="AV21" t="s">
        <v>614</v>
      </c>
      <c r="AW21">
        <f>SUM(AV14:AV16)</f>
        <v>1</v>
      </c>
      <c r="BK21" s="597"/>
      <c r="EU21" s="47"/>
      <c r="FM21" s="47"/>
      <c r="FN21" s="532"/>
      <c r="FW21" s="47"/>
    </row>
    <row r="22" spans="3:179">
      <c r="C22" s="662"/>
      <c r="D22" s="479"/>
      <c r="G22" s="477"/>
      <c r="J22" s="485"/>
      <c r="L22" s="487"/>
      <c r="O22" s="485"/>
      <c r="Q22" s="320"/>
      <c r="X22" s="583"/>
      <c r="Y22" s="764"/>
      <c r="Z22" s="764"/>
      <c r="AA22" s="764"/>
      <c r="AV22" s="597" t="s">
        <v>615</v>
      </c>
      <c r="AW22">
        <f>EQ14</f>
        <v>3</v>
      </c>
      <c r="BK22" s="597"/>
      <c r="EU22" s="47"/>
      <c r="FM22" s="47"/>
      <c r="FN22" s="532"/>
      <c r="FW22" s="47"/>
    </row>
    <row r="23" spans="3:179">
      <c r="C23" s="662"/>
      <c r="D23" s="479"/>
      <c r="G23" s="477"/>
      <c r="J23" s="485"/>
      <c r="L23" s="487"/>
      <c r="O23" s="485"/>
      <c r="Q23" s="320"/>
      <c r="X23" s="583"/>
      <c r="Y23" s="764"/>
      <c r="Z23" s="764"/>
      <c r="AA23" s="764"/>
      <c r="BK23" s="597"/>
      <c r="EU23" s="47"/>
      <c r="FM23" s="47"/>
      <c r="FN23" s="532"/>
      <c r="FW23" s="47"/>
    </row>
    <row r="24" spans="3:179" ht="15.75" thickBot="1">
      <c r="C24" s="532"/>
      <c r="BK24" s="597"/>
      <c r="EU24" s="47"/>
      <c r="FM24" s="47"/>
      <c r="FN24" s="532"/>
      <c r="FW24" s="47"/>
    </row>
    <row r="25" spans="3:179" ht="15.75" thickBot="1">
      <c r="C25" s="532"/>
      <c r="AO25" s="320" t="b">
        <f>Materials!J2</f>
        <v>1</v>
      </c>
      <c r="AP25" t="b">
        <f>AND(AO25=TRUE,BD18=30)</f>
        <v>0</v>
      </c>
      <c r="AR25" s="1420" t="str">
        <f>"12." &amp; E16 &amp; " (" &amp; DH28+EL28 &amp; ")"</f>
        <v>12.30 (1)</v>
      </c>
      <c r="AS25" s="1421"/>
      <c r="AT25" s="1421"/>
      <c r="AU25" s="1422"/>
      <c r="BG25" s="1283" t="str">
        <f t="shared" ref="BG25:BG32" si="20">IF($AO$25=TRUE,AR25,0)</f>
        <v>12.30 (1)</v>
      </c>
      <c r="BH25" s="1381"/>
      <c r="BI25" s="1381"/>
      <c r="BJ25" s="1284"/>
      <c r="BW25" s="1005">
        <f>SUM(BW27:BX32)</f>
        <v>3</v>
      </c>
      <c r="BX25" s="1006"/>
      <c r="BY25" s="1005">
        <f>SUM(BY27:BZ32)</f>
        <v>0</v>
      </c>
      <c r="BZ25" s="1006"/>
      <c r="CB25" s="1005">
        <f>SUM(CB27:CC32)</f>
        <v>12</v>
      </c>
      <c r="CC25" s="1006"/>
      <c r="CD25" s="1005">
        <f>SUM(CD27:CE32)</f>
        <v>0</v>
      </c>
      <c r="CE25" s="1006"/>
      <c r="CF25" s="268"/>
      <c r="CG25" s="1283" t="s">
        <v>569</v>
      </c>
      <c r="CH25" s="1381"/>
      <c r="CI25" s="1381"/>
      <c r="CJ25" s="1284"/>
      <c r="CK25" s="268"/>
      <c r="CL25" s="1283" t="s">
        <v>570</v>
      </c>
      <c r="CM25" s="1381"/>
      <c r="CN25" s="1381"/>
      <c r="CO25" s="1284"/>
      <c r="EU25" s="47"/>
      <c r="FM25" s="47"/>
      <c r="FN25" s="532"/>
      <c r="FW25" s="47"/>
    </row>
    <row r="26" spans="3:179" ht="90.75" thickBot="1">
      <c r="C26" s="532"/>
      <c r="AR26" s="1263" t="s">
        <v>608</v>
      </c>
      <c r="AS26" s="1234"/>
      <c r="AT26" s="1263" t="s">
        <v>608</v>
      </c>
      <c r="AU26" s="1234"/>
      <c r="AV26" s="1283" t="s">
        <v>544</v>
      </c>
      <c r="AW26" s="1284"/>
      <c r="BG26" s="1238" t="str">
        <f t="shared" si="20"/>
        <v>12"</v>
      </c>
      <c r="BH26" s="1239"/>
      <c r="BI26" s="1238" t="str">
        <f t="shared" ref="BI26:BI32" si="21">IF($AO$25=TRUE,AT26,0)</f>
        <v>12"</v>
      </c>
      <c r="BJ26" s="995"/>
      <c r="BK26" s="1230" t="str">
        <f>IF($AO$25=TRUE,AV26,0)</f>
        <v>OVERFLOW</v>
      </c>
      <c r="BL26" s="1232"/>
      <c r="CQ26" s="627" t="s">
        <v>1332</v>
      </c>
      <c r="CS26" s="627" t="s">
        <v>437</v>
      </c>
      <c r="CT26" s="374"/>
      <c r="CU26" s="625" t="s">
        <v>569</v>
      </c>
      <c r="CV26" s="626"/>
      <c r="CW26" s="374"/>
      <c r="CX26" s="627" t="s">
        <v>1333</v>
      </c>
      <c r="CY26" s="268"/>
      <c r="CZ26" s="627" t="s">
        <v>1333</v>
      </c>
      <c r="DA26" s="268"/>
      <c r="DB26" s="627" t="s">
        <v>1333</v>
      </c>
      <c r="DC26" s="268"/>
      <c r="DD26" s="627" t="s">
        <v>1334</v>
      </c>
      <c r="DE26" s="268"/>
      <c r="DF26" s="627" t="s">
        <v>569</v>
      </c>
      <c r="DG26" s="268"/>
      <c r="DH26" s="627" t="s">
        <v>569</v>
      </c>
      <c r="DI26" s="268"/>
      <c r="DJ26" s="627" t="s">
        <v>1335</v>
      </c>
      <c r="DK26" s="627" t="s">
        <v>1336</v>
      </c>
      <c r="DL26" s="268"/>
      <c r="DM26" s="627" t="s">
        <v>1335</v>
      </c>
      <c r="DN26" s="627" t="s">
        <v>1336</v>
      </c>
      <c r="DP26" s="627" t="s">
        <v>1335</v>
      </c>
      <c r="DQ26" s="627" t="s">
        <v>1336</v>
      </c>
      <c r="DR26" s="268"/>
      <c r="DS26" s="268"/>
      <c r="DT26" s="627" t="s">
        <v>435</v>
      </c>
      <c r="DU26" s="627" t="s">
        <v>1337</v>
      </c>
      <c r="DW26" s="1382" t="s">
        <v>570</v>
      </c>
      <c r="DX26" s="1384"/>
      <c r="DZ26" s="627" t="s">
        <v>1338</v>
      </c>
      <c r="EA26" s="268"/>
      <c r="EB26" s="627" t="s">
        <v>1338</v>
      </c>
      <c r="EC26" s="268"/>
      <c r="ED26" s="627" t="s">
        <v>1338</v>
      </c>
      <c r="EE26" s="268"/>
      <c r="EF26" s="627" t="s">
        <v>570</v>
      </c>
      <c r="EH26" s="627" t="s">
        <v>1339</v>
      </c>
      <c r="EI26" s="268"/>
      <c r="EJ26" s="627" t="s">
        <v>1340</v>
      </c>
      <c r="EK26" s="268"/>
      <c r="EL26" s="627" t="s">
        <v>570</v>
      </c>
      <c r="EM26" s="268"/>
      <c r="EN26" s="627" t="s">
        <v>1341</v>
      </c>
      <c r="EO26" s="627" t="s">
        <v>1342</v>
      </c>
      <c r="EQ26" s="624" t="s">
        <v>1343</v>
      </c>
      <c r="EU26" s="47"/>
      <c r="FM26" s="47"/>
      <c r="FN26" s="532"/>
      <c r="FW26" s="47"/>
    </row>
    <row r="27" spans="3:179" ht="15.75" thickBot="1">
      <c r="C27" s="532"/>
      <c r="AR27" s="1235" t="str">
        <f t="shared" ref="AR27:AR32" si="22">_xlfn.LET(
_xlpm.total,IF($G$16=0,$D$6,AK16),
_xlpm.fullName,IF($G$16=0,$AG$16,$AB$16),
_xlpm.leftName,$AD$16,
_xlpm.perNum,$Y$16,
_xlpm.allowCols,IF($D$4=1,1,$AE$16),
_xlpm.fullCount,INT(_xlpm.total/_xlpm.fullName),
_xlpm.leftOver,MOD(_xlpm.total,_xlpm.fullName),
_xlpm.maxCount,_xlpm.fullCount+IF(_xlpm.leftOver&gt;0,1,0),
_xlpm.rowsPerCol,IF($G$16=0,_xlpm.maxCount,$D$8),
_xlpm.rowInCol,ROW()-ROW($AR$27)+1,
_xlpm.colBlock,INT((COLUMN()-COLUMN($AR$27))/2),
_xlpm.n,IF(
    $G$16=0,
    _xlpm.rowInCol,
    (_xlpm.rowInCol-1)*_xlpm.allowCols+_xlpm.colBlock+1
),
IF($G$16&lt;&gt;0,
    IF(OR(
        _xlpm.rowInCol&gt;_xlpm.rowsPerCol,
        _xlpm.colBlock+1&gt;_xlpm.allowCols,
        _xlpm.n&gt;$AE$16*$AJ$16
    ),
        "",
        TEXT(_xlpm.fullName,"0.00")&amp;" ("&amp;ROUNDUP(_xlpm.n/_xlpm.perNum,0)&amp;")"
    ),
    IF(OR(_xlpm.rowInCol&gt;_xlpm.rowsPerCol,_xlpm.colBlock+1&gt;_xlpm.allowCols),
        "",
        IF(_xlpm.n&lt;=_xlpm.fullCount,
            TEXT(_xlpm.fullName,"0")&amp;"' ("&amp;_xlpm.n&amp;")",
            TEXT(_xlpm.leftName,"0")&amp;"' ("&amp;_xlpm.n&amp;")"
        )
    )
)
)</f>
        <v xml:space="preserve"> 4' (1)</v>
      </c>
      <c r="AS27" s="1285"/>
      <c r="AT27" s="1419" t="str">
        <f t="shared" ref="AT27:AT32" si="23">_xlfn.LET(
_xlpm.total,IF($G$16=0,$D$6,AM16),
_xlpm.fullName,IF($G$16=0,$AG$16,$AB$16),
_xlpm.leftName,$AD$16,
_xlpm.perNum,$Y$16,
_xlpm.allowCols,IF($D$4=1,1,$AE$16),
_xlpm.fullCount,INT(_xlpm.total/_xlpm.fullName),
_xlpm.leftOver,MOD(_xlpm.total,_xlpm.fullName),
_xlpm.maxCount,_xlpm.fullCount+IF(_xlpm.leftOver&gt;0,1,0),
_xlpm.rowsPerCol,IF($G$16=0,_xlpm.maxCount,$D$8),
_xlpm.rowInCol,ROW()-ROW($AR$27)+1,
_xlpm.colBlock,INT((COLUMN()-COLUMN($AR$27))/2),
_xlpm.n,IF(
    $G$16=0,
    _xlpm.rowInCol,
    (_xlpm.rowInCol-1)*_xlpm.allowCols+_xlpm.colBlock+1
),
IF($G$16&lt;&gt;0,
    IF(OR(
        _xlpm.rowInCol&gt;_xlpm.rowsPerCol,
        _xlpm.colBlock+1&gt;_xlpm.allowCols,
        _xlpm.n&gt;$AE$16*$AJ$16
    ),
        "",
        TEXT(_xlpm.fullName,"0.00")&amp;" ("&amp;ROUNDUP(_xlpm.n/_xlpm.perNum,0)&amp;")"
    ),
    IF(OR(_xlpm.rowInCol&gt;_xlpm.rowsPerCol,_xlpm.colBlock+1&gt;_xlpm.allowCols),
        "",
        IF(_xlpm.n&lt;=_xlpm.fullCount,
            TEXT(_xlpm.fullName,"0")&amp;"' ("&amp;_xlpm.n&amp;")",
            TEXT(_xlpm.leftName,"0")&amp;"' ("&amp;_xlpm.n&amp;")"
        )
    )
)
)</f>
        <v/>
      </c>
      <c r="AU27" s="1285"/>
      <c r="AV27" s="1286" t="str">
        <f>ES27</f>
        <v>Total 18'</v>
      </c>
      <c r="AW27" s="1269"/>
      <c r="BG27" s="1261" t="str">
        <f t="shared" si="20"/>
        <v xml:space="preserve"> 4' (1)</v>
      </c>
      <c r="BH27" s="1237"/>
      <c r="BI27" s="1236" t="str">
        <f t="shared" si="21"/>
        <v/>
      </c>
      <c r="BJ27" s="1237"/>
      <c r="BK27" s="1230" t="str">
        <f>IF($AO$25=TRUE,AV27,0)</f>
        <v>Total 18'</v>
      </c>
      <c r="BL27" s="1232"/>
      <c r="BW27" s="1005">
        <f t="shared" ref="BW27:BW32" si="24">IF(LEN(AR27)&gt;0,1,0)</f>
        <v>1</v>
      </c>
      <c r="BX27" s="1006"/>
      <c r="BY27" s="1005">
        <f t="shared" ref="BY27:BY32" si="25">IF(LEN(AT27)&gt;0,1,0)</f>
        <v>0</v>
      </c>
      <c r="BZ27" s="1006"/>
      <c r="CB27" s="1005">
        <f t="shared" ref="CB27:CB32" si="26">IF(AR27="","",--_xlfn.TEXTBEFORE(AR27,"'"))</f>
        <v>4</v>
      </c>
      <c r="CC27" s="1006"/>
      <c r="CD27" s="1005" t="str">
        <f t="shared" ref="CD27:CD32" si="27">IF(AT27="","",--_xlfn.TEXTBEFORE(AT27,"'"))</f>
        <v/>
      </c>
      <c r="CE27" s="1006"/>
      <c r="CF27" s="268"/>
      <c r="CG27" s="1005">
        <f t="shared" ref="CG27:CG32" si="28">IF(CB27=$CS$28,CB27,"")</f>
        <v>4</v>
      </c>
      <c r="CH27" s="1006"/>
      <c r="CI27" s="1005" t="str">
        <f t="shared" ref="CI27:CI32" si="29">IF(CD27=$CS$28,CD27,"")</f>
        <v/>
      </c>
      <c r="CJ27" s="1006"/>
      <c r="CK27" s="268"/>
      <c r="CL27" s="1005">
        <f t="shared" ref="CL27:CL32" si="30">IF(CG27=$CS$28,0,IF(CB27="",0,IF(CB27=$CS$28,$AG$16-CB27,$AG$16-AC16)))</f>
        <v>0</v>
      </c>
      <c r="CM27" s="1006"/>
      <c r="CN27" s="1005">
        <f t="shared" ref="CN27:CN32" si="31">IF(CI27=$CS$28,0,IF(CD27="",0,IF(CD27=$CS$28,$AG$16-CD27,$AG$16-AE16)))</f>
        <v>0</v>
      </c>
      <c r="CO27" s="1006"/>
      <c r="ES27" s="1271" t="str">
        <f>"Total " &amp; EQ28&amp; "'"</f>
        <v>Total 18'</v>
      </c>
      <c r="ET27" s="1269"/>
      <c r="EU27" s="12"/>
      <c r="EV27" s="1"/>
      <c r="EW27" s="1"/>
      <c r="EX27" s="1"/>
      <c r="EY27" s="1"/>
      <c r="EZ27" s="1"/>
      <c r="FA27" s="1"/>
      <c r="FB27" s="1"/>
      <c r="FC27" s="1"/>
      <c r="FD27" s="1"/>
      <c r="FE27" s="1"/>
      <c r="FF27" s="1"/>
      <c r="FG27" s="1"/>
      <c r="FH27" s="1"/>
      <c r="FI27" s="1"/>
      <c r="FJ27" s="1"/>
      <c r="FK27" s="1"/>
      <c r="FL27" s="1"/>
      <c r="FM27" s="47"/>
      <c r="FN27" s="532"/>
      <c r="FW27" s="47"/>
    </row>
    <row r="28" spans="3:179" ht="15.75" thickBot="1">
      <c r="C28" s="532"/>
      <c r="AR28" s="1225" t="str">
        <f t="shared" si="22"/>
        <v xml:space="preserve"> 4' (1)</v>
      </c>
      <c r="AS28" s="1289"/>
      <c r="AT28" s="1418" t="str">
        <f t="shared" si="23"/>
        <v/>
      </c>
      <c r="AU28" s="1289"/>
      <c r="AV28" s="455">
        <f>ES28</f>
        <v>0</v>
      </c>
      <c r="AW28" s="456" t="str">
        <f>ET28</f>
        <v>0' rolls</v>
      </c>
      <c r="BG28" s="1260" t="str">
        <f t="shared" si="20"/>
        <v xml:space="preserve"> 4' (1)</v>
      </c>
      <c r="BH28" s="1226"/>
      <c r="BI28" s="995" t="str">
        <f t="shared" si="21"/>
        <v/>
      </c>
      <c r="BJ28" s="1226"/>
      <c r="BK28" s="637">
        <f>IF($AO$25=TRUE,AV28,0)</f>
        <v>0</v>
      </c>
      <c r="BL28" s="44" t="str">
        <f>IF($AO$25=TRUE,AW28,0)</f>
        <v>0' rolls</v>
      </c>
      <c r="BW28" s="1005">
        <f t="shared" si="24"/>
        <v>1</v>
      </c>
      <c r="BX28" s="1006"/>
      <c r="BY28" s="1005">
        <f t="shared" si="25"/>
        <v>0</v>
      </c>
      <c r="BZ28" s="1006"/>
      <c r="CB28" s="1005">
        <f t="shared" si="26"/>
        <v>4</v>
      </c>
      <c r="CC28" s="1006"/>
      <c r="CD28" s="1005" t="str">
        <f t="shared" si="27"/>
        <v/>
      </c>
      <c r="CE28" s="1006"/>
      <c r="CF28" s="268"/>
      <c r="CG28" s="1005">
        <f t="shared" si="28"/>
        <v>4</v>
      </c>
      <c r="CH28" s="1006"/>
      <c r="CI28" s="1005" t="str">
        <f t="shared" si="29"/>
        <v/>
      </c>
      <c r="CJ28" s="1006"/>
      <c r="CK28" s="268"/>
      <c r="CL28" s="1005">
        <f t="shared" si="30"/>
        <v>0</v>
      </c>
      <c r="CM28" s="1006"/>
      <c r="CN28" s="1005">
        <f t="shared" si="31"/>
        <v>0</v>
      </c>
      <c r="CO28" s="1006"/>
      <c r="CQ28" s="622">
        <f>IF(CB25=CD25,0,1)</f>
        <v>1</v>
      </c>
      <c r="CS28" s="627">
        <f>MAX(CB27:CC32)</f>
        <v>4</v>
      </c>
      <c r="CT28" s="374"/>
      <c r="CU28" s="625" cm="1">
        <f t="array" ref="CU28">SUMPRODUCT(--ISNUMBER(CG27:CJ32),--(CG27:CJ32&lt;&gt;0))</f>
        <v>3</v>
      </c>
      <c r="CV28" s="627">
        <f>CS28</f>
        <v>4</v>
      </c>
      <c r="CW28" s="374"/>
      <c r="CX28" s="622">
        <f>CV28*CU28</f>
        <v>12</v>
      </c>
      <c r="CY28" s="268"/>
      <c r="CZ28" s="622">
        <f>ROUNDDOWN(AG16/CS28,0)</f>
        <v>7</v>
      </c>
      <c r="DB28" s="622">
        <f>AG16*IFERROR(ROUNDUP(CU28/CZ28,0),0)</f>
        <v>30</v>
      </c>
      <c r="DD28" s="622">
        <f>DB28-CX28</f>
        <v>18</v>
      </c>
      <c r="DF28" s="622">
        <f>CS28*CZ28</f>
        <v>28</v>
      </c>
      <c r="DH28" s="622">
        <f>ROUNDUP(CU28/CZ28,0)</f>
        <v>1</v>
      </c>
      <c r="DI28" s="268"/>
      <c r="DJ28" s="617">
        <f>ROUNDDOWN(CU28/CZ28,0)</f>
        <v>0</v>
      </c>
      <c r="DK28" s="622">
        <f>AG16-(CZ28*CS28)</f>
        <v>2</v>
      </c>
      <c r="DL28" s="1" t="s">
        <v>441</v>
      </c>
      <c r="DM28" s="617">
        <f>DH28-DJ28</f>
        <v>1</v>
      </c>
      <c r="DN28" s="622">
        <f>IF(DJ28=0,DD28,DD28-DK28)</f>
        <v>18</v>
      </c>
      <c r="DP28" s="617">
        <f>DH28</f>
        <v>1</v>
      </c>
      <c r="DQ28" s="622">
        <f>DD28/DP28</f>
        <v>18</v>
      </c>
      <c r="DT28" s="625">
        <f>MIN(CB27:CE32)</f>
        <v>4</v>
      </c>
      <c r="DU28" s="627">
        <f>IF(CS28=DT28,AG16-AD16,DT28)</f>
        <v>26</v>
      </c>
      <c r="DW28" s="625" cm="1">
        <f t="array" ref="DW28">SUMPRODUCT(--ISNUMBER(CL27:CO32),--(CL27:CO32&lt;&gt;0))</f>
        <v>0</v>
      </c>
      <c r="DX28" s="627">
        <f>DU28</f>
        <v>26</v>
      </c>
      <c r="DZ28" s="593">
        <f>DW28*DX28</f>
        <v>0</v>
      </c>
      <c r="EA28" s="268"/>
      <c r="EB28" s="593">
        <f>IFERROR(ROUNDDOWN(AG16/DU28,0),0)</f>
        <v>1</v>
      </c>
      <c r="ED28" s="593">
        <f>_xlfn.CEILING.MATH(DZ28,AG16)</f>
        <v>0</v>
      </c>
      <c r="EF28" s="593">
        <f>ED28/AG16</f>
        <v>0</v>
      </c>
      <c r="EH28" s="593">
        <f>IFERROR((ED28-DZ28)/EF28,0)</f>
        <v>0</v>
      </c>
      <c r="EJ28" s="593">
        <f>DU28*EB28</f>
        <v>26</v>
      </c>
      <c r="EL28" s="593">
        <f>ROUNDUP(DW28/EB28,0)</f>
        <v>0</v>
      </c>
      <c r="EM28" s="268"/>
      <c r="EN28" s="617">
        <f>EL28</f>
        <v>0</v>
      </c>
      <c r="EO28" s="622">
        <f>EH28</f>
        <v>0</v>
      </c>
      <c r="EQ28" s="593">
        <f>(DP28*DQ28)+(EN28*EO28)</f>
        <v>18</v>
      </c>
      <c r="ES28" s="623">
        <f>IF(DK28=0,0,DJ28)</f>
        <v>0</v>
      </c>
      <c r="ET28" s="456" t="str">
        <f>"" &amp; IF(ES28=0,0,DK28) &amp; "' rolls"</f>
        <v>0' rolls</v>
      </c>
      <c r="EU28" s="12"/>
      <c r="EV28" s="1"/>
      <c r="EW28" s="1"/>
      <c r="EX28" s="1"/>
      <c r="EY28" s="1"/>
      <c r="EZ28" s="1"/>
      <c r="FA28" s="1"/>
      <c r="FB28" s="1"/>
      <c r="FC28" s="1"/>
      <c r="FD28" s="1"/>
      <c r="FE28" s="1"/>
      <c r="FF28" s="1"/>
      <c r="FG28" s="1"/>
      <c r="FH28" s="1"/>
      <c r="FI28" s="1"/>
      <c r="FJ28" s="1"/>
      <c r="FK28" s="1"/>
      <c r="FL28" s="1"/>
      <c r="FM28" s="47"/>
      <c r="FN28" s="532"/>
      <c r="FW28" s="47"/>
    </row>
    <row r="29" spans="3:179" ht="15.75" thickBot="1">
      <c r="C29" s="532"/>
      <c r="AR29" s="1225" t="str">
        <f t="shared" si="22"/>
        <v xml:space="preserve"> 4' (1)</v>
      </c>
      <c r="AS29" s="1289"/>
      <c r="AT29" s="1418" t="str">
        <f t="shared" si="23"/>
        <v/>
      </c>
      <c r="AU29" s="1289"/>
      <c r="AV29" s="653">
        <f>ES29</f>
        <v>1</v>
      </c>
      <c r="AW29" s="598" t="str">
        <f>ET29</f>
        <v>18' rolls</v>
      </c>
      <c r="BG29" s="1260" t="str">
        <f t="shared" si="20"/>
        <v xml:space="preserve"> 4' (1)</v>
      </c>
      <c r="BH29" s="1226"/>
      <c r="BI29" s="995" t="str">
        <f t="shared" si="21"/>
        <v/>
      </c>
      <c r="BJ29" s="1226"/>
      <c r="BK29" s="637">
        <f>IF($AO$25=TRUE,AV29,0)</f>
        <v>1</v>
      </c>
      <c r="BL29" s="44" t="str">
        <f>IF($AO$25=TRUE,AW29,0)</f>
        <v>18' rolls</v>
      </c>
      <c r="BW29" s="1005">
        <f t="shared" si="24"/>
        <v>1</v>
      </c>
      <c r="BX29" s="1006"/>
      <c r="BY29" s="1005">
        <f t="shared" si="25"/>
        <v>0</v>
      </c>
      <c r="BZ29" s="1006"/>
      <c r="CB29" s="1005">
        <f t="shared" si="26"/>
        <v>4</v>
      </c>
      <c r="CC29" s="1006"/>
      <c r="CD29" s="1005" t="str">
        <f t="shared" si="27"/>
        <v/>
      </c>
      <c r="CE29" s="1006"/>
      <c r="CF29" s="268"/>
      <c r="CG29" s="1005">
        <f t="shared" si="28"/>
        <v>4</v>
      </c>
      <c r="CH29" s="1006"/>
      <c r="CI29" s="1005" t="str">
        <f t="shared" si="29"/>
        <v/>
      </c>
      <c r="CJ29" s="1006"/>
      <c r="CK29" s="268"/>
      <c r="CL29" s="1005">
        <f t="shared" si="30"/>
        <v>0</v>
      </c>
      <c r="CM29" s="1006"/>
      <c r="CN29" s="1005">
        <f t="shared" si="31"/>
        <v>0</v>
      </c>
      <c r="CO29" s="1006"/>
      <c r="ES29" s="617">
        <f>IF(DN28=0,0,DM28)</f>
        <v>1</v>
      </c>
      <c r="ET29" s="598" t="str">
        <f>"" &amp; IF(ES29=0,0,DN28) &amp; "' rolls"</f>
        <v>18' rolls</v>
      </c>
      <c r="EU29" s="12"/>
      <c r="EV29" s="1"/>
      <c r="EW29" s="1"/>
      <c r="EX29" s="1"/>
      <c r="EY29" s="1"/>
      <c r="EZ29" s="1"/>
      <c r="FA29" s="1"/>
      <c r="FB29" s="1"/>
      <c r="FC29" s="1"/>
      <c r="FD29" s="1"/>
      <c r="FE29" s="1"/>
      <c r="FF29" s="1"/>
      <c r="FG29" s="1"/>
      <c r="FH29" s="1"/>
      <c r="FI29" s="1"/>
      <c r="FJ29" s="1"/>
      <c r="FK29" s="1"/>
      <c r="FL29" s="1"/>
      <c r="FM29" s="47"/>
      <c r="FN29" s="532"/>
      <c r="FW29" s="47"/>
    </row>
    <row r="30" spans="3:179" ht="15.75" thickBot="1">
      <c r="C30" s="532"/>
      <c r="AR30" s="1225" t="str">
        <f t="shared" si="22"/>
        <v/>
      </c>
      <c r="AS30" s="1289"/>
      <c r="AT30" s="1418" t="str">
        <f t="shared" si="23"/>
        <v/>
      </c>
      <c r="AU30" s="1289"/>
      <c r="AV30" s="604">
        <f>ES30</f>
        <v>0</v>
      </c>
      <c r="AW30" s="621" t="str">
        <f>ET30</f>
        <v>0' rolls</v>
      </c>
      <c r="BG30" s="1260" t="str">
        <f t="shared" si="20"/>
        <v/>
      </c>
      <c r="BH30" s="1226"/>
      <c r="BI30" s="995" t="str">
        <f t="shared" si="21"/>
        <v/>
      </c>
      <c r="BJ30" s="1226"/>
      <c r="BK30" s="642">
        <f>IF($AO$25=TRUE,AV30,0)</f>
        <v>0</v>
      </c>
      <c r="BL30" s="633" t="str">
        <f>IF($AO$25=TRUE,AW30,0)</f>
        <v>0' rolls</v>
      </c>
      <c r="BW30" s="1005">
        <f t="shared" si="24"/>
        <v>0</v>
      </c>
      <c r="BX30" s="1006"/>
      <c r="BY30" s="1005">
        <f t="shared" si="25"/>
        <v>0</v>
      </c>
      <c r="BZ30" s="1006"/>
      <c r="CB30" s="1005" t="str">
        <f t="shared" si="26"/>
        <v/>
      </c>
      <c r="CC30" s="1006"/>
      <c r="CD30" s="1005" t="str">
        <f t="shared" si="27"/>
        <v/>
      </c>
      <c r="CE30" s="1006"/>
      <c r="CF30" s="268"/>
      <c r="CG30" s="1005" t="str">
        <f t="shared" si="28"/>
        <v/>
      </c>
      <c r="CH30" s="1006"/>
      <c r="CI30" s="1005" t="str">
        <f t="shared" si="29"/>
        <v/>
      </c>
      <c r="CJ30" s="1006"/>
      <c r="CK30" s="268"/>
      <c r="CL30" s="1005">
        <f t="shared" si="30"/>
        <v>0</v>
      </c>
      <c r="CM30" s="1006"/>
      <c r="CN30" s="1005">
        <f t="shared" si="31"/>
        <v>0</v>
      </c>
      <c r="CO30" s="1006"/>
      <c r="ES30" s="620">
        <f>IF(EO28=0,0,EN28)</f>
        <v>0</v>
      </c>
      <c r="ET30" s="621" t="str">
        <f>"" &amp; IF(ES30=0,0,EO28) &amp; "' rolls"</f>
        <v>0' rolls</v>
      </c>
      <c r="EU30" s="12"/>
      <c r="EV30" s="1"/>
      <c r="EW30" s="1"/>
      <c r="EX30" s="1"/>
      <c r="EY30" s="1"/>
      <c r="EZ30" s="1"/>
      <c r="FA30" s="1"/>
      <c r="FB30" s="1"/>
      <c r="FC30" s="1"/>
      <c r="FD30" s="1"/>
      <c r="FE30" s="1"/>
      <c r="FF30" s="1"/>
      <c r="FG30" s="1"/>
      <c r="FH30" s="1"/>
      <c r="FI30" s="1"/>
      <c r="FJ30" s="1"/>
      <c r="FK30" s="1"/>
      <c r="FL30" s="1"/>
      <c r="FM30" s="47"/>
      <c r="FN30" s="532"/>
      <c r="FW30" s="47"/>
    </row>
    <row r="31" spans="3:179">
      <c r="C31" s="532"/>
      <c r="AR31" s="1225" t="str">
        <f t="shared" si="22"/>
        <v/>
      </c>
      <c r="AS31" s="1289"/>
      <c r="AT31" s="1418" t="str">
        <f t="shared" si="23"/>
        <v/>
      </c>
      <c r="AU31" s="1289"/>
      <c r="BG31" s="1260" t="str">
        <f t="shared" si="20"/>
        <v/>
      </c>
      <c r="BH31" s="1226"/>
      <c r="BI31" s="995" t="str">
        <f t="shared" si="21"/>
        <v/>
      </c>
      <c r="BJ31" s="1226"/>
      <c r="BW31" s="1005">
        <f t="shared" si="24"/>
        <v>0</v>
      </c>
      <c r="BX31" s="1006"/>
      <c r="BY31" s="1005">
        <f t="shared" si="25"/>
        <v>0</v>
      </c>
      <c r="BZ31" s="1006"/>
      <c r="CB31" s="1005" t="str">
        <f t="shared" si="26"/>
        <v/>
      </c>
      <c r="CC31" s="1006"/>
      <c r="CD31" s="1005" t="str">
        <f t="shared" si="27"/>
        <v/>
      </c>
      <c r="CE31" s="1006"/>
      <c r="CF31" s="268"/>
      <c r="CG31" s="1005" t="str">
        <f t="shared" si="28"/>
        <v/>
      </c>
      <c r="CH31" s="1006"/>
      <c r="CI31" s="1005" t="str">
        <f t="shared" si="29"/>
        <v/>
      </c>
      <c r="CJ31" s="1006"/>
      <c r="CK31" s="268"/>
      <c r="CL31" s="1005">
        <f t="shared" si="30"/>
        <v>0</v>
      </c>
      <c r="CM31" s="1006"/>
      <c r="CN31" s="1005">
        <f t="shared" si="31"/>
        <v>0</v>
      </c>
      <c r="CO31" s="1006"/>
      <c r="EU31" s="47"/>
      <c r="FM31" s="47"/>
      <c r="FN31" s="532"/>
      <c r="FW31" s="47"/>
    </row>
    <row r="32" spans="3:179" ht="15.75" thickBot="1">
      <c r="C32" s="532"/>
      <c r="AR32" s="1227" t="str">
        <f t="shared" si="22"/>
        <v/>
      </c>
      <c r="AS32" s="1290"/>
      <c r="AT32" s="1417" t="str">
        <f t="shared" si="23"/>
        <v/>
      </c>
      <c r="AU32" s="1290"/>
      <c r="AV32" t="s">
        <v>506</v>
      </c>
      <c r="AW32" s="597">
        <f>DH28+EL28</f>
        <v>1</v>
      </c>
      <c r="BG32" s="1257" t="str">
        <f t="shared" si="20"/>
        <v/>
      </c>
      <c r="BH32" s="1229"/>
      <c r="BI32" s="1228" t="str">
        <f t="shared" si="21"/>
        <v/>
      </c>
      <c r="BJ32" s="1229"/>
      <c r="BK32" t="s">
        <v>506</v>
      </c>
      <c r="BL32">
        <f>IF($AO$25=TRUE,AW34,0)</f>
        <v>1</v>
      </c>
      <c r="BW32" s="1005">
        <f t="shared" si="24"/>
        <v>0</v>
      </c>
      <c r="BX32" s="1006"/>
      <c r="BY32" s="1005">
        <f t="shared" si="25"/>
        <v>0</v>
      </c>
      <c r="BZ32" s="1006"/>
      <c r="CB32" s="1005" t="str">
        <f t="shared" si="26"/>
        <v/>
      </c>
      <c r="CC32" s="1006"/>
      <c r="CD32" s="1005" t="str">
        <f t="shared" si="27"/>
        <v/>
      </c>
      <c r="CE32" s="1006"/>
      <c r="CF32" s="268"/>
      <c r="CG32" s="1005" t="str">
        <f t="shared" si="28"/>
        <v/>
      </c>
      <c r="CH32" s="1006"/>
      <c r="CI32" s="1005" t="str">
        <f t="shared" si="29"/>
        <v/>
      </c>
      <c r="CJ32" s="1006"/>
      <c r="CK32" s="268"/>
      <c r="CL32" s="1005">
        <f t="shared" si="30"/>
        <v>0</v>
      </c>
      <c r="CM32" s="1006"/>
      <c r="CN32" s="1005">
        <f t="shared" si="31"/>
        <v>0</v>
      </c>
      <c r="CO32" s="1006"/>
      <c r="EU32" s="47"/>
      <c r="FM32" s="47"/>
      <c r="FN32" s="532"/>
      <c r="FW32" s="47"/>
    </row>
    <row r="33" spans="3:179">
      <c r="C33" s="532"/>
      <c r="AV33" t="s">
        <v>612</v>
      </c>
      <c r="AW33">
        <f>IF(G16=0,0,1)</f>
        <v>1</v>
      </c>
      <c r="BK33" t="s">
        <v>614</v>
      </c>
      <c r="BL33">
        <f>IF($AO$25=TRUE,AW35,0)</f>
        <v>1</v>
      </c>
      <c r="EU33" s="47"/>
      <c r="FM33" s="47"/>
      <c r="FN33" s="532"/>
      <c r="FW33" s="47"/>
    </row>
    <row r="34" spans="3:179" ht="30">
      <c r="C34" s="532"/>
      <c r="AV34" s="289" t="s">
        <v>613</v>
      </c>
      <c r="AW34" s="597">
        <f>IF(AW33=0,AW32*D8,AW32)</f>
        <v>1</v>
      </c>
      <c r="BK34" s="597" t="s">
        <v>615</v>
      </c>
      <c r="BL34">
        <f>IF($AO$25=TRUE,AW36,0)</f>
        <v>18</v>
      </c>
      <c r="EU34" s="47"/>
      <c r="FM34" s="47"/>
      <c r="FN34" s="532"/>
      <c r="FW34" s="47"/>
    </row>
    <row r="35" spans="3:179">
      <c r="C35" s="532"/>
      <c r="AV35" t="s">
        <v>614</v>
      </c>
      <c r="AW35">
        <f>SUM(AV28:AV30)</f>
        <v>1</v>
      </c>
      <c r="EU35" s="47"/>
      <c r="FM35" s="47"/>
      <c r="FN35" s="532"/>
      <c r="FW35" s="47"/>
    </row>
    <row r="36" spans="3:179">
      <c r="C36" s="532"/>
      <c r="AV36" s="597" t="s">
        <v>615</v>
      </c>
      <c r="AW36">
        <f>EQ28</f>
        <v>18</v>
      </c>
      <c r="EU36" s="47"/>
      <c r="FM36" s="47"/>
      <c r="FN36" s="532"/>
      <c r="FW36" s="47"/>
    </row>
    <row r="37" spans="3:179" ht="15.75" thickBot="1">
      <c r="C37" s="663"/>
      <c r="D37" s="46"/>
      <c r="E37" s="46"/>
      <c r="F37" s="46"/>
      <c r="G37" s="46"/>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c r="CZ37" s="46"/>
      <c r="DA37" s="46"/>
      <c r="DB37" s="46"/>
      <c r="DC37" s="46"/>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664"/>
      <c r="EV37" s="46"/>
      <c r="EW37" s="46"/>
      <c r="EX37" s="46"/>
      <c r="EY37" s="46"/>
      <c r="EZ37" s="46"/>
      <c r="FA37" s="46"/>
      <c r="FB37" s="46"/>
      <c r="FC37" s="46"/>
      <c r="FD37" s="46"/>
      <c r="FE37" s="46"/>
      <c r="FF37" s="46"/>
      <c r="FG37" s="46"/>
      <c r="FH37" s="46"/>
      <c r="FI37" s="46"/>
      <c r="FJ37" s="46"/>
      <c r="FK37" s="46"/>
      <c r="FL37" s="46"/>
      <c r="FM37" s="664"/>
      <c r="FN37" s="663"/>
      <c r="FO37" s="46"/>
      <c r="FP37" s="46"/>
      <c r="FQ37" s="46"/>
      <c r="FR37" s="46"/>
      <c r="FS37" s="46"/>
      <c r="FT37" s="46"/>
      <c r="FU37" s="46"/>
      <c r="FV37" s="46"/>
      <c r="FW37" s="664"/>
    </row>
  </sheetData>
  <mergeCells count="256">
    <mergeCell ref="C2:E2"/>
    <mergeCell ref="AY9:BD9"/>
    <mergeCell ref="BN9:BS9"/>
    <mergeCell ref="EX9:FC9"/>
    <mergeCell ref="FF9:FK9"/>
    <mergeCell ref="FO9:FQ9"/>
    <mergeCell ref="FS9:FU9"/>
    <mergeCell ref="AR11:AU11"/>
    <mergeCell ref="AY11:BB11"/>
    <mergeCell ref="BG11:BJ11"/>
    <mergeCell ref="BN11:BQ11"/>
    <mergeCell ref="BW11:BX11"/>
    <mergeCell ref="BY11:BZ11"/>
    <mergeCell ref="CB11:CC11"/>
    <mergeCell ref="CD11:CE11"/>
    <mergeCell ref="CG11:CJ11"/>
    <mergeCell ref="CL11:CO11"/>
    <mergeCell ref="EX11:FA11"/>
    <mergeCell ref="FF11:FI11"/>
    <mergeCell ref="AR12:AS12"/>
    <mergeCell ref="AT12:AU12"/>
    <mergeCell ref="AV12:AW12"/>
    <mergeCell ref="AY12:AZ12"/>
    <mergeCell ref="BA12:BB12"/>
    <mergeCell ref="BC12:BD12"/>
    <mergeCell ref="BG12:BH12"/>
    <mergeCell ref="EX12:EY12"/>
    <mergeCell ref="EZ12:FA12"/>
    <mergeCell ref="FB12:FC12"/>
    <mergeCell ref="FF12:FG12"/>
    <mergeCell ref="FH12:FI12"/>
    <mergeCell ref="FJ12:FK12"/>
    <mergeCell ref="BI12:BJ12"/>
    <mergeCell ref="BK12:BL12"/>
    <mergeCell ref="BN12:BO12"/>
    <mergeCell ref="BP12:BQ12"/>
    <mergeCell ref="BR12:BS12"/>
    <mergeCell ref="DW12:DX12"/>
    <mergeCell ref="BK13:BL13"/>
    <mergeCell ref="BN13:BO13"/>
    <mergeCell ref="BP13:BQ13"/>
    <mergeCell ref="BR13:BS13"/>
    <mergeCell ref="AR13:AS13"/>
    <mergeCell ref="AT13:AU13"/>
    <mergeCell ref="AV13:AW13"/>
    <mergeCell ref="AY13:AZ13"/>
    <mergeCell ref="BA13:BB13"/>
    <mergeCell ref="BC13:BD13"/>
    <mergeCell ref="FF13:FG13"/>
    <mergeCell ref="FH13:FI13"/>
    <mergeCell ref="FJ13:FK13"/>
    <mergeCell ref="C14:C16"/>
    <mergeCell ref="AR14:AS14"/>
    <mergeCell ref="AT14:AU14"/>
    <mergeCell ref="AY14:AZ14"/>
    <mergeCell ref="BA14:BB14"/>
    <mergeCell ref="BG14:BH14"/>
    <mergeCell ref="BI14:BJ14"/>
    <mergeCell ref="CL13:CM13"/>
    <mergeCell ref="CN13:CO13"/>
    <mergeCell ref="ES13:ET13"/>
    <mergeCell ref="EX13:EY13"/>
    <mergeCell ref="EZ13:FA13"/>
    <mergeCell ref="FB13:FC13"/>
    <mergeCell ref="BW13:BX13"/>
    <mergeCell ref="BY13:BZ13"/>
    <mergeCell ref="CB13:CC13"/>
    <mergeCell ref="CD13:CE13"/>
    <mergeCell ref="CG13:CH13"/>
    <mergeCell ref="CI13:CJ13"/>
    <mergeCell ref="BG13:BH13"/>
    <mergeCell ref="BI13:BJ13"/>
    <mergeCell ref="FF14:FG14"/>
    <mergeCell ref="FH14:FI14"/>
    <mergeCell ref="AR15:AS15"/>
    <mergeCell ref="AT15:AU15"/>
    <mergeCell ref="AY15:AZ15"/>
    <mergeCell ref="BA15:BB15"/>
    <mergeCell ref="BG15:BH15"/>
    <mergeCell ref="BI15:BJ15"/>
    <mergeCell ref="BN15:BO15"/>
    <mergeCell ref="BP15:BQ15"/>
    <mergeCell ref="CG14:CH14"/>
    <mergeCell ref="CI14:CJ14"/>
    <mergeCell ref="CL14:CM14"/>
    <mergeCell ref="CN14:CO14"/>
    <mergeCell ref="EX14:EY14"/>
    <mergeCell ref="EZ14:FA14"/>
    <mergeCell ref="BN14:BO14"/>
    <mergeCell ref="BP14:BQ14"/>
    <mergeCell ref="BW14:BX14"/>
    <mergeCell ref="BY14:BZ14"/>
    <mergeCell ref="CB14:CC14"/>
    <mergeCell ref="CD14:CE14"/>
    <mergeCell ref="CL15:CM15"/>
    <mergeCell ref="CN15:CO15"/>
    <mergeCell ref="EX15:EY15"/>
    <mergeCell ref="EZ15:FA15"/>
    <mergeCell ref="FF15:FG15"/>
    <mergeCell ref="FH15:FI15"/>
    <mergeCell ref="BW15:BX15"/>
    <mergeCell ref="BY15:BZ15"/>
    <mergeCell ref="CB15:CC15"/>
    <mergeCell ref="CD15:CE15"/>
    <mergeCell ref="CG15:CH15"/>
    <mergeCell ref="CI15:CJ15"/>
    <mergeCell ref="AR17:AS17"/>
    <mergeCell ref="AT17:AU17"/>
    <mergeCell ref="AY17:AZ17"/>
    <mergeCell ref="BA17:BB17"/>
    <mergeCell ref="BG17:BH17"/>
    <mergeCell ref="BI17:BJ17"/>
    <mergeCell ref="BN17:BO17"/>
    <mergeCell ref="BP17:BQ17"/>
    <mergeCell ref="CG16:CH16"/>
    <mergeCell ref="BN16:BO16"/>
    <mergeCell ref="BP16:BQ16"/>
    <mergeCell ref="BW16:BX16"/>
    <mergeCell ref="BY16:BZ16"/>
    <mergeCell ref="CB16:CC16"/>
    <mergeCell ref="CD16:CE16"/>
    <mergeCell ref="AR16:AS16"/>
    <mergeCell ref="AT16:AU16"/>
    <mergeCell ref="AY16:AZ16"/>
    <mergeCell ref="BA16:BB16"/>
    <mergeCell ref="BG16:BH16"/>
    <mergeCell ref="BI16:BJ16"/>
    <mergeCell ref="FH17:FI17"/>
    <mergeCell ref="BW17:BX17"/>
    <mergeCell ref="BY17:BZ17"/>
    <mergeCell ref="CB17:CC17"/>
    <mergeCell ref="CD17:CE17"/>
    <mergeCell ref="CG17:CH17"/>
    <mergeCell ref="CI17:CJ17"/>
    <mergeCell ref="FF16:FG16"/>
    <mergeCell ref="FH16:FI16"/>
    <mergeCell ref="CI16:CJ16"/>
    <mergeCell ref="CL16:CM16"/>
    <mergeCell ref="CN16:CO16"/>
    <mergeCell ref="EX16:EY16"/>
    <mergeCell ref="EZ16:FA16"/>
    <mergeCell ref="BA18:BB18"/>
    <mergeCell ref="BG18:BH18"/>
    <mergeCell ref="BI18:BJ18"/>
    <mergeCell ref="CL17:CM17"/>
    <mergeCell ref="CN17:CO17"/>
    <mergeCell ref="EX17:EY17"/>
    <mergeCell ref="EZ17:FA17"/>
    <mergeCell ref="FF17:FG17"/>
    <mergeCell ref="FF18:FG18"/>
    <mergeCell ref="FH18:FI18"/>
    <mergeCell ref="AR25:AU25"/>
    <mergeCell ref="BG25:BJ25"/>
    <mergeCell ref="BW25:BX25"/>
    <mergeCell ref="BY25:BZ25"/>
    <mergeCell ref="CB25:CC25"/>
    <mergeCell ref="CD25:CE25"/>
    <mergeCell ref="CG25:CJ25"/>
    <mergeCell ref="CL25:CO25"/>
    <mergeCell ref="CG18:CH18"/>
    <mergeCell ref="CI18:CJ18"/>
    <mergeCell ref="CL18:CM18"/>
    <mergeCell ref="CN18:CO18"/>
    <mergeCell ref="EX18:EY18"/>
    <mergeCell ref="EZ18:FA18"/>
    <mergeCell ref="BN18:BO18"/>
    <mergeCell ref="BP18:BQ18"/>
    <mergeCell ref="BW18:BX18"/>
    <mergeCell ref="BY18:BZ18"/>
    <mergeCell ref="CB18:CC18"/>
    <mergeCell ref="CD18:CE18"/>
    <mergeCell ref="AR18:AS18"/>
    <mergeCell ref="AT18:AU18"/>
    <mergeCell ref="AY18:AZ18"/>
    <mergeCell ref="CD27:CE27"/>
    <mergeCell ref="CG27:CH27"/>
    <mergeCell ref="CI27:CJ27"/>
    <mergeCell ref="CL27:CM27"/>
    <mergeCell ref="CN27:CO27"/>
    <mergeCell ref="ES27:ET27"/>
    <mergeCell ref="DW26:DX26"/>
    <mergeCell ref="AR27:AS27"/>
    <mergeCell ref="AT27:AU27"/>
    <mergeCell ref="AV27:AW27"/>
    <mergeCell ref="BG27:BH27"/>
    <mergeCell ref="BI27:BJ27"/>
    <mergeCell ref="BK27:BL27"/>
    <mergeCell ref="BW27:BX27"/>
    <mergeCell ref="BY27:BZ27"/>
    <mergeCell ref="CB27:CC27"/>
    <mergeCell ref="AR26:AS26"/>
    <mergeCell ref="AT26:AU26"/>
    <mergeCell ref="AV26:AW26"/>
    <mergeCell ref="BG26:BH26"/>
    <mergeCell ref="BI26:BJ26"/>
    <mergeCell ref="BK26:BL26"/>
    <mergeCell ref="CB28:CC28"/>
    <mergeCell ref="CD28:CE28"/>
    <mergeCell ref="CG28:CH28"/>
    <mergeCell ref="CI28:CJ28"/>
    <mergeCell ref="CL28:CM28"/>
    <mergeCell ref="CN28:CO28"/>
    <mergeCell ref="AR28:AS28"/>
    <mergeCell ref="AT28:AU28"/>
    <mergeCell ref="BG28:BH28"/>
    <mergeCell ref="BI28:BJ28"/>
    <mergeCell ref="BW28:BX28"/>
    <mergeCell ref="BY28:BZ28"/>
    <mergeCell ref="CB29:CC29"/>
    <mergeCell ref="CD29:CE29"/>
    <mergeCell ref="CG29:CH29"/>
    <mergeCell ref="CI29:CJ29"/>
    <mergeCell ref="CL29:CM29"/>
    <mergeCell ref="CN29:CO29"/>
    <mergeCell ref="AR29:AS29"/>
    <mergeCell ref="AT29:AU29"/>
    <mergeCell ref="BG29:BH29"/>
    <mergeCell ref="BI29:BJ29"/>
    <mergeCell ref="BW29:BX29"/>
    <mergeCell ref="BY29:BZ29"/>
    <mergeCell ref="CB30:CC30"/>
    <mergeCell ref="CD30:CE30"/>
    <mergeCell ref="CG30:CH30"/>
    <mergeCell ref="CI30:CJ30"/>
    <mergeCell ref="CL30:CM30"/>
    <mergeCell ref="CN30:CO30"/>
    <mergeCell ref="AR30:AS30"/>
    <mergeCell ref="AT30:AU30"/>
    <mergeCell ref="BG30:BH30"/>
    <mergeCell ref="BI30:BJ30"/>
    <mergeCell ref="BW30:BX30"/>
    <mergeCell ref="BY30:BZ30"/>
    <mergeCell ref="CB31:CC31"/>
    <mergeCell ref="CD31:CE31"/>
    <mergeCell ref="CG31:CH31"/>
    <mergeCell ref="CI31:CJ31"/>
    <mergeCell ref="CL31:CM31"/>
    <mergeCell ref="CN31:CO31"/>
    <mergeCell ref="AR31:AS31"/>
    <mergeCell ref="AT31:AU31"/>
    <mergeCell ref="BG31:BH31"/>
    <mergeCell ref="BI31:BJ31"/>
    <mergeCell ref="BW31:BX31"/>
    <mergeCell ref="BY31:BZ31"/>
    <mergeCell ref="CB32:CC32"/>
    <mergeCell ref="CD32:CE32"/>
    <mergeCell ref="CG32:CH32"/>
    <mergeCell ref="CI32:CJ32"/>
    <mergeCell ref="CL32:CM32"/>
    <mergeCell ref="CN32:CO32"/>
    <mergeCell ref="AR32:AS32"/>
    <mergeCell ref="AT32:AU32"/>
    <mergeCell ref="BG32:BH32"/>
    <mergeCell ref="BI32:BJ32"/>
    <mergeCell ref="BW32:BX32"/>
    <mergeCell ref="BY32:BZ32"/>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BBEB8-1312-4306-B150-D82870520ADB}">
  <sheetPr>
    <tabColor theme="4" tint="0.59999389629810485"/>
  </sheetPr>
  <dimension ref="B1:CE29"/>
  <sheetViews>
    <sheetView topLeftCell="BI1" workbookViewId="0">
      <selection activeCell="BR18" sqref="BR18"/>
    </sheetView>
  </sheetViews>
  <sheetFormatPr defaultRowHeight="15"/>
  <cols>
    <col min="12" max="12" width="22.42578125" bestFit="1" customWidth="1"/>
    <col min="13" max="13" width="11.7109375" customWidth="1"/>
    <col min="14" max="14" width="6.7109375" bestFit="1" customWidth="1"/>
    <col min="15" max="15" width="21" customWidth="1"/>
    <col min="17" max="17" width="17.28515625" bestFit="1" customWidth="1"/>
    <col min="18" max="18" width="20.42578125" customWidth="1"/>
    <col min="19" max="19" width="21.7109375" customWidth="1"/>
    <col min="25" max="25" width="33" customWidth="1"/>
    <col min="29" max="29" width="20" customWidth="1"/>
    <col min="31" max="31" width="18.7109375" customWidth="1"/>
    <col min="34" max="34" width="27.7109375" customWidth="1"/>
    <col min="36" max="36" width="16.85546875" bestFit="1" customWidth="1"/>
    <col min="37" max="37" width="22.85546875" bestFit="1" customWidth="1"/>
    <col min="38" max="38" width="11.5703125" bestFit="1" customWidth="1"/>
    <col min="39" max="39" width="11.85546875" bestFit="1" customWidth="1"/>
    <col min="47" max="47" width="16.85546875" bestFit="1" customWidth="1"/>
    <col min="48" max="48" width="22.85546875" bestFit="1" customWidth="1"/>
    <col min="49" max="49" width="7" bestFit="1" customWidth="1"/>
    <col min="53" max="53" width="11.5703125" customWidth="1"/>
    <col min="56" max="56" width="11.5703125" bestFit="1" customWidth="1"/>
    <col min="60" max="60" width="13.42578125" customWidth="1"/>
    <col min="62" max="62" width="16.85546875" bestFit="1" customWidth="1"/>
    <col min="65" max="65" width="16.85546875" bestFit="1" customWidth="1"/>
    <col min="66" max="66" width="22.85546875" bestFit="1" customWidth="1"/>
    <col min="67" max="67" width="8.140625" bestFit="1" customWidth="1"/>
    <col min="68" max="68" width="11.85546875" bestFit="1" customWidth="1"/>
    <col min="74" max="74" width="17" bestFit="1" customWidth="1"/>
    <col min="79" max="79" width="17" bestFit="1" customWidth="1"/>
  </cols>
  <sheetData>
    <row r="1" spans="2:83">
      <c r="B1" s="528"/>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210"/>
      <c r="BN1" s="210"/>
      <c r="BO1" s="210"/>
      <c r="BP1" s="210"/>
      <c r="BQ1" s="210"/>
      <c r="BR1" s="210"/>
      <c r="BS1" s="210"/>
      <c r="BT1" s="211"/>
      <c r="BU1" s="528"/>
      <c r="BV1" s="210"/>
      <c r="BW1" s="210"/>
      <c r="BX1" s="210"/>
      <c r="BY1" s="210"/>
      <c r="BZ1" s="210"/>
      <c r="CA1" s="210"/>
      <c r="CB1" s="210"/>
      <c r="CC1" s="210"/>
      <c r="CD1" s="210"/>
      <c r="CE1" s="211"/>
    </row>
    <row r="2" spans="2:83">
      <c r="B2" s="532"/>
      <c r="BT2" s="47"/>
      <c r="BU2" s="532"/>
      <c r="CE2" s="47"/>
    </row>
    <row r="3" spans="2:83">
      <c r="B3" s="532"/>
      <c r="BT3" s="47"/>
      <c r="BU3" s="532"/>
      <c r="CE3" s="47"/>
    </row>
    <row r="4" spans="2:83" ht="15.75" thickBot="1">
      <c r="B4" s="532"/>
      <c r="D4" s="1221" t="s">
        <v>500</v>
      </c>
      <c r="E4" s="1221"/>
      <c r="F4" s="1221"/>
      <c r="BT4" s="47"/>
      <c r="BU4" s="532"/>
      <c r="CE4" s="47"/>
    </row>
    <row r="5" spans="2:83" ht="45.75" thickBot="1">
      <c r="B5" s="532"/>
      <c r="D5" s="291" t="s">
        <v>74</v>
      </c>
      <c r="E5" s="527">
        <f>'Girth Weld Calc (GW)'!AA21</f>
        <v>15</v>
      </c>
      <c r="L5" s="1221" t="s">
        <v>501</v>
      </c>
      <c r="M5" s="1221"/>
      <c r="N5" s="1221"/>
      <c r="O5" s="1221"/>
      <c r="P5" s="1221"/>
      <c r="Q5" s="1221"/>
      <c r="R5" s="1221"/>
      <c r="S5" s="1221"/>
      <c r="V5" s="1221" t="s">
        <v>502</v>
      </c>
      <c r="W5" s="1221"/>
      <c r="X5" s="1221"/>
      <c r="Y5" s="1221"/>
      <c r="Z5" s="1221"/>
      <c r="AA5" s="1221"/>
      <c r="AB5" s="1221"/>
      <c r="AC5" s="1221"/>
      <c r="AD5" s="1221"/>
      <c r="AE5" s="1221"/>
      <c r="AF5" s="1221"/>
      <c r="AH5" s="264" t="s">
        <v>229</v>
      </c>
      <c r="AJ5" s="1224" t="s">
        <v>503</v>
      </c>
      <c r="AK5" s="1224"/>
      <c r="AL5" s="1224"/>
      <c r="AM5" s="1224"/>
      <c r="AU5" s="1224" t="s">
        <v>504</v>
      </c>
      <c r="AV5" s="1224"/>
      <c r="AW5" s="1224"/>
      <c r="AX5" s="1224"/>
      <c r="AY5" s="1224"/>
      <c r="BA5" s="1221" t="s">
        <v>502</v>
      </c>
      <c r="BB5" s="1221"/>
      <c r="BC5" s="1221"/>
      <c r="BD5" s="1221"/>
      <c r="BE5" s="1221"/>
      <c r="BF5" s="1221"/>
      <c r="BG5" s="1221"/>
      <c r="BH5" s="1221"/>
      <c r="BI5" s="1221"/>
      <c r="BJ5" s="1221"/>
      <c r="BK5" s="1221"/>
      <c r="BM5" s="1224" t="s">
        <v>1344</v>
      </c>
      <c r="BN5" s="1224"/>
      <c r="BO5" s="1224"/>
      <c r="BP5" s="1224"/>
      <c r="BT5" s="47"/>
      <c r="BU5" s="532"/>
      <c r="BV5" s="1230" t="s">
        <v>518</v>
      </c>
      <c r="BW5" s="1231"/>
      <c r="BX5" s="1232"/>
      <c r="CA5" s="1230" t="s">
        <v>543</v>
      </c>
      <c r="CB5" s="1231"/>
      <c r="CC5" s="1232"/>
      <c r="CE5" s="47"/>
    </row>
    <row r="6" spans="2:83" ht="15.75" thickBot="1">
      <c r="B6" s="532"/>
      <c r="D6" s="263" t="s">
        <v>196</v>
      </c>
      <c r="E6" s="524">
        <f>'Girth Weld Calc (GW)'!B2</f>
        <v>1</v>
      </c>
      <c r="BT6" s="47"/>
      <c r="BU6" s="532"/>
      <c r="CE6" s="47"/>
    </row>
    <row r="7" spans="2:83" ht="75">
      <c r="B7" s="532"/>
      <c r="M7" s="263" t="s">
        <v>506</v>
      </c>
      <c r="N7" s="291" t="s">
        <v>238</v>
      </c>
      <c r="O7" s="291" t="s">
        <v>507</v>
      </c>
      <c r="Q7" s="291" t="s">
        <v>74</v>
      </c>
      <c r="R7" s="291" t="s">
        <v>508</v>
      </c>
      <c r="S7" s="291" t="s">
        <v>509</v>
      </c>
      <c r="V7" s="313" t="s">
        <v>510</v>
      </c>
      <c r="W7" s="313" t="s">
        <v>511</v>
      </c>
      <c r="Y7" s="291" t="s">
        <v>512</v>
      </c>
      <c r="Z7" s="263" t="s">
        <v>506</v>
      </c>
      <c r="AA7" s="263" t="s">
        <v>513</v>
      </c>
      <c r="AC7" s="317" t="s">
        <v>514</v>
      </c>
      <c r="AE7" s="1222" t="s">
        <v>515</v>
      </c>
      <c r="AF7" s="1222"/>
      <c r="AG7" s="262"/>
      <c r="AH7" s="291" t="s">
        <v>516</v>
      </c>
      <c r="AJ7" s="528"/>
      <c r="AK7" s="529" t="s">
        <v>517</v>
      </c>
      <c r="AL7" s="536" t="s">
        <v>518</v>
      </c>
      <c r="AM7" s="263" t="s">
        <v>519</v>
      </c>
      <c r="AO7" s="1221" t="s">
        <v>521</v>
      </c>
      <c r="AP7" s="1221"/>
      <c r="AQ7" s="1221"/>
      <c r="AR7" s="268"/>
      <c r="AS7" s="268"/>
      <c r="AU7" s="528"/>
      <c r="AV7" s="529" t="str">
        <f>AK12</f>
        <v>(30) ft per linear ft</v>
      </c>
      <c r="AW7" s="263" t="s">
        <v>513</v>
      </c>
      <c r="BA7" s="313" t="s">
        <v>510</v>
      </c>
      <c r="BB7" s="313" t="s">
        <v>511</v>
      </c>
      <c r="BD7" s="291" t="s">
        <v>512</v>
      </c>
      <c r="BE7" s="263" t="s">
        <v>506</v>
      </c>
      <c r="BF7" s="263" t="s">
        <v>513</v>
      </c>
      <c r="BH7" s="263" t="s">
        <v>514</v>
      </c>
      <c r="BJ7" s="1223" t="s">
        <v>515</v>
      </c>
      <c r="BK7" s="1223"/>
      <c r="BM7" s="528"/>
      <c r="BN7" s="529" t="s">
        <v>517</v>
      </c>
      <c r="BO7" s="536" t="s">
        <v>518</v>
      </c>
      <c r="BP7" s="263" t="s">
        <v>519</v>
      </c>
      <c r="BT7" s="47"/>
      <c r="BU7" s="532"/>
      <c r="BV7" s="693" t="s">
        <v>90</v>
      </c>
      <c r="BW7" s="694" t="s">
        <v>91</v>
      </c>
      <c r="CA7" s="693" t="s">
        <v>90</v>
      </c>
      <c r="CB7" s="694" t="s">
        <v>91</v>
      </c>
      <c r="CE7" s="47"/>
    </row>
    <row r="8" spans="2:83" ht="16.5" thickBot="1">
      <c r="B8" s="532"/>
      <c r="H8" s="1221" t="s">
        <v>521</v>
      </c>
      <c r="I8" s="1221"/>
      <c r="J8" s="1221"/>
      <c r="L8" s="267" t="str">
        <f>"Quantity of (" &amp; (J10) &amp; ") ft"</f>
        <v>Quantity of (30) ft</v>
      </c>
      <c r="M8" s="263">
        <f>ROUNDUP(E5/J10,0)</f>
        <v>1</v>
      </c>
      <c r="N8" s="263">
        <f>M8*30</f>
        <v>30</v>
      </c>
      <c r="O8" s="526">
        <f>N8-E5</f>
        <v>15</v>
      </c>
      <c r="Q8" s="315" t="str">
        <f>"(" &amp; (J10) &amp; ")x + (" &amp; (J9) &amp; ")y = (" &amp; (ROUND(E5,2)) &amp; ")"</f>
        <v>(30)x + (15)y = (15)</v>
      </c>
      <c r="R8" s="314">
        <f>ROUNDDOWN(E5/J10,0)</f>
        <v>0</v>
      </c>
      <c r="S8" s="263">
        <f>ROUNDUP(((E5-(J10*R8))/J9),0)</f>
        <v>1</v>
      </c>
      <c r="V8" s="264">
        <f>MIN(M8,M10,M12)</f>
        <v>1</v>
      </c>
      <c r="W8" s="312">
        <f>MIN(N8,N10,N12)</f>
        <v>15</v>
      </c>
      <c r="Y8" s="263" t="str">
        <f>"(" &amp; (J10) &amp; ") ft"</f>
        <v>(30) ft</v>
      </c>
      <c r="Z8" s="316">
        <f>IF(M8=V8,1,0)</f>
        <v>1</v>
      </c>
      <c r="AA8" s="316">
        <f>IF(N8=W8,1,0)</f>
        <v>0</v>
      </c>
      <c r="AB8" s="266"/>
      <c r="AC8" s="263">
        <f>IF(SUM(AA8,Z8)=2,M8,0)</f>
        <v>0</v>
      </c>
      <c r="AE8" s="263" t="str">
        <f>"Quantity of (" &amp; (J10) &amp; ") ft"</f>
        <v>Quantity of (30) ft</v>
      </c>
      <c r="AF8" s="263">
        <f>IF(MAX(AC8:AC10)=AC10,R8,AC8)</f>
        <v>0</v>
      </c>
      <c r="AH8" s="263">
        <f>AF8*E6</f>
        <v>0</v>
      </c>
      <c r="AJ8" s="531" t="str">
        <f>AE8</f>
        <v>Quantity of (30) ft</v>
      </c>
      <c r="AK8" s="263">
        <f>AF8</f>
        <v>0</v>
      </c>
      <c r="AL8" s="314">
        <f>AH8</f>
        <v>0</v>
      </c>
      <c r="AM8" s="263">
        <f>AL8*J10</f>
        <v>0</v>
      </c>
      <c r="AO8" s="320" t="b">
        <f t="shared" ref="AO8:AQ10" si="0">H9</f>
        <v>0</v>
      </c>
      <c r="AP8" s="320">
        <f t="shared" si="0"/>
        <v>12</v>
      </c>
      <c r="AQ8" s="320">
        <f t="shared" si="0"/>
        <v>15</v>
      </c>
      <c r="AR8" s="320"/>
      <c r="AS8" s="320"/>
      <c r="AU8" s="534" t="str">
        <f>AJ13</f>
        <v>Quantity of (30) ft</v>
      </c>
      <c r="AV8" s="535">
        <f>IF(AO9=TRUE,AK13,0)</f>
        <v>1</v>
      </c>
      <c r="AW8" s="263">
        <f>AV8*AQ9</f>
        <v>30</v>
      </c>
      <c r="BA8" s="264" cm="1">
        <f t="array" ref="BA8">MIN(_xlfn._xlws.FILTER(CHOOSE({1,2,3},AV8,AV14,AV16),CHOOSE({1,2,3},AV8,AV14,AV16)&lt;&gt;0))</f>
        <v>1</v>
      </c>
      <c r="BB8" s="312" cm="1">
        <f t="array" ref="BB8">MIN(_xlfn._xlws.FILTER(CHOOSE({1,2,3},AW8,AW14,AW16),CHOOSE({1,2,3},AW8,AW14,AW16)&lt;&gt;0))</f>
        <v>30</v>
      </c>
      <c r="BD8" s="263" t="str">
        <f>"(" &amp; (AQ9) &amp; ") ft"</f>
        <v>(30) ft</v>
      </c>
      <c r="BE8" s="316">
        <f>IF(AV8=BA8,1,0)</f>
        <v>1</v>
      </c>
      <c r="BF8" s="316">
        <f>IF(AW8=BB8,1,0)</f>
        <v>1</v>
      </c>
      <c r="BG8" s="266"/>
      <c r="BH8" s="263">
        <f>IF(SUM(BF8,BE8)=2,AV8,0)</f>
        <v>1</v>
      </c>
      <c r="BJ8" s="263" t="str">
        <f>"Quantity of (" &amp; (AQ9) &amp; ") ft"</f>
        <v>Quantity of (30) ft</v>
      </c>
      <c r="BK8" s="263">
        <f>IF(MAX(BH8:BH10)=BH10,AV11,BH8)</f>
        <v>1</v>
      </c>
      <c r="BM8" s="531" t="str">
        <f>AJ8</f>
        <v>Quantity of (30) ft</v>
      </c>
      <c r="BN8" s="263">
        <f>BK8</f>
        <v>1</v>
      </c>
      <c r="BO8" s="314">
        <f>BN8*E6</f>
        <v>1</v>
      </c>
      <c r="BP8" s="263">
        <f>BO8*AQ9</f>
        <v>30</v>
      </c>
      <c r="BT8" s="47"/>
      <c r="BU8" s="532"/>
      <c r="BV8" s="437" t="s">
        <v>218</v>
      </c>
      <c r="BW8" s="438">
        <f>AL8</f>
        <v>0</v>
      </c>
      <c r="CA8" s="437" t="s">
        <v>218</v>
      </c>
      <c r="CB8" s="438">
        <f>BO8</f>
        <v>1</v>
      </c>
      <c r="CE8" s="47"/>
    </row>
    <row r="9" spans="2:83" ht="16.5" thickBot="1">
      <c r="B9" s="532"/>
      <c r="H9" s="320" t="b">
        <f>Materials!J1</f>
        <v>0</v>
      </c>
      <c r="I9" s="320">
        <f>Materials!K1</f>
        <v>12</v>
      </c>
      <c r="J9" s="320">
        <f>Materials!L1</f>
        <v>15</v>
      </c>
      <c r="Y9" s="263" t="str">
        <f>"(" &amp; (J9) &amp; ") ft"</f>
        <v>(15) ft</v>
      </c>
      <c r="Z9" s="316">
        <f>IF(M10=V8,1,0)</f>
        <v>1</v>
      </c>
      <c r="AA9" s="316">
        <f>IF(N9=W9,1,0)</f>
        <v>1</v>
      </c>
      <c r="AB9" s="292"/>
      <c r="AC9" s="263">
        <f>IF(SUM(AA9,Z9)=2,M10,0)</f>
        <v>1</v>
      </c>
      <c r="AH9" s="262"/>
      <c r="AJ9" s="532"/>
      <c r="AK9" s="262"/>
      <c r="AL9" s="533"/>
      <c r="AM9" s="262"/>
      <c r="AO9" s="320" t="b">
        <f t="shared" si="0"/>
        <v>1</v>
      </c>
      <c r="AP9" s="320">
        <f t="shared" si="0"/>
        <v>12</v>
      </c>
      <c r="AQ9" s="320">
        <f t="shared" si="0"/>
        <v>30</v>
      </c>
      <c r="AR9" s="320"/>
      <c r="AS9" s="320" t="s">
        <v>524</v>
      </c>
      <c r="AV9" s="262"/>
      <c r="BD9" s="263" t="str">
        <f>"(" &amp; (AQ8) &amp; ") ft"</f>
        <v>(15) ft</v>
      </c>
      <c r="BE9" s="316">
        <f>IF(AV16=BA8,1,0)</f>
        <v>0</v>
      </c>
      <c r="BF9" s="316">
        <f>IF(AW16=BB8,1,0)</f>
        <v>0</v>
      </c>
      <c r="BG9" s="292"/>
      <c r="BH9" s="263">
        <f>IF(SUM(BF9,BE9)=2,AV16,0)</f>
        <v>0</v>
      </c>
      <c r="BM9" s="532"/>
      <c r="BN9" s="262"/>
      <c r="BO9" s="533"/>
      <c r="BP9" s="262"/>
      <c r="BT9" s="47"/>
      <c r="BU9" s="532"/>
      <c r="BV9" s="439" t="s">
        <v>223</v>
      </c>
      <c r="BW9" s="438">
        <f>AL10</f>
        <v>1</v>
      </c>
      <c r="CA9" s="439" t="s">
        <v>223</v>
      </c>
      <c r="CB9" s="438">
        <f>BO10</f>
        <v>0</v>
      </c>
      <c r="CE9" s="47"/>
    </row>
    <row r="10" spans="2:83" ht="15.75" thickBot="1">
      <c r="B10" s="532"/>
      <c r="H10" s="320" t="b">
        <f>Materials!J2</f>
        <v>1</v>
      </c>
      <c r="I10" s="320">
        <f>Materials!K2</f>
        <v>12</v>
      </c>
      <c r="J10" s="320">
        <f>Materials!L2</f>
        <v>30</v>
      </c>
      <c r="L10" s="267" t="str">
        <f>"Quantity of (" &amp; (J9) &amp; ") ft"</f>
        <v>Quantity of (15) ft</v>
      </c>
      <c r="M10" s="263">
        <f>ROUNDUP(E5/J9,0)</f>
        <v>1</v>
      </c>
      <c r="N10" s="263">
        <f>M10*15</f>
        <v>15</v>
      </c>
      <c r="O10" s="526">
        <f>N10-E5</f>
        <v>0</v>
      </c>
      <c r="Y10" s="263" t="str">
        <f>"(" &amp; (J10) &amp; ") + (" &amp; (J9) &amp; ") ft"</f>
        <v>(30) + (15) ft</v>
      </c>
      <c r="Z10" s="316">
        <f>IF(M12=V8,1,0)</f>
        <v>1</v>
      </c>
      <c r="AA10" s="316">
        <f>IF(N10=W10,1,0)</f>
        <v>0</v>
      </c>
      <c r="AB10" s="266"/>
      <c r="AC10" s="263">
        <f>IF(SUM(AA10,Z10)=2,M12,0)</f>
        <v>0</v>
      </c>
      <c r="AE10" s="263" t="str">
        <f>"Quantity of (" &amp; (J9) &amp; ") ft"</f>
        <v>Quantity of (15) ft</v>
      </c>
      <c r="AF10" s="263">
        <f>IF(MAX(AC8:AC10)=AC10,S8,AC9)</f>
        <v>1</v>
      </c>
      <c r="AH10" s="263">
        <f>AF10*E6</f>
        <v>1</v>
      </c>
      <c r="AJ10" s="534" t="str">
        <f>AE10</f>
        <v>Quantity of (15) ft</v>
      </c>
      <c r="AK10" s="535">
        <f>AF10</f>
        <v>1</v>
      </c>
      <c r="AL10" s="537">
        <f>AH10</f>
        <v>1</v>
      </c>
      <c r="AM10" s="263">
        <f>AL10*J9</f>
        <v>15</v>
      </c>
      <c r="AO10" s="320" t="b">
        <f t="shared" si="0"/>
        <v>0</v>
      </c>
      <c r="AP10" s="320">
        <f t="shared" si="0"/>
        <v>0</v>
      </c>
      <c r="AQ10" s="320">
        <f t="shared" si="0"/>
        <v>0</v>
      </c>
      <c r="AR10" s="320"/>
      <c r="AS10" s="320" t="b">
        <f>AND(AO8=TRUE,AO9=TRUE)</f>
        <v>0</v>
      </c>
      <c r="AU10" s="528"/>
      <c r="AV10" s="529" t="str">
        <f>AK15</f>
        <v>(30) + (15) ft per linear ft</v>
      </c>
      <c r="AW10" s="263"/>
      <c r="BD10" s="263" t="str">
        <f>"(" &amp; (AQ9) &amp; ") + (" &amp; (AQ8) &amp; ") ft"</f>
        <v>(30) + (15) ft</v>
      </c>
      <c r="BE10" s="316">
        <f>IF(AV14=BA8,1,0)</f>
        <v>0</v>
      </c>
      <c r="BF10" s="316">
        <f>IF(AW14=BB8,1,0)</f>
        <v>0</v>
      </c>
      <c r="BG10" s="266"/>
      <c r="BH10" s="263">
        <f>IF(SUM(BF10,BE10)=2,AV14,0)</f>
        <v>0</v>
      </c>
      <c r="BJ10" s="263" t="str">
        <f>"Quantity of (" &amp; (AQ8) &amp; ") ft"</f>
        <v>Quantity of (15) ft</v>
      </c>
      <c r="BK10" s="263">
        <f>IF(MAX(BH8:BH10)=BH10,AV13,BH9)</f>
        <v>0</v>
      </c>
      <c r="BM10" s="534" t="str">
        <f>AJ10</f>
        <v>Quantity of (15) ft</v>
      </c>
      <c r="BN10" s="535">
        <f>BK10</f>
        <v>0</v>
      </c>
      <c r="BO10" s="537">
        <f>BN10*E6</f>
        <v>0</v>
      </c>
      <c r="BP10" s="263">
        <f>BO10*AQ8</f>
        <v>0</v>
      </c>
      <c r="BT10" s="47"/>
      <c r="BU10" s="532"/>
      <c r="CE10" s="47"/>
    </row>
    <row r="11" spans="2:83" ht="15.75" thickBot="1">
      <c r="B11" s="532"/>
      <c r="H11" s="320" t="b">
        <f>Materials!J3</f>
        <v>0</v>
      </c>
      <c r="I11" s="320">
        <f>Materials!K3</f>
        <v>0</v>
      </c>
      <c r="J11" s="320">
        <f>Materials!L3</f>
        <v>0</v>
      </c>
      <c r="AU11" s="531" t="str">
        <f>AJ16</f>
        <v>Quantity of (30) ft</v>
      </c>
      <c r="AV11" s="263">
        <f>IF(AS10=TRUE,AK16,0)</f>
        <v>0</v>
      </c>
      <c r="AW11" s="263">
        <f>AV11*AQ9</f>
        <v>0</v>
      </c>
      <c r="BT11" s="47"/>
      <c r="BU11" s="532"/>
      <c r="CE11" s="47"/>
    </row>
    <row r="12" spans="2:83" ht="15.75" thickBot="1">
      <c r="B12" s="532"/>
      <c r="L12" s="267" t="str">
        <f>"Quantity of (" &amp; (J10) &amp; ") + (" &amp; (J9) &amp; ") ft"</f>
        <v>Quantity of (30) + (15) ft</v>
      </c>
      <c r="M12" s="263">
        <f>R8+S8</f>
        <v>1</v>
      </c>
      <c r="N12" s="263">
        <f>(R8*J10)+(S8*J9)</f>
        <v>15</v>
      </c>
      <c r="O12" s="526">
        <f>N12-E5</f>
        <v>0</v>
      </c>
      <c r="AJ12" s="528"/>
      <c r="AK12" s="529" t="str">
        <f>"(" &amp; (J10) &amp; ") ft per linear ft"</f>
        <v>(30) ft per linear ft</v>
      </c>
      <c r="AL12" s="530" t="str">
        <f>"(" &amp; (J10) &amp; ") ft"</f>
        <v>(30) ft</v>
      </c>
      <c r="AU12" s="532"/>
      <c r="AV12" s="262"/>
      <c r="BT12" s="47"/>
      <c r="BU12" s="532"/>
      <c r="CE12" s="47"/>
    </row>
    <row r="13" spans="2:83" ht="15.75" thickBot="1">
      <c r="B13" s="532"/>
      <c r="AJ13" s="534" t="str">
        <f>AJ8</f>
        <v>Quantity of (30) ft</v>
      </c>
      <c r="AK13" s="535">
        <f>M8</f>
        <v>1</v>
      </c>
      <c r="AL13" s="537">
        <f>AK13*E6</f>
        <v>1</v>
      </c>
      <c r="AM13" s="263">
        <f>AL13*J10</f>
        <v>30</v>
      </c>
      <c r="AU13" s="534" t="str">
        <f>AJ18</f>
        <v>Quantity of (15) ft</v>
      </c>
      <c r="AV13" s="535">
        <f>IF(AS10=TRUE,AK18,0)</f>
        <v>0</v>
      </c>
      <c r="AW13" s="263">
        <f>AV13*AQ8</f>
        <v>0</v>
      </c>
      <c r="BM13" s="528"/>
      <c r="BN13" s="529" t="str">
        <f>AV7</f>
        <v>(30) ft per linear ft</v>
      </c>
      <c r="BO13" s="529"/>
      <c r="BP13" s="263" t="s">
        <v>513</v>
      </c>
      <c r="BT13" s="47"/>
      <c r="BU13" s="532"/>
      <c r="CE13" s="47"/>
    </row>
    <row r="14" spans="2:83" ht="15.75" thickBot="1">
      <c r="B14" s="532"/>
      <c r="AK14" s="262"/>
      <c r="AL14" s="262"/>
      <c r="AM14" s="262"/>
      <c r="AV14">
        <f>IF(AS8=TRUE,SUM(AV13,AV11),0)</f>
        <v>0</v>
      </c>
      <c r="AW14">
        <f>SUM(AW13,AW11)</f>
        <v>0</v>
      </c>
      <c r="BM14" s="534" t="str">
        <f>AU8</f>
        <v>Quantity of (30) ft</v>
      </c>
      <c r="BN14" s="535">
        <f>AV8</f>
        <v>1</v>
      </c>
      <c r="BO14" s="584">
        <f>E6</f>
        <v>1</v>
      </c>
      <c r="BP14" s="263">
        <f>AW8</f>
        <v>30</v>
      </c>
      <c r="BT14" s="47"/>
      <c r="BU14" s="532"/>
      <c r="CE14" s="47"/>
    </row>
    <row r="15" spans="2:83" ht="15.75" thickBot="1">
      <c r="B15" s="532"/>
      <c r="AJ15" s="528"/>
      <c r="AK15" s="529" t="str">
        <f>"(" &amp; (J10) &amp; ") + (" &amp; (J9) &amp; ") ft per linear ft"</f>
        <v>(30) + (15) ft per linear ft</v>
      </c>
      <c r="AL15" s="530" t="str">
        <f>"(" &amp; (J10) &amp; ") + (" &amp; (J9) &amp; ") ft"</f>
        <v>(30) + (15) ft</v>
      </c>
      <c r="AU15" s="528"/>
      <c r="AV15" s="529" t="str">
        <f>AK20</f>
        <v>(15) ft per linear ft</v>
      </c>
      <c r="AW15" s="263"/>
      <c r="BN15" s="262"/>
      <c r="BT15" s="47"/>
      <c r="BU15" s="532"/>
      <c r="CE15" s="47"/>
    </row>
    <row r="16" spans="2:83" ht="15.75" thickBot="1">
      <c r="B16" s="532"/>
      <c r="AJ16" s="531" t="str">
        <f>AJ8</f>
        <v>Quantity of (30) ft</v>
      </c>
      <c r="AK16" s="263">
        <f>R8</f>
        <v>0</v>
      </c>
      <c r="AL16" s="314">
        <f>AK16*E6</f>
        <v>0</v>
      </c>
      <c r="AM16" s="263">
        <f>AL16*J10</f>
        <v>0</v>
      </c>
      <c r="AU16" s="534" t="str">
        <f>AJ21</f>
        <v>Quantity of (15) ft</v>
      </c>
      <c r="AV16" s="535">
        <f>IF(AO8=TRUE,AK21,0)</f>
        <v>0</v>
      </c>
      <c r="AW16" s="263">
        <f>AV16*AQ8</f>
        <v>0</v>
      </c>
      <c r="BM16" s="528"/>
      <c r="BN16" s="529" t="str">
        <f>AV10</f>
        <v>(30) + (15) ft per linear ft</v>
      </c>
      <c r="BO16" s="529"/>
      <c r="BP16" s="263"/>
      <c r="BT16" s="47"/>
      <c r="BU16" s="532"/>
      <c r="CE16" s="47"/>
    </row>
    <row r="17" spans="2:83">
      <c r="B17" s="532"/>
      <c r="AJ17" s="532"/>
      <c r="AK17" s="262"/>
      <c r="AL17" s="533"/>
      <c r="AM17" s="262"/>
      <c r="BM17" s="531" t="str">
        <f>AU11</f>
        <v>Quantity of (30) ft</v>
      </c>
      <c r="BN17" s="263">
        <f>AV11</f>
        <v>0</v>
      </c>
      <c r="BO17" s="524">
        <f>E6</f>
        <v>1</v>
      </c>
      <c r="BP17" s="263">
        <f>AW11</f>
        <v>0</v>
      </c>
      <c r="BT17" s="47"/>
      <c r="BU17" s="532"/>
      <c r="CE17" s="47"/>
    </row>
    <row r="18" spans="2:83" ht="15.75" thickBot="1">
      <c r="B18" s="532"/>
      <c r="AJ18" s="534" t="str">
        <f>AJ10</f>
        <v>Quantity of (15) ft</v>
      </c>
      <c r="AK18" s="535">
        <f>S8</f>
        <v>1</v>
      </c>
      <c r="AL18" s="537">
        <f>AK18*E6</f>
        <v>1</v>
      </c>
      <c r="AM18" s="263">
        <f>AL18*J9</f>
        <v>15</v>
      </c>
      <c r="BM18" s="532"/>
      <c r="BN18" s="262"/>
      <c r="BO18" s="262"/>
      <c r="BT18" s="47"/>
      <c r="BU18" s="532"/>
      <c r="CE18" s="47"/>
    </row>
    <row r="19" spans="2:83" ht="15.75" thickBot="1">
      <c r="B19" s="532"/>
      <c r="AM19">
        <f>SUM(AM16,AM18)</f>
        <v>15</v>
      </c>
      <c r="BM19" s="534" t="str">
        <f>AU13</f>
        <v>Quantity of (15) ft</v>
      </c>
      <c r="BN19" s="535">
        <f>AV13</f>
        <v>0</v>
      </c>
      <c r="BO19" s="584">
        <f>E6</f>
        <v>1</v>
      </c>
      <c r="BP19" s="263">
        <f>AW13</f>
        <v>0</v>
      </c>
      <c r="BT19" s="47"/>
      <c r="BU19" s="532"/>
      <c r="CE19" s="47"/>
    </row>
    <row r="20" spans="2:83" ht="15.75" thickBot="1">
      <c r="B20" s="532"/>
      <c r="AJ20" s="528"/>
      <c r="AK20" s="529" t="str">
        <f>"(" &amp; (J9) &amp; ") ft per linear ft"</f>
        <v>(15) ft per linear ft</v>
      </c>
      <c r="AL20" s="530" t="str">
        <f>"(" &amp; (J9) &amp; ") ft"</f>
        <v>(15) ft</v>
      </c>
      <c r="BN20">
        <f>AV14</f>
        <v>0</v>
      </c>
      <c r="BP20">
        <f>SUM(BP19,BP17)</f>
        <v>0</v>
      </c>
      <c r="BT20" s="47"/>
      <c r="BU20" s="532"/>
      <c r="CE20" s="47"/>
    </row>
    <row r="21" spans="2:83" ht="15.75" thickBot="1">
      <c r="B21" s="532"/>
      <c r="AJ21" s="534" t="str">
        <f>AJ10</f>
        <v>Quantity of (15) ft</v>
      </c>
      <c r="AK21" s="535">
        <f>M10</f>
        <v>1</v>
      </c>
      <c r="AL21" s="537">
        <f>AK21*E6</f>
        <v>1</v>
      </c>
      <c r="AM21" s="263">
        <f>AL21*J9</f>
        <v>15</v>
      </c>
      <c r="BM21" s="528"/>
      <c r="BN21" s="529" t="str">
        <f>AV15</f>
        <v>(15) ft per linear ft</v>
      </c>
      <c r="BO21" s="529"/>
      <c r="BP21" s="263"/>
      <c r="BT21" s="47"/>
      <c r="BU21" s="532"/>
      <c r="CE21" s="47"/>
    </row>
    <row r="22" spans="2:83" ht="15.75" thickBot="1">
      <c r="B22" s="532"/>
      <c r="BM22" s="534" t="str">
        <f>AU16</f>
        <v>Quantity of (15) ft</v>
      </c>
      <c r="BN22" s="535">
        <f>AV16</f>
        <v>0</v>
      </c>
      <c r="BO22" s="584">
        <f>E6</f>
        <v>1</v>
      </c>
      <c r="BP22" s="263">
        <f>AW16</f>
        <v>0</v>
      </c>
      <c r="BT22" s="47"/>
      <c r="BU22" s="532"/>
      <c r="CE22" s="47"/>
    </row>
    <row r="23" spans="2:83">
      <c r="B23" s="532"/>
      <c r="BT23" s="47"/>
      <c r="BU23" s="532"/>
      <c r="CE23" s="47"/>
    </row>
    <row r="24" spans="2:83">
      <c r="B24" s="532"/>
      <c r="BT24" s="47"/>
      <c r="BU24" s="532"/>
      <c r="CE24" s="47"/>
    </row>
    <row r="25" spans="2:83">
      <c r="B25" s="532"/>
      <c r="BT25" s="47"/>
      <c r="BU25" s="532"/>
      <c r="CE25" s="47"/>
    </row>
    <row r="26" spans="2:83">
      <c r="B26" s="532"/>
      <c r="BT26" s="47"/>
      <c r="BU26" s="532"/>
      <c r="CE26" s="47"/>
    </row>
    <row r="27" spans="2:83">
      <c r="B27" s="532"/>
      <c r="BT27" s="47"/>
      <c r="BU27" s="532"/>
      <c r="CE27" s="47"/>
    </row>
    <row r="28" spans="2:83">
      <c r="B28" s="532"/>
      <c r="BT28" s="47"/>
      <c r="BU28" s="532"/>
      <c r="CE28" s="47"/>
    </row>
    <row r="29" spans="2:83" ht="15.75" thickBot="1">
      <c r="B29" s="663"/>
      <c r="C29" s="4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664"/>
      <c r="BU29" s="663"/>
      <c r="BV29" s="46"/>
      <c r="BW29" s="46"/>
      <c r="BX29" s="46"/>
      <c r="BY29" s="46"/>
      <c r="BZ29" s="46"/>
      <c r="CA29" s="46"/>
      <c r="CB29" s="46"/>
      <c r="CC29" s="46"/>
      <c r="CD29" s="46"/>
      <c r="CE29" s="664"/>
    </row>
  </sheetData>
  <mergeCells count="13">
    <mergeCell ref="D4:F4"/>
    <mergeCell ref="L5:S5"/>
    <mergeCell ref="V5:AF5"/>
    <mergeCell ref="AJ5:AM5"/>
    <mergeCell ref="AU5:AY5"/>
    <mergeCell ref="H8:J8"/>
    <mergeCell ref="BM5:BP5"/>
    <mergeCell ref="BV5:BX5"/>
    <mergeCell ref="CA5:CC5"/>
    <mergeCell ref="AE7:AF7"/>
    <mergeCell ref="AO7:AQ7"/>
    <mergeCell ref="BJ7:BK7"/>
    <mergeCell ref="BA5:BK5"/>
  </mergeCells>
  <conditionalFormatting sqref="M8 M10">
    <cfRule type="colorScale" priority="1">
      <colorScale>
        <cfvo type="min"/>
        <cfvo type="max"/>
        <color theme="9"/>
        <color theme="0"/>
      </colorScale>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F4F53-F523-483F-AE38-A8607479A92B}">
  <sheetPr>
    <tabColor theme="4" tint="0.59999389629810485"/>
  </sheetPr>
  <dimension ref="B1:CE29"/>
  <sheetViews>
    <sheetView workbookViewId="0">
      <selection activeCell="E5" sqref="E5"/>
    </sheetView>
  </sheetViews>
  <sheetFormatPr defaultRowHeight="15"/>
  <cols>
    <col min="12" max="12" width="22.42578125" bestFit="1" customWidth="1"/>
    <col min="13" max="13" width="11.7109375" customWidth="1"/>
    <col min="14" max="14" width="6.7109375" bestFit="1" customWidth="1"/>
    <col min="15" max="15" width="21" customWidth="1"/>
    <col min="17" max="17" width="17.28515625" bestFit="1" customWidth="1"/>
    <col min="18" max="18" width="20.42578125" customWidth="1"/>
    <col min="19" max="19" width="21.7109375" customWidth="1"/>
    <col min="25" max="25" width="33" customWidth="1"/>
    <col min="29" max="29" width="20" customWidth="1"/>
    <col min="31" max="31" width="18.7109375" customWidth="1"/>
    <col min="34" max="34" width="27.7109375" customWidth="1"/>
    <col min="36" max="36" width="16.85546875" bestFit="1" customWidth="1"/>
    <col min="37" max="37" width="22.85546875" bestFit="1" customWidth="1"/>
    <col min="38" max="38" width="11.5703125" bestFit="1" customWidth="1"/>
    <col min="39" max="39" width="11.85546875" bestFit="1" customWidth="1"/>
    <col min="47" max="47" width="16.85546875" bestFit="1" customWidth="1"/>
    <col min="48" max="48" width="22.85546875" bestFit="1" customWidth="1"/>
    <col min="49" max="49" width="7" bestFit="1" customWidth="1"/>
    <col min="53" max="53" width="11.5703125" customWidth="1"/>
    <col min="56" max="56" width="11.5703125" bestFit="1" customWidth="1"/>
    <col min="60" max="60" width="13.42578125" customWidth="1"/>
    <col min="62" max="62" width="16.85546875" bestFit="1" customWidth="1"/>
    <col min="65" max="65" width="16.85546875" bestFit="1" customWidth="1"/>
    <col min="66" max="66" width="22.85546875" bestFit="1" customWidth="1"/>
    <col min="67" max="67" width="8.140625" bestFit="1" customWidth="1"/>
    <col min="68" max="68" width="11.85546875" bestFit="1" customWidth="1"/>
    <col min="74" max="74" width="17" bestFit="1" customWidth="1"/>
    <col min="77" max="77" width="22.140625" bestFit="1" customWidth="1"/>
    <col min="79" max="79" width="17" bestFit="1" customWidth="1"/>
  </cols>
  <sheetData>
    <row r="1" spans="2:83">
      <c r="B1" s="528"/>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210"/>
      <c r="BN1" s="210"/>
      <c r="BO1" s="210"/>
      <c r="BP1" s="210"/>
      <c r="BQ1" s="210"/>
      <c r="BR1" s="210"/>
      <c r="BS1" s="210"/>
      <c r="BT1" s="211"/>
      <c r="BU1" s="528"/>
      <c r="BX1" s="210"/>
      <c r="BY1" s="709" t="str">
        <f t="shared" ref="BY1:BZ3" si="0">D4</f>
        <v>Fabric Length / Linear ft</v>
      </c>
      <c r="BZ1" s="709">
        <f t="shared" si="0"/>
        <v>25.249999999999996</v>
      </c>
      <c r="CA1" s="210"/>
      <c r="CB1" s="210"/>
      <c r="CC1" s="210"/>
      <c r="CD1" s="210"/>
      <c r="CE1" s="211"/>
    </row>
    <row r="2" spans="2:83">
      <c r="B2" s="532"/>
      <c r="BT2" s="47"/>
      <c r="BU2" s="532"/>
      <c r="BY2" s="709" t="str">
        <f t="shared" si="0"/>
        <v>Linear ft</v>
      </c>
      <c r="BZ2" s="709">
        <f t="shared" si="0"/>
        <v>1</v>
      </c>
      <c r="CE2" s="47"/>
    </row>
    <row r="3" spans="2:83">
      <c r="B3" s="532"/>
      <c r="D3" s="1221" t="s">
        <v>500</v>
      </c>
      <c r="E3" s="1221"/>
      <c r="F3" s="1221"/>
      <c r="BT3" s="47"/>
      <c r="BU3" s="532"/>
      <c r="BY3" s="709" t="str">
        <f t="shared" si="0"/>
        <v>Layers</v>
      </c>
      <c r="BZ3" s="709">
        <f t="shared" si="0"/>
        <v>12</v>
      </c>
      <c r="CE3" s="47"/>
    </row>
    <row r="4" spans="2:83" ht="45.75" thickBot="1">
      <c r="B4" s="532"/>
      <c r="D4" s="291" t="s">
        <v>74</v>
      </c>
      <c r="E4" s="527">
        <f>'Girth Weld Calc (GW)'!R22</f>
        <v>25.249999999999996</v>
      </c>
      <c r="BT4" s="47"/>
      <c r="BU4" s="532"/>
      <c r="CE4" s="47"/>
    </row>
    <row r="5" spans="2:83" ht="15.75" thickBot="1">
      <c r="B5" s="532"/>
      <c r="D5" s="263" t="s">
        <v>196</v>
      </c>
      <c r="E5" s="710">
        <f>'Girth Weld Calc (GW)'!B2</f>
        <v>1</v>
      </c>
      <c r="L5" s="1221" t="s">
        <v>501</v>
      </c>
      <c r="M5" s="1221"/>
      <c r="N5" s="1221"/>
      <c r="O5" s="1221"/>
      <c r="P5" s="1221"/>
      <c r="Q5" s="1221"/>
      <c r="R5" s="1221"/>
      <c r="S5" s="1221"/>
      <c r="V5" s="1221" t="s">
        <v>502</v>
      </c>
      <c r="W5" s="1221"/>
      <c r="X5" s="1221"/>
      <c r="Y5" s="1221"/>
      <c r="Z5" s="1221"/>
      <c r="AA5" s="1221"/>
      <c r="AB5" s="1221"/>
      <c r="AC5" s="1221"/>
      <c r="AD5" s="1221"/>
      <c r="AE5" s="1221"/>
      <c r="AF5" s="1221"/>
      <c r="AH5" s="264" t="s">
        <v>229</v>
      </c>
      <c r="AJ5" s="1224" t="s">
        <v>503</v>
      </c>
      <c r="AK5" s="1224"/>
      <c r="AL5" s="1224"/>
      <c r="AM5" s="1224"/>
      <c r="AU5" s="1224" t="s">
        <v>504</v>
      </c>
      <c r="AV5" s="1224"/>
      <c r="AW5" s="1224"/>
      <c r="AX5" s="1224"/>
      <c r="AY5" s="1224"/>
      <c r="BA5" s="1221" t="s">
        <v>502</v>
      </c>
      <c r="BB5" s="1221"/>
      <c r="BC5" s="1221"/>
      <c r="BD5" s="1221"/>
      <c r="BE5" s="1221"/>
      <c r="BF5" s="1221"/>
      <c r="BG5" s="1221"/>
      <c r="BH5" s="1221"/>
      <c r="BI5" s="1221"/>
      <c r="BJ5" s="1221"/>
      <c r="BK5" s="1221"/>
      <c r="BM5" s="1224" t="s">
        <v>1344</v>
      </c>
      <c r="BN5" s="1224"/>
      <c r="BO5" s="1224"/>
      <c r="BP5" s="1224"/>
      <c r="BT5" s="47"/>
      <c r="BU5" s="532"/>
      <c r="BV5" s="1230" t="s">
        <v>518</v>
      </c>
      <c r="BW5" s="1231"/>
      <c r="BX5" s="1232"/>
      <c r="CA5" s="1230" t="s">
        <v>543</v>
      </c>
      <c r="CB5" s="1231"/>
      <c r="CC5" s="1232"/>
      <c r="CE5" s="47"/>
    </row>
    <row r="6" spans="2:83" ht="15.75" thickBot="1">
      <c r="B6" s="532"/>
      <c r="D6" s="263" t="s">
        <v>810</v>
      </c>
      <c r="E6" s="710">
        <f>'Girth Weld Calc (GW)'!B3</f>
        <v>12</v>
      </c>
      <c r="BT6" s="47"/>
      <c r="BU6" s="532"/>
      <c r="CE6" s="47"/>
    </row>
    <row r="7" spans="2:83" ht="75">
      <c r="B7" s="532"/>
      <c r="M7" s="263" t="s">
        <v>506</v>
      </c>
      <c r="N7" s="291" t="s">
        <v>238</v>
      </c>
      <c r="O7" s="291" t="s">
        <v>507</v>
      </c>
      <c r="Q7" s="291" t="s">
        <v>74</v>
      </c>
      <c r="R7" s="291" t="s">
        <v>508</v>
      </c>
      <c r="S7" s="291" t="s">
        <v>509</v>
      </c>
      <c r="V7" s="313" t="s">
        <v>510</v>
      </c>
      <c r="W7" s="313" t="s">
        <v>511</v>
      </c>
      <c r="Y7" s="291" t="s">
        <v>512</v>
      </c>
      <c r="Z7" s="263" t="s">
        <v>506</v>
      </c>
      <c r="AA7" s="263" t="s">
        <v>513</v>
      </c>
      <c r="AC7" s="317" t="s">
        <v>514</v>
      </c>
      <c r="AE7" s="1222" t="s">
        <v>515</v>
      </c>
      <c r="AF7" s="1222"/>
      <c r="AG7" s="262"/>
      <c r="AH7" s="291" t="s">
        <v>516</v>
      </c>
      <c r="AJ7" s="528"/>
      <c r="AK7" s="529" t="s">
        <v>517</v>
      </c>
      <c r="AL7" s="536" t="s">
        <v>518</v>
      </c>
      <c r="AM7" s="263" t="s">
        <v>519</v>
      </c>
      <c r="AO7" s="1221" t="s">
        <v>521</v>
      </c>
      <c r="AP7" s="1221"/>
      <c r="AQ7" s="1221"/>
      <c r="AR7" s="268"/>
      <c r="AS7" s="268"/>
      <c r="AU7" s="528"/>
      <c r="AV7" s="529" t="str">
        <f>AK12</f>
        <v>(30) ft per linear ft</v>
      </c>
      <c r="AW7" s="263" t="s">
        <v>513</v>
      </c>
      <c r="BA7" s="313" t="s">
        <v>510</v>
      </c>
      <c r="BB7" s="313" t="s">
        <v>511</v>
      </c>
      <c r="BD7" s="291" t="s">
        <v>512</v>
      </c>
      <c r="BE7" s="263" t="s">
        <v>506</v>
      </c>
      <c r="BF7" s="263" t="s">
        <v>513</v>
      </c>
      <c r="BH7" s="263" t="s">
        <v>514</v>
      </c>
      <c r="BJ7" s="1223" t="s">
        <v>515</v>
      </c>
      <c r="BK7" s="1223"/>
      <c r="BM7" s="528"/>
      <c r="BN7" s="529" t="s">
        <v>517</v>
      </c>
      <c r="BO7" s="536" t="s">
        <v>518</v>
      </c>
      <c r="BP7" s="263" t="s">
        <v>519</v>
      </c>
      <c r="BT7" s="47"/>
      <c r="BU7" s="532"/>
      <c r="BV7" s="693" t="s">
        <v>90</v>
      </c>
      <c r="BW7" s="694" t="s">
        <v>91</v>
      </c>
      <c r="CA7" s="693" t="s">
        <v>90</v>
      </c>
      <c r="CB7" s="694" t="s">
        <v>91</v>
      </c>
      <c r="CE7" s="47"/>
    </row>
    <row r="8" spans="2:83" ht="16.5" thickBot="1">
      <c r="B8" s="532"/>
      <c r="H8" s="1221" t="s">
        <v>521</v>
      </c>
      <c r="I8" s="1221"/>
      <c r="J8" s="1221"/>
      <c r="L8" s="267" t="str">
        <f>"Quantity of (" &amp; (J10) &amp; ") ft"</f>
        <v>Quantity of (30) ft</v>
      </c>
      <c r="M8" s="263">
        <f>ROUNDUP(E4/J10,0)</f>
        <v>1</v>
      </c>
      <c r="N8" s="263">
        <f>M8*30</f>
        <v>30</v>
      </c>
      <c r="O8" s="526">
        <f>N8-E4</f>
        <v>4.7500000000000036</v>
      </c>
      <c r="Q8" s="315" t="str">
        <f>"(" &amp; (J10) &amp; ")x + (" &amp; (J9) &amp; ")y = (" &amp; (ROUND(E4,2)) &amp; ")"</f>
        <v>(30)x + (15)y = (25.25)</v>
      </c>
      <c r="R8" s="314">
        <f>ROUNDDOWN(E4/J10,0)</f>
        <v>0</v>
      </c>
      <c r="S8" s="263">
        <f>ROUNDUP(((E4-(J10*R8))/J9),0)</f>
        <v>2</v>
      </c>
      <c r="V8" s="264">
        <f>MIN(M8,M10,M12)</f>
        <v>1</v>
      </c>
      <c r="W8" s="312">
        <f>MIN(N8,N10,N12)</f>
        <v>30</v>
      </c>
      <c r="Y8" s="263" t="str">
        <f>"(" &amp; (J10) &amp; ") ft"</f>
        <v>(30) ft</v>
      </c>
      <c r="Z8" s="316">
        <f>IF(M8=V8,1,0)</f>
        <v>1</v>
      </c>
      <c r="AA8" s="316">
        <f>IF(N8=W8,1,0)</f>
        <v>1</v>
      </c>
      <c r="AB8" s="266"/>
      <c r="AC8" s="263">
        <f>IF(SUM(AA8,Z8)=2,M8,0)</f>
        <v>1</v>
      </c>
      <c r="AE8" s="263" t="str">
        <f>"Quantity of (" &amp; (J10) &amp; ") ft"</f>
        <v>Quantity of (30) ft</v>
      </c>
      <c r="AF8" s="263">
        <f>IF(MAX(AC8:AC10)=AC10,R8,AC8)</f>
        <v>1</v>
      </c>
      <c r="AH8" s="263">
        <f>AF8*E5</f>
        <v>1</v>
      </c>
      <c r="AJ8" s="531" t="str">
        <f>AE8</f>
        <v>Quantity of (30) ft</v>
      </c>
      <c r="AK8" s="263">
        <f>AF8</f>
        <v>1</v>
      </c>
      <c r="AL8" s="314">
        <f>AH8</f>
        <v>1</v>
      </c>
      <c r="AM8" s="263">
        <f>AL8*J10</f>
        <v>30</v>
      </c>
      <c r="AO8" s="320" t="b">
        <f t="shared" ref="AO8:AQ10" si="1">H9</f>
        <v>0</v>
      </c>
      <c r="AP8" s="320">
        <f t="shared" si="1"/>
        <v>12</v>
      </c>
      <c r="AQ8" s="320">
        <f t="shared" si="1"/>
        <v>15</v>
      </c>
      <c r="AR8" s="320"/>
      <c r="AS8" s="320"/>
      <c r="AU8" s="534" t="str">
        <f>AJ13</f>
        <v>Quantity of (30) ft</v>
      </c>
      <c r="AV8" s="535">
        <f>IF(AO9=TRUE,AK13,0)</f>
        <v>1</v>
      </c>
      <c r="AW8" s="263">
        <f>AV8*AQ9</f>
        <v>30</v>
      </c>
      <c r="BA8" s="264" cm="1">
        <f t="array" ref="BA8">MIN(_xlfn._xlws.FILTER(CHOOSE({1,2,3},AV8,AV14,AV16),CHOOSE({1,2,3},AV8,AV14,AV16)&lt;&gt;0))</f>
        <v>1</v>
      </c>
      <c r="BB8" s="312" cm="1">
        <f t="array" ref="BB8">MIN(_xlfn._xlws.FILTER(CHOOSE({1,2,3},AW8,AW14,AW16),CHOOSE({1,2,3},AW8,AW14,AW16)&lt;&gt;0))</f>
        <v>30</v>
      </c>
      <c r="BD8" s="263" t="str">
        <f>"(" &amp; (AQ9) &amp; ") ft"</f>
        <v>(30) ft</v>
      </c>
      <c r="BE8" s="316">
        <f>IF(AV8=BA8,1,0)</f>
        <v>1</v>
      </c>
      <c r="BF8" s="316">
        <f>IF(AW8=BB8,1,0)</f>
        <v>1</v>
      </c>
      <c r="BG8" s="266"/>
      <c r="BH8" s="263">
        <f>IF(SUM(BF8,BE8)=2,AV8,0)</f>
        <v>1</v>
      </c>
      <c r="BJ8" s="263" t="str">
        <f>"Quantity of (" &amp; (AQ9) &amp; ") ft"</f>
        <v>Quantity of (30) ft</v>
      </c>
      <c r="BK8" s="263">
        <f>IF(MAX(BH8:BH10)=BH10,AV11,BH8)</f>
        <v>1</v>
      </c>
      <c r="BM8" s="531" t="str">
        <f>AJ8</f>
        <v>Quantity of (30) ft</v>
      </c>
      <c r="BN8" s="263">
        <f>BK8</f>
        <v>1</v>
      </c>
      <c r="BO8" s="314">
        <f>BN8*E5</f>
        <v>1</v>
      </c>
      <c r="BP8" s="263">
        <f>BO8*AQ9</f>
        <v>30</v>
      </c>
      <c r="BT8" s="47"/>
      <c r="BU8" s="532"/>
      <c r="BV8" s="437" t="s">
        <v>215</v>
      </c>
      <c r="BW8" s="438">
        <f>AL8</f>
        <v>1</v>
      </c>
      <c r="CA8" s="437" t="s">
        <v>215</v>
      </c>
      <c r="CB8" s="438">
        <f>BO8</f>
        <v>1</v>
      </c>
      <c r="CE8" s="47"/>
    </row>
    <row r="9" spans="2:83" ht="16.5" thickBot="1">
      <c r="B9" s="532"/>
      <c r="H9" s="320" t="b">
        <f>Materials!J1</f>
        <v>0</v>
      </c>
      <c r="I9" s="320">
        <f>Materials!K1</f>
        <v>12</v>
      </c>
      <c r="J9" s="320">
        <f>Materials!L1</f>
        <v>15</v>
      </c>
      <c r="Y9" s="263" t="str">
        <f>"(" &amp; (J9) &amp; ") ft"</f>
        <v>(15) ft</v>
      </c>
      <c r="Z9" s="316">
        <f>IF(M10=V8,1,0)</f>
        <v>0</v>
      </c>
      <c r="AA9" s="316">
        <f>IF(N9=W9,1,0)</f>
        <v>1</v>
      </c>
      <c r="AB9" s="292"/>
      <c r="AC9" s="263">
        <f>IF(SUM(AA9,Z9)=2,M10,0)</f>
        <v>0</v>
      </c>
      <c r="AH9" s="262"/>
      <c r="AJ9" s="532"/>
      <c r="AK9" s="262"/>
      <c r="AL9" s="533"/>
      <c r="AM9" s="262"/>
      <c r="AO9" s="320" t="b">
        <f t="shared" si="1"/>
        <v>1</v>
      </c>
      <c r="AP9" s="320">
        <f t="shared" si="1"/>
        <v>12</v>
      </c>
      <c r="AQ9" s="320">
        <f t="shared" si="1"/>
        <v>30</v>
      </c>
      <c r="AR9" s="320"/>
      <c r="AS9" s="320" t="s">
        <v>524</v>
      </c>
      <c r="AV9" s="262"/>
      <c r="BD9" s="263" t="str">
        <f>"(" &amp; (AQ8) &amp; ") ft"</f>
        <v>(15) ft</v>
      </c>
      <c r="BE9" s="316">
        <f>IF(AV16=BA8,1,0)</f>
        <v>0</v>
      </c>
      <c r="BF9" s="316">
        <f>IF(AW16=BB8,1,0)</f>
        <v>0</v>
      </c>
      <c r="BG9" s="292"/>
      <c r="BH9" s="263">
        <f>IF(SUM(BF9,BE9)=2,AV16,0)</f>
        <v>0</v>
      </c>
      <c r="BM9" s="532"/>
      <c r="BN9" s="262"/>
      <c r="BO9" s="533"/>
      <c r="BP9" s="262"/>
      <c r="BT9" s="47"/>
      <c r="BU9" s="532"/>
      <c r="BV9" s="439" t="s">
        <v>221</v>
      </c>
      <c r="BW9" s="438">
        <f>AL10</f>
        <v>0</v>
      </c>
      <c r="CA9" s="439" t="s">
        <v>221</v>
      </c>
      <c r="CB9" s="438">
        <f>BO10</f>
        <v>0</v>
      </c>
      <c r="CE9" s="47"/>
    </row>
    <row r="10" spans="2:83" ht="15.75" thickBot="1">
      <c r="B10" s="532"/>
      <c r="H10" s="320" t="b">
        <f>Materials!J2</f>
        <v>1</v>
      </c>
      <c r="I10" s="320">
        <f>Materials!K2</f>
        <v>12</v>
      </c>
      <c r="J10" s="320">
        <f>Materials!L2</f>
        <v>30</v>
      </c>
      <c r="L10" s="267" t="str">
        <f>"Quantity of (" &amp; (J9) &amp; ") ft"</f>
        <v>Quantity of (15) ft</v>
      </c>
      <c r="M10" s="263">
        <f>ROUNDUP(E4/J9,0)</f>
        <v>2</v>
      </c>
      <c r="N10" s="263">
        <f>M10*15</f>
        <v>30</v>
      </c>
      <c r="O10" s="526">
        <f>N10-E4</f>
        <v>4.7500000000000036</v>
      </c>
      <c r="Y10" s="263" t="str">
        <f>"(" &amp; (J10) &amp; ") + (" &amp; (J9) &amp; ") ft"</f>
        <v>(30) + (15) ft</v>
      </c>
      <c r="Z10" s="316">
        <f>IF(M12=V8,1,0)</f>
        <v>0</v>
      </c>
      <c r="AA10" s="316">
        <f>IF(N10=W10,1,0)</f>
        <v>0</v>
      </c>
      <c r="AB10" s="266"/>
      <c r="AC10" s="263">
        <f>IF(SUM(AA10,Z10)=2,M12,0)</f>
        <v>0</v>
      </c>
      <c r="AE10" s="263" t="str">
        <f>"Quantity of (" &amp; (J9) &amp; ") ft"</f>
        <v>Quantity of (15) ft</v>
      </c>
      <c r="AF10" s="263">
        <f>IF(MAX(AC8:AC10)=AC10,S8,AC9)</f>
        <v>0</v>
      </c>
      <c r="AH10" s="263">
        <f>AF10*E5</f>
        <v>0</v>
      </c>
      <c r="AJ10" s="534" t="str">
        <f>AE10</f>
        <v>Quantity of (15) ft</v>
      </c>
      <c r="AK10" s="535">
        <f>AF10</f>
        <v>0</v>
      </c>
      <c r="AL10" s="537">
        <f>AH10</f>
        <v>0</v>
      </c>
      <c r="AM10" s="263">
        <f>AL10*J9</f>
        <v>0</v>
      </c>
      <c r="AO10" s="320" t="b">
        <f t="shared" si="1"/>
        <v>0</v>
      </c>
      <c r="AP10" s="320">
        <f t="shared" si="1"/>
        <v>0</v>
      </c>
      <c r="AQ10" s="320">
        <f t="shared" si="1"/>
        <v>0</v>
      </c>
      <c r="AR10" s="320"/>
      <c r="AS10" s="320" t="b">
        <f>AND(AO8=TRUE,AO9=TRUE)</f>
        <v>0</v>
      </c>
      <c r="AU10" s="528"/>
      <c r="AV10" s="529" t="str">
        <f>AK15</f>
        <v>(30) + (15) ft per linear ft</v>
      </c>
      <c r="AW10" s="263"/>
      <c r="BD10" s="263" t="str">
        <f>"(" &amp; (AQ9) &amp; ") + (" &amp; (AQ8) &amp; ") ft"</f>
        <v>(30) + (15) ft</v>
      </c>
      <c r="BE10" s="316">
        <f>IF(AV14=BA8,1,0)</f>
        <v>0</v>
      </c>
      <c r="BF10" s="316">
        <f>IF(AW14=BB8,1,0)</f>
        <v>0</v>
      </c>
      <c r="BG10" s="266"/>
      <c r="BH10" s="263">
        <f>IF(SUM(BF10,BE10)=2,AV14,0)</f>
        <v>0</v>
      </c>
      <c r="BJ10" s="263" t="str">
        <f>"Quantity of (" &amp; (AQ8) &amp; ") ft"</f>
        <v>Quantity of (15) ft</v>
      </c>
      <c r="BK10" s="263">
        <f>IF(MAX(BH8:BH10)=BH10,AV13,BH9)</f>
        <v>0</v>
      </c>
      <c r="BM10" s="534" t="str">
        <f>AJ10</f>
        <v>Quantity of (15) ft</v>
      </c>
      <c r="BN10" s="535">
        <f>BK10</f>
        <v>0</v>
      </c>
      <c r="BO10" s="537">
        <f>BN10*E5</f>
        <v>0</v>
      </c>
      <c r="BP10" s="263">
        <f>BO10*AQ8</f>
        <v>0</v>
      </c>
      <c r="BT10" s="47"/>
      <c r="BU10" s="532"/>
      <c r="CE10" s="47"/>
    </row>
    <row r="11" spans="2:83" ht="15.75" thickBot="1">
      <c r="B11" s="532"/>
      <c r="H11" s="320" t="b">
        <f>Materials!J3</f>
        <v>0</v>
      </c>
      <c r="I11" s="320">
        <f>Materials!K3</f>
        <v>0</v>
      </c>
      <c r="J11" s="320">
        <f>Materials!L3</f>
        <v>0</v>
      </c>
      <c r="AU11" s="531" t="str">
        <f>AJ16</f>
        <v>Quantity of (30) ft</v>
      </c>
      <c r="AV11" s="263">
        <f>IF(AS10=TRUE,AK16,0)</f>
        <v>0</v>
      </c>
      <c r="AW11" s="263">
        <f>AV11*AQ9</f>
        <v>0</v>
      </c>
      <c r="BT11" s="47"/>
      <c r="BU11" s="532"/>
      <c r="CE11" s="47"/>
    </row>
    <row r="12" spans="2:83" ht="15.75" thickBot="1">
      <c r="B12" s="532"/>
      <c r="L12" s="267" t="str">
        <f>"Quantity of (" &amp; (J10) &amp; ") + (" &amp; (J9) &amp; ") ft"</f>
        <v>Quantity of (30) + (15) ft</v>
      </c>
      <c r="M12" s="263">
        <f>R8+S8</f>
        <v>2</v>
      </c>
      <c r="N12" s="263">
        <f>(R8*J10)+(S8*J9)</f>
        <v>30</v>
      </c>
      <c r="O12" s="526">
        <f>N12-E4</f>
        <v>4.7500000000000036</v>
      </c>
      <c r="AJ12" s="528"/>
      <c r="AK12" s="529" t="str">
        <f>"(" &amp; (J10) &amp; ") ft per linear ft"</f>
        <v>(30) ft per linear ft</v>
      </c>
      <c r="AL12" s="530" t="str">
        <f>"(" &amp; (J10) &amp; ") ft"</f>
        <v>(30) ft</v>
      </c>
      <c r="AU12" s="532"/>
      <c r="AV12" s="262"/>
      <c r="BT12" s="47"/>
      <c r="BU12" s="532"/>
      <c r="CE12" s="47"/>
    </row>
    <row r="13" spans="2:83" ht="15.75" thickBot="1">
      <c r="B13" s="532"/>
      <c r="AJ13" s="534" t="str">
        <f>AJ8</f>
        <v>Quantity of (30) ft</v>
      </c>
      <c r="AK13" s="535">
        <f>M8</f>
        <v>1</v>
      </c>
      <c r="AL13" s="537">
        <f>AK13*E5</f>
        <v>1</v>
      </c>
      <c r="AM13" s="263">
        <f>AL13*J10</f>
        <v>30</v>
      </c>
      <c r="AU13" s="534" t="str">
        <f>AJ18</f>
        <v>Quantity of (15) ft</v>
      </c>
      <c r="AV13" s="535">
        <f>IF(AS10=TRUE,AK18,0)</f>
        <v>0</v>
      </c>
      <c r="AW13" s="263">
        <f>AV13*AQ8</f>
        <v>0</v>
      </c>
      <c r="BM13" s="528"/>
      <c r="BN13" s="529" t="str">
        <f>AV7</f>
        <v>(30) ft per linear ft</v>
      </c>
      <c r="BO13" s="529"/>
      <c r="BP13" s="263" t="s">
        <v>513</v>
      </c>
      <c r="BT13" s="47"/>
      <c r="BU13" s="532"/>
      <c r="CE13" s="47"/>
    </row>
    <row r="14" spans="2:83" ht="15.75" thickBot="1">
      <c r="B14" s="532"/>
      <c r="AK14" s="262"/>
      <c r="AL14" s="262"/>
      <c r="AM14" s="262"/>
      <c r="AV14">
        <f>IF(AS8=TRUE,SUM(AV13,AV11),0)</f>
        <v>0</v>
      </c>
      <c r="AW14">
        <f>SUM(AW13,AW11)</f>
        <v>0</v>
      </c>
      <c r="BM14" s="534" t="str">
        <f>AU8</f>
        <v>Quantity of (30) ft</v>
      </c>
      <c r="BN14" s="535">
        <f>AV8</f>
        <v>1</v>
      </c>
      <c r="BO14" s="584">
        <f>E5</f>
        <v>1</v>
      </c>
      <c r="BP14" s="263">
        <f>AW8</f>
        <v>30</v>
      </c>
      <c r="BT14" s="47"/>
      <c r="BU14" s="532"/>
      <c r="CE14" s="47"/>
    </row>
    <row r="15" spans="2:83" ht="15.75" thickBot="1">
      <c r="B15" s="532"/>
      <c r="AJ15" s="528"/>
      <c r="AK15" s="529" t="str">
        <f>"(" &amp; (J10) &amp; ") + (" &amp; (J9) &amp; ") ft per linear ft"</f>
        <v>(30) + (15) ft per linear ft</v>
      </c>
      <c r="AL15" s="530" t="str">
        <f>"(" &amp; (J10) &amp; ") + (" &amp; (J9) &amp; ") ft"</f>
        <v>(30) + (15) ft</v>
      </c>
      <c r="AU15" s="528"/>
      <c r="AV15" s="529" t="str">
        <f>AK20</f>
        <v>(15) ft per linear ft</v>
      </c>
      <c r="AW15" s="263"/>
      <c r="BN15" s="262"/>
      <c r="BT15" s="47"/>
      <c r="BU15" s="532"/>
      <c r="CE15" s="47"/>
    </row>
    <row r="16" spans="2:83" ht="15.75" thickBot="1">
      <c r="B16" s="532"/>
      <c r="AJ16" s="531" t="str">
        <f>AJ8</f>
        <v>Quantity of (30) ft</v>
      </c>
      <c r="AK16" s="263">
        <f>R8</f>
        <v>0</v>
      </c>
      <c r="AL16" s="314">
        <f>AK16*E5</f>
        <v>0</v>
      </c>
      <c r="AM16" s="263">
        <f>AL16*J10</f>
        <v>0</v>
      </c>
      <c r="AU16" s="534" t="str">
        <f>AJ21</f>
        <v>Quantity of (15) ft</v>
      </c>
      <c r="AV16" s="535">
        <f>IF(AO8=TRUE,AK21,0)</f>
        <v>0</v>
      </c>
      <c r="AW16" s="263">
        <f>AV16*AQ8</f>
        <v>0</v>
      </c>
      <c r="BM16" s="528"/>
      <c r="BN16" s="529" t="str">
        <f>AV10</f>
        <v>(30) + (15) ft per linear ft</v>
      </c>
      <c r="BO16" s="529"/>
      <c r="BP16" s="263"/>
      <c r="BT16" s="47"/>
      <c r="BU16" s="532"/>
      <c r="CE16" s="47"/>
    </row>
    <row r="17" spans="2:83">
      <c r="B17" s="532"/>
      <c r="AJ17" s="532"/>
      <c r="AK17" s="262"/>
      <c r="AL17" s="533"/>
      <c r="AM17" s="262"/>
      <c r="BM17" s="531" t="str">
        <f>AU11</f>
        <v>Quantity of (30) ft</v>
      </c>
      <c r="BN17" s="263">
        <f>AV11</f>
        <v>0</v>
      </c>
      <c r="BO17" s="524">
        <f>E5</f>
        <v>1</v>
      </c>
      <c r="BP17" s="263">
        <f>AW11</f>
        <v>0</v>
      </c>
      <c r="BT17" s="47"/>
      <c r="BU17" s="532"/>
      <c r="CE17" s="47"/>
    </row>
    <row r="18" spans="2:83" ht="15.75" thickBot="1">
      <c r="B18" s="532"/>
      <c r="AJ18" s="534" t="str">
        <f>AJ10</f>
        <v>Quantity of (15) ft</v>
      </c>
      <c r="AK18" s="535">
        <f>S8</f>
        <v>2</v>
      </c>
      <c r="AL18" s="537">
        <f>AK18*E5</f>
        <v>2</v>
      </c>
      <c r="AM18" s="263">
        <f>AL18*J9</f>
        <v>30</v>
      </c>
      <c r="BM18" s="532"/>
      <c r="BN18" s="262"/>
      <c r="BO18" s="262"/>
      <c r="BT18" s="47"/>
      <c r="BU18" s="532"/>
      <c r="CE18" s="47"/>
    </row>
    <row r="19" spans="2:83" ht="15.75" thickBot="1">
      <c r="B19" s="532"/>
      <c r="AM19">
        <f>SUM(AM16,AM18)</f>
        <v>30</v>
      </c>
      <c r="BM19" s="534" t="str">
        <f>AU13</f>
        <v>Quantity of (15) ft</v>
      </c>
      <c r="BN19" s="535">
        <f>AV13</f>
        <v>0</v>
      </c>
      <c r="BO19" s="584">
        <f>E5</f>
        <v>1</v>
      </c>
      <c r="BP19" s="263">
        <f>AW13</f>
        <v>0</v>
      </c>
      <c r="BT19" s="47"/>
      <c r="BU19" s="532"/>
      <c r="CE19" s="47"/>
    </row>
    <row r="20" spans="2:83" ht="15.75" thickBot="1">
      <c r="B20" s="532"/>
      <c r="AJ20" s="528"/>
      <c r="AK20" s="529" t="str">
        <f>"(" &amp; (J9) &amp; ") ft per linear ft"</f>
        <v>(15) ft per linear ft</v>
      </c>
      <c r="AL20" s="530" t="str">
        <f>"(" &amp; (J9) &amp; ") ft"</f>
        <v>(15) ft</v>
      </c>
      <c r="BN20">
        <f>AV14</f>
        <v>0</v>
      </c>
      <c r="BP20">
        <f>SUM(BP19,BP17)</f>
        <v>0</v>
      </c>
      <c r="BT20" s="47"/>
      <c r="BU20" s="532"/>
      <c r="CE20" s="47"/>
    </row>
    <row r="21" spans="2:83" ht="15.75" thickBot="1">
      <c r="B21" s="532"/>
      <c r="AJ21" s="534" t="str">
        <f>AJ10</f>
        <v>Quantity of (15) ft</v>
      </c>
      <c r="AK21" s="535">
        <f>M10</f>
        <v>2</v>
      </c>
      <c r="AL21" s="537">
        <f>AK21*E5</f>
        <v>2</v>
      </c>
      <c r="AM21" s="263">
        <f>AL21*J9</f>
        <v>30</v>
      </c>
      <c r="BM21" s="528"/>
      <c r="BN21" s="529" t="str">
        <f>AV15</f>
        <v>(15) ft per linear ft</v>
      </c>
      <c r="BO21" s="529"/>
      <c r="BP21" s="263"/>
      <c r="BT21" s="47"/>
      <c r="BU21" s="532"/>
      <c r="CE21" s="47"/>
    </row>
    <row r="22" spans="2:83" ht="15.75" thickBot="1">
      <c r="B22" s="532"/>
      <c r="BM22" s="534" t="str">
        <f>AU16</f>
        <v>Quantity of (15) ft</v>
      </c>
      <c r="BN22" s="535">
        <f>AV16</f>
        <v>0</v>
      </c>
      <c r="BO22" s="584">
        <f>E5</f>
        <v>1</v>
      </c>
      <c r="BP22" s="263">
        <f>AW16</f>
        <v>0</v>
      </c>
      <c r="BT22" s="47"/>
      <c r="BU22" s="532"/>
      <c r="CE22" s="47"/>
    </row>
    <row r="23" spans="2:83">
      <c r="B23" s="532"/>
      <c r="BT23" s="47"/>
      <c r="BU23" s="532"/>
      <c r="CE23" s="47"/>
    </row>
    <row r="24" spans="2:83">
      <c r="B24" s="532"/>
      <c r="BT24" s="47"/>
      <c r="BU24" s="532"/>
      <c r="CE24" s="47"/>
    </row>
    <row r="25" spans="2:83">
      <c r="B25" s="532"/>
      <c r="BT25" s="47"/>
      <c r="BU25" s="532"/>
      <c r="CE25" s="47"/>
    </row>
    <row r="26" spans="2:83">
      <c r="B26" s="532"/>
      <c r="BT26" s="47"/>
      <c r="BU26" s="532"/>
      <c r="CE26" s="47"/>
    </row>
    <row r="27" spans="2:83">
      <c r="B27" s="532"/>
      <c r="BT27" s="47"/>
      <c r="BU27" s="532"/>
      <c r="CE27" s="47"/>
    </row>
    <row r="28" spans="2:83">
      <c r="B28" s="532"/>
      <c r="BT28" s="47"/>
      <c r="BU28" s="532"/>
      <c r="CE28" s="47"/>
    </row>
    <row r="29" spans="2:83" ht="15.75" thickBot="1">
      <c r="B29" s="663"/>
      <c r="C29" s="4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664"/>
      <c r="BU29" s="663"/>
      <c r="BV29" s="46"/>
      <c r="BW29" s="46"/>
      <c r="BX29" s="46"/>
      <c r="BY29" s="46"/>
      <c r="BZ29" s="46"/>
      <c r="CA29" s="46"/>
      <c r="CB29" s="46"/>
      <c r="CC29" s="46"/>
      <c r="CD29" s="46"/>
      <c r="CE29" s="664"/>
    </row>
  </sheetData>
  <mergeCells count="13">
    <mergeCell ref="D3:F3"/>
    <mergeCell ref="L5:S5"/>
    <mergeCell ref="V5:AF5"/>
    <mergeCell ref="AJ5:AM5"/>
    <mergeCell ref="AU5:AY5"/>
    <mergeCell ref="H8:J8"/>
    <mergeCell ref="BM5:BP5"/>
    <mergeCell ref="BV5:BX5"/>
    <mergeCell ref="CA5:CC5"/>
    <mergeCell ref="AE7:AF7"/>
    <mergeCell ref="AO7:AQ7"/>
    <mergeCell ref="BJ7:BK7"/>
    <mergeCell ref="BA5:BK5"/>
  </mergeCells>
  <conditionalFormatting sqref="M8 M10">
    <cfRule type="colorScale" priority="1">
      <colorScale>
        <cfvo type="min"/>
        <cfvo type="max"/>
        <color theme="9"/>
        <color theme="0"/>
      </colorScale>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D80FE-B9E8-4986-9CC6-9F0EB0614CAF}">
  <sheetPr>
    <tabColor theme="4" tint="0.59999389629810485"/>
  </sheetPr>
  <dimension ref="A1:AS29"/>
  <sheetViews>
    <sheetView workbookViewId="0">
      <selection activeCell="M25" sqref="M25"/>
    </sheetView>
  </sheetViews>
  <sheetFormatPr defaultRowHeight="15"/>
  <cols>
    <col min="1" max="1" width="16.28515625" customWidth="1"/>
    <col min="3" max="3" width="14" bestFit="1" customWidth="1"/>
    <col min="9" max="9" width="9.140625" customWidth="1"/>
    <col min="10" max="11" width="17" bestFit="1" customWidth="1"/>
    <col min="12" max="13" width="9.140625" customWidth="1"/>
    <col min="14" max="14" width="17" bestFit="1" customWidth="1"/>
    <col min="15" max="19" width="9.140625" customWidth="1"/>
    <col min="20" max="20" width="17" bestFit="1" customWidth="1"/>
    <col min="21" max="21" width="9.140625" customWidth="1"/>
    <col min="24" max="24" width="8.85546875" customWidth="1"/>
    <col min="28" max="28" width="17" bestFit="1" customWidth="1"/>
    <col min="38" max="38" width="17" bestFit="1" customWidth="1"/>
    <col min="42" max="42" width="17" bestFit="1" customWidth="1"/>
  </cols>
  <sheetData>
    <row r="1" spans="1:45">
      <c r="A1" s="700" t="s">
        <v>1247</v>
      </c>
      <c r="B1" s="1425">
        <f>'Girth Weld Calc (GW)'!B1</f>
        <v>10</v>
      </c>
      <c r="C1" s="1426"/>
      <c r="D1" s="1427" t="s">
        <v>21</v>
      </c>
      <c r="E1" s="1428"/>
      <c r="F1" s="706"/>
      <c r="G1" s="701"/>
      <c r="H1" s="707"/>
      <c r="I1" s="669"/>
      <c r="J1" s="669"/>
      <c r="K1" s="669"/>
      <c r="L1" s="669"/>
      <c r="M1" s="669"/>
      <c r="N1" s="669"/>
      <c r="O1" s="669"/>
      <c r="P1" s="210"/>
      <c r="Q1" s="210"/>
      <c r="R1" s="528"/>
      <c r="S1" s="210"/>
      <c r="T1" s="210"/>
      <c r="U1" s="669"/>
      <c r="V1" s="669"/>
      <c r="W1" s="669"/>
      <c r="X1" s="669"/>
      <c r="Y1" s="669"/>
      <c r="Z1" s="669"/>
      <c r="AA1" s="210"/>
      <c r="AB1" s="210"/>
      <c r="AC1" s="669"/>
      <c r="AD1" s="669"/>
      <c r="AE1" s="210"/>
      <c r="AF1" s="210"/>
      <c r="AG1" s="210"/>
      <c r="AH1" s="210"/>
      <c r="AI1" s="211"/>
      <c r="AJ1" s="707"/>
      <c r="AK1" s="669"/>
      <c r="AL1" s="669"/>
      <c r="AM1" s="669"/>
      <c r="AN1" s="669"/>
      <c r="AO1" s="669"/>
      <c r="AP1" s="669"/>
      <c r="AQ1" s="669"/>
      <c r="AR1" s="210"/>
      <c r="AS1" s="211"/>
    </row>
    <row r="2" spans="1:45">
      <c r="A2" s="702" t="s">
        <v>545</v>
      </c>
      <c r="B2" s="1399">
        <f>'Girth Weld Calc (GW)'!B2</f>
        <v>1</v>
      </c>
      <c r="C2" s="1400"/>
      <c r="D2" s="1429" t="s">
        <v>1345</v>
      </c>
      <c r="E2" s="1430"/>
      <c r="F2" s="562"/>
      <c r="G2" s="703"/>
      <c r="H2" s="708"/>
      <c r="I2" s="382"/>
      <c r="J2" s="382"/>
      <c r="M2" s="382"/>
      <c r="N2" s="382"/>
      <c r="O2" s="382"/>
      <c r="R2" s="532"/>
      <c r="U2" s="382"/>
      <c r="V2" s="382"/>
      <c r="W2" s="382"/>
      <c r="X2" s="382"/>
      <c r="Y2" s="382"/>
      <c r="Z2" s="382"/>
      <c r="AC2" s="382"/>
      <c r="AD2" s="382"/>
      <c r="AI2" s="47"/>
      <c r="AJ2" s="708"/>
      <c r="AK2" s="382"/>
      <c r="AL2" s="382"/>
      <c r="AO2" s="382"/>
      <c r="AP2" s="382"/>
      <c r="AQ2" s="382"/>
      <c r="AS2" s="47"/>
    </row>
    <row r="3" spans="1:45" ht="15.75" thickBot="1">
      <c r="A3" s="702" t="s">
        <v>1252</v>
      </c>
      <c r="B3" s="1431">
        <f>'Girth Weld Calc (GW)'!B3</f>
        <v>12</v>
      </c>
      <c r="C3" s="1432"/>
      <c r="D3" s="1221" t="s">
        <v>810</v>
      </c>
      <c r="E3" s="1221"/>
      <c r="F3" s="268"/>
      <c r="G3" s="666"/>
      <c r="H3" s="665"/>
      <c r="I3" s="382"/>
      <c r="J3" s="382"/>
      <c r="M3" s="382"/>
      <c r="N3" s="382"/>
      <c r="O3" s="382"/>
      <c r="R3" s="532"/>
      <c r="U3" s="382"/>
      <c r="V3" s="382"/>
      <c r="W3" s="382"/>
      <c r="X3" s="382"/>
      <c r="Y3" s="382"/>
      <c r="Z3" s="382"/>
      <c r="AC3" s="382"/>
      <c r="AD3" s="382"/>
      <c r="AI3" s="47"/>
      <c r="AJ3" s="665"/>
      <c r="AK3" s="382"/>
      <c r="AL3" s="382"/>
      <c r="AO3" s="382"/>
      <c r="AP3" s="382"/>
      <c r="AQ3" s="382"/>
      <c r="AS3" s="47"/>
    </row>
    <row r="4" spans="1:45" ht="15.75" thickBot="1">
      <c r="A4" s="704"/>
      <c r="G4" s="47"/>
      <c r="H4" s="532"/>
      <c r="J4" s="1230" t="s">
        <v>1346</v>
      </c>
      <c r="K4" s="1231"/>
      <c r="L4" s="1231"/>
      <c r="M4" s="1231"/>
      <c r="N4" s="1231"/>
      <c r="O4" s="1232"/>
      <c r="R4" s="532"/>
      <c r="T4" s="1230" t="s">
        <v>1347</v>
      </c>
      <c r="U4" s="1231"/>
      <c r="V4" s="1231"/>
      <c r="W4" s="1231"/>
      <c r="X4" s="1231"/>
      <c r="Y4" s="1231"/>
      <c r="Z4" s="1231"/>
      <c r="AA4" s="1231"/>
      <c r="AB4" s="1231"/>
      <c r="AC4" s="1231"/>
      <c r="AD4" s="1231"/>
      <c r="AE4" s="1231"/>
      <c r="AF4" s="1231"/>
      <c r="AG4" s="1232"/>
      <c r="AI4" s="47"/>
      <c r="AJ4" s="532"/>
      <c r="AL4" s="1230" t="s">
        <v>1348</v>
      </c>
      <c r="AM4" s="1231"/>
      <c r="AN4" s="1231"/>
      <c r="AO4" s="1231"/>
      <c r="AP4" s="1231"/>
      <c r="AQ4" s="1232"/>
      <c r="AS4" s="47"/>
    </row>
    <row r="5" spans="1:45" ht="15.75" thickBot="1">
      <c r="A5" s="704"/>
      <c r="G5" s="47"/>
      <c r="H5" s="532"/>
      <c r="R5" s="532"/>
      <c r="Z5" s="382"/>
      <c r="AC5" s="382"/>
      <c r="AD5" s="382"/>
      <c r="AI5" s="47"/>
      <c r="AJ5" s="532"/>
      <c r="AS5" s="47"/>
    </row>
    <row r="6" spans="1:45" ht="15.75" thickBot="1">
      <c r="A6" s="704"/>
      <c r="B6" s="382"/>
      <c r="C6" s="382" t="str">
        <f>'Girth Weld Calc (GW)'!AA8</f>
        <v>Hoop seperate</v>
      </c>
      <c r="D6" s="382"/>
      <c r="G6" s="47"/>
      <c r="H6" s="532"/>
      <c r="J6" s="1230" t="s">
        <v>518</v>
      </c>
      <c r="K6" s="1232"/>
      <c r="N6" s="1230" t="s">
        <v>543</v>
      </c>
      <c r="O6" s="1232"/>
      <c r="R6" s="532"/>
      <c r="T6" s="1230" t="s">
        <v>518</v>
      </c>
      <c r="U6" s="1231"/>
      <c r="V6" s="1231"/>
      <c r="W6" s="1231"/>
      <c r="X6" s="1231"/>
      <c r="Y6" s="1232"/>
      <c r="Z6" s="382"/>
      <c r="AB6" s="1230" t="s">
        <v>543</v>
      </c>
      <c r="AC6" s="1231"/>
      <c r="AD6" s="1231"/>
      <c r="AE6" s="1231"/>
      <c r="AF6" s="1231"/>
      <c r="AG6" s="1232"/>
      <c r="AI6" s="47"/>
      <c r="AJ6" s="532"/>
      <c r="AL6" s="1230" t="s">
        <v>518</v>
      </c>
      <c r="AM6" s="1232"/>
      <c r="AP6" s="1230" t="s">
        <v>543</v>
      </c>
      <c r="AQ6" s="1232"/>
      <c r="AS6" s="47"/>
    </row>
    <row r="7" spans="1:45">
      <c r="A7" s="704"/>
      <c r="B7" s="382"/>
      <c r="C7" s="558">
        <f>'Girth Weld Calc (GW)'!AA9</f>
        <v>3</v>
      </c>
      <c r="D7" s="558">
        <f>'Girth Weld Calc (GW)'!AB9</f>
        <v>1</v>
      </c>
      <c r="G7" s="47"/>
      <c r="H7" s="532"/>
      <c r="R7" s="532"/>
      <c r="AD7" s="382"/>
      <c r="AI7" s="47"/>
      <c r="AJ7" s="532"/>
      <c r="AS7" s="47"/>
    </row>
    <row r="8" spans="1:45">
      <c r="A8" s="704"/>
      <c r="B8" s="382"/>
      <c r="C8" s="382"/>
      <c r="D8" s="382"/>
      <c r="G8" s="47"/>
      <c r="H8" s="532"/>
      <c r="R8" s="532"/>
      <c r="AD8" s="382"/>
      <c r="AI8" s="47"/>
      <c r="AJ8" s="532"/>
      <c r="AS8" s="47"/>
    </row>
    <row r="9" spans="1:45" ht="15.75">
      <c r="A9" s="704"/>
      <c r="B9" s="382"/>
      <c r="C9" s="382"/>
      <c r="D9" s="382"/>
      <c r="G9" s="47"/>
      <c r="H9" s="532"/>
      <c r="J9" s="693" t="s">
        <v>90</v>
      </c>
      <c r="K9" s="694" t="s">
        <v>91</v>
      </c>
      <c r="N9" s="693" t="s">
        <v>90</v>
      </c>
      <c r="O9" s="694" t="s">
        <v>91</v>
      </c>
      <c r="R9" s="532"/>
      <c r="T9" s="693" t="s">
        <v>90</v>
      </c>
      <c r="U9" s="694" t="s">
        <v>91</v>
      </c>
      <c r="AB9" s="693" t="s">
        <v>90</v>
      </c>
      <c r="AC9" s="694" t="s">
        <v>91</v>
      </c>
      <c r="AD9" s="382"/>
      <c r="AI9" s="47"/>
      <c r="AJ9" s="532"/>
      <c r="AL9" s="693" t="s">
        <v>90</v>
      </c>
      <c r="AM9" s="694" t="s">
        <v>91</v>
      </c>
      <c r="AP9" s="693" t="s">
        <v>90</v>
      </c>
      <c r="AQ9" s="694" t="s">
        <v>91</v>
      </c>
      <c r="AS9" s="47"/>
    </row>
    <row r="10" spans="1:45" ht="15.75">
      <c r="A10" s="704"/>
      <c r="B10" s="382"/>
      <c r="C10" s="558">
        <f>'Girth Weld Calc (GW)'!AA12</f>
        <v>3.0833333333333335</v>
      </c>
      <c r="D10" s="558">
        <f>'Girth Weld Calc (GW)'!AB12</f>
        <v>1</v>
      </c>
      <c r="G10" s="47"/>
      <c r="H10" s="532"/>
      <c r="J10" s="437" t="s">
        <v>215</v>
      </c>
      <c r="K10" s="438">
        <f>'(GW) (H) (Full)'!BW8</f>
        <v>0</v>
      </c>
      <c r="N10" s="437" t="s">
        <v>215</v>
      </c>
      <c r="O10" s="438">
        <f>'(GW) (H) (Full)'!CB8</f>
        <v>1</v>
      </c>
      <c r="R10" s="532"/>
      <c r="T10" s="437" t="s">
        <v>215</v>
      </c>
      <c r="U10" s="438">
        <f>'(GW) (H) (Cut)'!FP13</f>
        <v>0</v>
      </c>
      <c r="AB10" s="437" t="s">
        <v>215</v>
      </c>
      <c r="AC10" s="438">
        <f>'(GW) (H) (Cut)'!FT13</f>
        <v>1</v>
      </c>
      <c r="AD10" s="382"/>
      <c r="AI10" s="47"/>
      <c r="AJ10" s="532"/>
      <c r="AL10" s="437" t="s">
        <v>215</v>
      </c>
      <c r="AM10" s="438">
        <f>'(GW) (H) (Only)'!BW8</f>
        <v>1</v>
      </c>
      <c r="AP10" s="437" t="s">
        <v>215</v>
      </c>
      <c r="AQ10" s="438">
        <f>'(GW) (H) (Only)'!CB8</f>
        <v>1</v>
      </c>
      <c r="AS10" s="47"/>
    </row>
    <row r="11" spans="1:45" ht="15.75">
      <c r="A11" s="704"/>
      <c r="B11" s="382"/>
      <c r="C11" s="382"/>
      <c r="D11" s="382"/>
      <c r="G11" s="47"/>
      <c r="H11" s="532"/>
      <c r="J11" s="439" t="s">
        <v>221</v>
      </c>
      <c r="K11" s="438">
        <f>'(GW) (H) (Full)'!BW9</f>
        <v>1</v>
      </c>
      <c r="N11" s="439" t="s">
        <v>221</v>
      </c>
      <c r="O11" s="438">
        <f>'(GW) (H) (Full)'!CB9</f>
        <v>0</v>
      </c>
      <c r="R11" s="532"/>
      <c r="T11" s="439" t="s">
        <v>221</v>
      </c>
      <c r="U11" s="438">
        <f>'(GW) (H) (Cut)'!FP14</f>
        <v>1</v>
      </c>
      <c r="AA11" s="382"/>
      <c r="AB11" s="439" t="s">
        <v>221</v>
      </c>
      <c r="AC11" s="438">
        <f>'(GW) (H) (Cut)'!FT14</f>
        <v>0</v>
      </c>
      <c r="AD11" s="382"/>
      <c r="AI11" s="47"/>
      <c r="AJ11" s="532"/>
      <c r="AL11" s="439" t="s">
        <v>221</v>
      </c>
      <c r="AM11" s="438">
        <f>'(GW) (H) (Only)'!BW9</f>
        <v>0</v>
      </c>
      <c r="AP11" s="439" t="s">
        <v>221</v>
      </c>
      <c r="AQ11" s="438">
        <f>'(GW) (H) (Only)'!CB9</f>
        <v>0</v>
      </c>
      <c r="AS11" s="47"/>
    </row>
    <row r="12" spans="1:45">
      <c r="A12" s="704"/>
      <c r="B12" s="382"/>
      <c r="C12" s="382"/>
      <c r="D12" s="382"/>
      <c r="G12" s="47"/>
      <c r="H12" s="532"/>
      <c r="R12" s="532"/>
      <c r="W12" s="382"/>
      <c r="AA12" s="382"/>
      <c r="AC12" s="382"/>
      <c r="AD12" s="382"/>
      <c r="AI12" s="47"/>
      <c r="AJ12" s="532"/>
      <c r="AS12" s="47"/>
    </row>
    <row r="13" spans="1:45" ht="15.75" thickBot="1">
      <c r="A13" s="704"/>
      <c r="B13" s="382"/>
      <c r="C13" s="558">
        <f>'Girth Weld Calc (GW)'!AA15</f>
        <v>3.0833333333333335</v>
      </c>
      <c r="D13" s="558">
        <f>'Girth Weld Calc (GW)'!AB15</f>
        <v>1</v>
      </c>
      <c r="G13" s="47"/>
      <c r="H13" s="532"/>
      <c r="R13" s="532"/>
      <c r="W13" s="382"/>
      <c r="AA13" s="382"/>
      <c r="AC13" s="382"/>
      <c r="AD13" s="382"/>
      <c r="AI13" s="47"/>
      <c r="AJ13" s="532"/>
      <c r="AS13" s="47"/>
    </row>
    <row r="14" spans="1:45" ht="15.75" thickBot="1">
      <c r="A14" s="704"/>
      <c r="B14" s="382"/>
      <c r="C14" s="382"/>
      <c r="D14" s="382"/>
      <c r="G14" s="47"/>
      <c r="H14" s="532"/>
      <c r="R14" s="532"/>
      <c r="T14" s="1263" t="str">
        <f>'(GW) (H) (Cut)'!EX11</f>
        <v>12.15 (1)</v>
      </c>
      <c r="U14" s="1233"/>
      <c r="V14" s="1233"/>
      <c r="W14" s="1234"/>
      <c r="AA14" s="382"/>
      <c r="AB14" s="1263" t="str">
        <f>'(GW) (H) (Cut)'!FF11</f>
        <v>12.30 (1)</v>
      </c>
      <c r="AC14" s="1233"/>
      <c r="AD14" s="1233"/>
      <c r="AE14" s="1234"/>
      <c r="AI14" s="47"/>
      <c r="AJ14" s="532"/>
      <c r="AS14" s="47"/>
    </row>
    <row r="15" spans="1:45" ht="15.75" thickBot="1">
      <c r="A15" s="704"/>
      <c r="B15" s="382"/>
      <c r="C15" s="382" t="s">
        <v>1349</v>
      </c>
      <c r="D15" s="382"/>
      <c r="E15" t="s">
        <v>1350</v>
      </c>
      <c r="G15" s="47"/>
      <c r="H15" s="532"/>
      <c r="R15" s="532"/>
      <c r="T15" s="1266" t="str">
        <f>'(GW) (H) (Cut)'!EX12</f>
        <v>12"</v>
      </c>
      <c r="U15" s="1267"/>
      <c r="V15" s="1266" t="str">
        <f>'(GW) (H) (Cut)'!EZ12</f>
        <v>12"</v>
      </c>
      <c r="W15" s="1267"/>
      <c r="X15" s="1266" t="str">
        <f>'(GW) (H) (Cut)'!FB12</f>
        <v>OVERFLOW</v>
      </c>
      <c r="Y15" s="1267"/>
      <c r="AA15" s="382"/>
      <c r="AB15" s="1266" t="str">
        <f>'(GW) (H) (Cut)'!FF12</f>
        <v>12"</v>
      </c>
      <c r="AC15" s="1267"/>
      <c r="AD15" s="1266" t="str">
        <f>'(GW) (H) (Cut)'!FH12</f>
        <v>12"</v>
      </c>
      <c r="AE15" s="1267"/>
      <c r="AF15" s="1266" t="str">
        <f>'(GW) (H) (Cut)'!FJ12</f>
        <v>OVERFLOW</v>
      </c>
      <c r="AG15" s="1267"/>
      <c r="AI15" s="47"/>
      <c r="AJ15" s="532"/>
      <c r="AS15" s="47"/>
    </row>
    <row r="16" spans="1:45" ht="15.75" thickBot="1">
      <c r="A16" s="704"/>
      <c r="B16" s="382" t="s">
        <v>229</v>
      </c>
      <c r="C16" s="558">
        <f>'Girth Weld Calc (GW)'!AA21</f>
        <v>15</v>
      </c>
      <c r="D16" s="382"/>
      <c r="E16" s="263">
        <f>'Girth Weld Calc (GW)'!AA23</f>
        <v>39</v>
      </c>
      <c r="G16" s="47"/>
      <c r="H16" s="532"/>
      <c r="R16" s="532"/>
      <c r="T16" s="1261" t="str">
        <f>'(GW) (H) (Cut)'!EX13</f>
        <v xml:space="preserve"> 4' (1)</v>
      </c>
      <c r="U16" s="1237"/>
      <c r="V16" s="1261" t="str">
        <f>'(GW) (H) (Cut)'!EZ13</f>
        <v/>
      </c>
      <c r="W16" s="1237"/>
      <c r="X16" s="1266" t="str">
        <f>'(GW) (H) (Cut)'!FB13</f>
        <v>Total 3'</v>
      </c>
      <c r="Y16" s="1267"/>
      <c r="AA16" s="382"/>
      <c r="AB16" s="1261" t="str">
        <f>'(GW) (H) (Cut)'!FF13</f>
        <v xml:space="preserve"> 4' (1)</v>
      </c>
      <c r="AC16" s="1237"/>
      <c r="AD16" s="1261" t="str">
        <f>'(GW) (H) (Cut)'!FH13</f>
        <v/>
      </c>
      <c r="AE16" s="1237"/>
      <c r="AF16" s="1266" t="str">
        <f>'(GW) (H) (Cut)'!FJ13</f>
        <v>Total 18'</v>
      </c>
      <c r="AG16" s="1267"/>
      <c r="AI16" s="47"/>
      <c r="AJ16" s="532"/>
      <c r="AS16" s="47"/>
    </row>
    <row r="17" spans="1:45" ht="15.75" thickBot="1">
      <c r="A17" s="704"/>
      <c r="G17" s="47"/>
      <c r="H17" s="532"/>
      <c r="R17" s="532"/>
      <c r="T17" s="1260" t="str">
        <f>'(GW) (H) (Cut)'!EX14</f>
        <v xml:space="preserve"> 4' (1)</v>
      </c>
      <c r="U17" s="1226"/>
      <c r="V17" s="1260" t="str">
        <f>'(GW) (H) (Cut)'!EZ14</f>
        <v/>
      </c>
      <c r="W17" s="1226"/>
      <c r="X17" s="637">
        <f>'(GW) (H) (Cut)'!FB14</f>
        <v>1</v>
      </c>
      <c r="Y17" s="648" t="str">
        <f>'(GW) (H) (Cut)'!FC14</f>
        <v>3' rolls</v>
      </c>
      <c r="AA17" s="382"/>
      <c r="AB17" s="1260" t="str">
        <f>'(GW) (H) (Cut)'!FF14</f>
        <v xml:space="preserve"> 4' (1)</v>
      </c>
      <c r="AC17" s="1226"/>
      <c r="AD17" s="1260" t="str">
        <f>'(GW) (H) (Cut)'!FH14</f>
        <v/>
      </c>
      <c r="AE17" s="1226"/>
      <c r="AF17" s="637">
        <f>'(GW) (H) (Cut)'!FJ14</f>
        <v>0</v>
      </c>
      <c r="AG17" s="648" t="str">
        <f>'(GW) (H) (Cut)'!FK14</f>
        <v>0' rolls</v>
      </c>
      <c r="AI17" s="47"/>
      <c r="AJ17" s="532"/>
      <c r="AS17" s="47"/>
    </row>
    <row r="18" spans="1:45" ht="15.75" thickBot="1">
      <c r="A18" s="704"/>
      <c r="G18" s="47"/>
      <c r="H18" s="532"/>
      <c r="R18" s="532"/>
      <c r="T18" s="1260" t="str">
        <f>'(GW) (H) (Cut)'!EX15</f>
        <v xml:space="preserve"> 4' (1)</v>
      </c>
      <c r="U18" s="1226"/>
      <c r="V18" s="1260" t="str">
        <f>'(GW) (H) (Cut)'!EZ15</f>
        <v/>
      </c>
      <c r="W18" s="1226"/>
      <c r="X18" s="637">
        <f>'(GW) (H) (Cut)'!FB15</f>
        <v>0</v>
      </c>
      <c r="Y18" s="648" t="str">
        <f>'(GW) (H) (Cut)'!FC15</f>
        <v>0' rolls</v>
      </c>
      <c r="Z18" s="382"/>
      <c r="AA18" s="382"/>
      <c r="AB18" s="1260" t="str">
        <f>'(GW) (H) (Cut)'!FF15</f>
        <v xml:space="preserve"> 4' (1)</v>
      </c>
      <c r="AC18" s="1226"/>
      <c r="AD18" s="1260" t="str">
        <f>'(GW) (H) (Cut)'!FH15</f>
        <v/>
      </c>
      <c r="AE18" s="1226"/>
      <c r="AF18" s="637">
        <f>'(GW) (H) (Cut)'!FJ15</f>
        <v>1</v>
      </c>
      <c r="AG18" s="648" t="str">
        <f>'(GW) (H) (Cut)'!FK15</f>
        <v>18' rolls</v>
      </c>
      <c r="AI18" s="47"/>
      <c r="AJ18" s="532"/>
      <c r="AS18" s="47"/>
    </row>
    <row r="19" spans="1:45" ht="15.75" thickBot="1">
      <c r="A19" s="705"/>
      <c r="B19" s="46"/>
      <c r="C19" s="46"/>
      <c r="D19" s="46"/>
      <c r="E19" s="46"/>
      <c r="F19" s="46"/>
      <c r="G19" s="664"/>
      <c r="H19" s="663"/>
      <c r="I19" s="46"/>
      <c r="J19" s="46"/>
      <c r="K19" s="46"/>
      <c r="L19" s="46"/>
      <c r="M19" s="46"/>
      <c r="N19" s="46"/>
      <c r="O19" s="46"/>
      <c r="P19" s="46"/>
      <c r="Q19" s="46"/>
      <c r="R19" s="532"/>
      <c r="T19" s="1260" t="str">
        <f>'(GW) (H) (Cut)'!EX16</f>
        <v/>
      </c>
      <c r="U19" s="1226"/>
      <c r="V19" s="1260" t="str">
        <f>'(GW) (H) (Cut)'!EZ16</f>
        <v/>
      </c>
      <c r="W19" s="1226"/>
      <c r="X19" s="642">
        <f>'(GW) (H) (Cut)'!FB16</f>
        <v>0</v>
      </c>
      <c r="Y19" s="649" t="str">
        <f>'(GW) (H) (Cut)'!FC16</f>
        <v>0' rolls</v>
      </c>
      <c r="Z19" s="382"/>
      <c r="AA19" s="382"/>
      <c r="AB19" s="1260" t="str">
        <f>'(GW) (H) (Cut)'!FF16</f>
        <v/>
      </c>
      <c r="AC19" s="1226"/>
      <c r="AD19" s="1260" t="str">
        <f>'(GW) (H) (Cut)'!FH16</f>
        <v/>
      </c>
      <c r="AE19" s="1226"/>
      <c r="AF19" s="642">
        <f>'(GW) (H) (Cut)'!FJ16</f>
        <v>0</v>
      </c>
      <c r="AG19" s="649" t="str">
        <f>'(GW) (H) (Cut)'!FK16</f>
        <v>0' rolls</v>
      </c>
      <c r="AI19" s="47"/>
      <c r="AJ19" s="663"/>
      <c r="AK19" s="46"/>
      <c r="AL19" s="46"/>
      <c r="AM19" s="46"/>
      <c r="AN19" s="46"/>
      <c r="AO19" s="46"/>
      <c r="AP19" s="46"/>
      <c r="AQ19" s="46"/>
      <c r="AR19" s="46"/>
      <c r="AS19" s="664"/>
    </row>
    <row r="20" spans="1:45" ht="15.75" thickBot="1">
      <c r="A20" s="382"/>
      <c r="R20" s="532"/>
      <c r="T20" s="1260" t="str">
        <f>'(GW) (H) (Cut)'!EX17</f>
        <v/>
      </c>
      <c r="U20" s="1226"/>
      <c r="V20" s="1260" t="str">
        <f>'(GW) (H) (Cut)'!EZ17</f>
        <v/>
      </c>
      <c r="W20" s="1226"/>
      <c r="Z20" s="382"/>
      <c r="AA20" s="382"/>
      <c r="AB20" s="1260" t="str">
        <f>'(GW) (H) (Cut)'!FF17</f>
        <v/>
      </c>
      <c r="AC20" s="1226"/>
      <c r="AD20" s="1260" t="str">
        <f>'(GW) (H) (Cut)'!FH17</f>
        <v/>
      </c>
      <c r="AE20" s="1226"/>
      <c r="AI20" s="47"/>
    </row>
    <row r="21" spans="1:45" ht="15.75" thickBot="1">
      <c r="A21" s="382"/>
      <c r="R21" s="532"/>
      <c r="T21" s="1257" t="str">
        <f>'(GW) (H) (Cut)'!EX18</f>
        <v/>
      </c>
      <c r="U21" s="1229"/>
      <c r="V21" s="1257" t="str">
        <f>'(GW) (H) (Cut)'!EZ18</f>
        <v/>
      </c>
      <c r="W21" s="1229"/>
      <c r="X21" s="552">
        <f>'(GW) (H) (Cut)'!FB18</f>
        <v>1</v>
      </c>
      <c r="Y21" s="552">
        <f>'(GW) (H) (Cut)'!FC18</f>
        <v>15</v>
      </c>
      <c r="Z21" s="382"/>
      <c r="AA21" s="382"/>
      <c r="AB21" s="1257" t="str">
        <f>'(GW) (H) (Cut)'!FF18</f>
        <v/>
      </c>
      <c r="AC21" s="1229"/>
      <c r="AD21" s="1257" t="str">
        <f>'(GW) (H) (Cut)'!FH18</f>
        <v/>
      </c>
      <c r="AE21" s="1229"/>
      <c r="AF21" s="552">
        <f>'(GW) (H) (Cut)'!FJ18</f>
        <v>1</v>
      </c>
      <c r="AG21" s="552">
        <f>'(GW) (H) (Cut)'!FK18</f>
        <v>30</v>
      </c>
      <c r="AI21" s="47"/>
    </row>
    <row r="22" spans="1:45">
      <c r="A22" s="382"/>
      <c r="R22" s="532"/>
      <c r="Z22" s="382"/>
      <c r="AA22" s="382"/>
      <c r="AI22" s="47"/>
    </row>
    <row r="23" spans="1:45">
      <c r="A23" s="382"/>
      <c r="R23" s="532"/>
      <c r="Z23" s="382"/>
      <c r="AA23" s="382"/>
      <c r="AI23" s="47"/>
    </row>
    <row r="24" spans="1:45">
      <c r="A24" s="382"/>
      <c r="R24" s="532"/>
      <c r="Z24" s="382"/>
      <c r="AA24" s="382"/>
      <c r="AI24" s="47"/>
    </row>
    <row r="25" spans="1:45" ht="15.75" thickBot="1">
      <c r="A25" s="382"/>
      <c r="P25" s="262"/>
      <c r="Q25" s="262"/>
      <c r="R25" s="663"/>
      <c r="S25" s="46"/>
      <c r="T25" s="46"/>
      <c r="U25" s="46"/>
      <c r="V25" s="46"/>
      <c r="W25" s="46"/>
      <c r="X25" s="46"/>
      <c r="Y25" s="46"/>
      <c r="Z25" s="668"/>
      <c r="AA25" s="46"/>
      <c r="AB25" s="46"/>
      <c r="AC25" s="46"/>
      <c r="AD25" s="46"/>
      <c r="AE25" s="46"/>
      <c r="AF25" s="46"/>
      <c r="AG25" s="46"/>
      <c r="AH25" s="46"/>
      <c r="AI25" s="664"/>
    </row>
    <row r="26" spans="1:45">
      <c r="A26" s="382"/>
      <c r="P26" s="262"/>
      <c r="Q26" s="262"/>
      <c r="W26" s="382"/>
      <c r="X26" s="382"/>
      <c r="Y26" s="382"/>
      <c r="Z26" s="571"/>
      <c r="AA26" s="382"/>
    </row>
    <row r="27" spans="1:45">
      <c r="A27" s="382"/>
      <c r="P27" s="262"/>
      <c r="Q27" s="262"/>
    </row>
    <row r="28" spans="1:45">
      <c r="A28" s="382"/>
      <c r="P28" s="262"/>
      <c r="Q28" s="262"/>
    </row>
    <row r="29" spans="1:45">
      <c r="A29" s="382"/>
      <c r="P29" s="262"/>
      <c r="Q29" s="262"/>
    </row>
  </sheetData>
  <mergeCells count="49">
    <mergeCell ref="B1:C1"/>
    <mergeCell ref="D1:E1"/>
    <mergeCell ref="B2:C2"/>
    <mergeCell ref="D2:E2"/>
    <mergeCell ref="B3:C3"/>
    <mergeCell ref="D3:E3"/>
    <mergeCell ref="J4:O4"/>
    <mergeCell ref="T4:AG4"/>
    <mergeCell ref="J6:K6"/>
    <mergeCell ref="N6:O6"/>
    <mergeCell ref="T6:Y6"/>
    <mergeCell ref="AB6:AG6"/>
    <mergeCell ref="T14:W14"/>
    <mergeCell ref="AB14:AE14"/>
    <mergeCell ref="T15:U15"/>
    <mergeCell ref="V15:W15"/>
    <mergeCell ref="X15:Y15"/>
    <mergeCell ref="AB15:AC15"/>
    <mergeCell ref="AD15:AE15"/>
    <mergeCell ref="AF15:AG15"/>
    <mergeCell ref="T16:U16"/>
    <mergeCell ref="V16:W16"/>
    <mergeCell ref="X16:Y16"/>
    <mergeCell ref="AB16:AC16"/>
    <mergeCell ref="AD16:AE16"/>
    <mergeCell ref="AF16:AG16"/>
    <mergeCell ref="V17:W17"/>
    <mergeCell ref="AB17:AC17"/>
    <mergeCell ref="AD17:AE17"/>
    <mergeCell ref="T18:U18"/>
    <mergeCell ref="V18:W18"/>
    <mergeCell ref="AB18:AC18"/>
    <mergeCell ref="AD18:AE18"/>
    <mergeCell ref="T21:U21"/>
    <mergeCell ref="V21:W21"/>
    <mergeCell ref="AB21:AC21"/>
    <mergeCell ref="AD21:AE21"/>
    <mergeCell ref="AL4:AQ4"/>
    <mergeCell ref="AL6:AM6"/>
    <mergeCell ref="AP6:AQ6"/>
    <mergeCell ref="T19:U19"/>
    <mergeCell ref="V19:W19"/>
    <mergeCell ref="AB19:AC19"/>
    <mergeCell ref="AD19:AE19"/>
    <mergeCell ref="T20:U20"/>
    <mergeCell ref="V20:W20"/>
    <mergeCell ref="AB20:AC20"/>
    <mergeCell ref="AD20:AE20"/>
    <mergeCell ref="T17:U17"/>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3EAFC-F3E9-428F-BC18-F33E05EAA63A}">
  <sheetPr>
    <tabColor theme="4" tint="0.59999389629810485"/>
  </sheetPr>
  <dimension ref="B1:CE29"/>
  <sheetViews>
    <sheetView workbookViewId="0">
      <selection activeCell="H9" sqref="H9"/>
    </sheetView>
  </sheetViews>
  <sheetFormatPr defaultRowHeight="15"/>
  <cols>
    <col min="12" max="12" width="22.42578125" bestFit="1" customWidth="1"/>
    <col min="17" max="17" width="17.28515625" bestFit="1" customWidth="1"/>
    <col min="18" max="18" width="20.42578125" customWidth="1"/>
    <col min="19" max="19" width="21.7109375" customWidth="1"/>
    <col min="25" max="25" width="33" customWidth="1"/>
    <col min="29" max="29" width="20" customWidth="1"/>
    <col min="31" max="31" width="18.7109375" customWidth="1"/>
    <col min="34" max="34" width="27.7109375" customWidth="1"/>
    <col min="36" max="36" width="16.85546875" bestFit="1" customWidth="1"/>
    <col min="37" max="37" width="22.85546875" bestFit="1" customWidth="1"/>
    <col min="38" max="38" width="11.5703125" bestFit="1" customWidth="1"/>
    <col min="39" max="39" width="11.85546875" bestFit="1" customWidth="1"/>
    <col min="47" max="47" width="16.85546875" bestFit="1" customWidth="1"/>
    <col min="48" max="48" width="22.85546875" bestFit="1" customWidth="1"/>
    <col min="49" max="49" width="7" bestFit="1" customWidth="1"/>
    <col min="53" max="53" width="11.5703125" customWidth="1"/>
    <col min="56" max="56" width="11.5703125" bestFit="1" customWidth="1"/>
    <col min="60" max="60" width="13.42578125" customWidth="1"/>
    <col min="62" max="62" width="16.85546875" bestFit="1" customWidth="1"/>
    <col min="65" max="65" width="16.85546875" bestFit="1" customWidth="1"/>
    <col min="66" max="66" width="22.85546875" bestFit="1" customWidth="1"/>
    <col min="67" max="67" width="8.140625" bestFit="1" customWidth="1"/>
    <col min="68" max="68" width="11.85546875" bestFit="1" customWidth="1"/>
    <col min="74" max="74" width="17" bestFit="1" customWidth="1"/>
    <col min="79" max="79" width="17" bestFit="1" customWidth="1"/>
  </cols>
  <sheetData>
    <row r="1" spans="2:83">
      <c r="B1" s="528"/>
      <c r="C1" s="210"/>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210"/>
      <c r="BN1" s="210"/>
      <c r="BO1" s="210"/>
      <c r="BP1" s="210"/>
      <c r="BQ1" s="210"/>
      <c r="BR1" s="210"/>
      <c r="BS1" s="210"/>
      <c r="BT1" s="211"/>
      <c r="BU1" s="528"/>
      <c r="BV1" s="210"/>
      <c r="BW1" s="210"/>
      <c r="BX1" s="210"/>
      <c r="BY1" s="210"/>
      <c r="BZ1" s="210"/>
      <c r="CA1" s="210"/>
      <c r="CB1" s="210"/>
      <c r="CC1" s="210"/>
      <c r="CD1" s="210"/>
      <c r="CE1" s="211"/>
    </row>
    <row r="2" spans="2:83">
      <c r="B2" s="532"/>
      <c r="BT2" s="47"/>
      <c r="BU2" s="532"/>
      <c r="CE2" s="47"/>
    </row>
    <row r="3" spans="2:83">
      <c r="B3" s="532"/>
      <c r="BT3" s="47"/>
      <c r="BU3" s="532"/>
      <c r="CE3" s="47"/>
    </row>
    <row r="4" spans="2:83" ht="15.75" thickBot="1">
      <c r="B4" s="532"/>
      <c r="D4" s="1221" t="s">
        <v>500</v>
      </c>
      <c r="E4" s="1221"/>
      <c r="F4" s="1221"/>
      <c r="BT4" s="47"/>
      <c r="BU4" s="532"/>
      <c r="CE4" s="47"/>
    </row>
    <row r="5" spans="2:83" ht="45.75" thickBot="1">
      <c r="B5" s="532"/>
      <c r="D5" s="291" t="s">
        <v>74</v>
      </c>
      <c r="E5" s="527">
        <f>'Girth Weld Calc (GW)'!W21</f>
        <v>24</v>
      </c>
      <c r="L5" s="1221" t="s">
        <v>501</v>
      </c>
      <c r="M5" s="1221"/>
      <c r="N5" s="1221"/>
      <c r="O5" s="1221"/>
      <c r="P5" s="1221"/>
      <c r="Q5" s="1221"/>
      <c r="R5" s="1221"/>
      <c r="S5" s="1221"/>
      <c r="V5" s="1221" t="s">
        <v>502</v>
      </c>
      <c r="W5" s="1221"/>
      <c r="X5" s="1221"/>
      <c r="Y5" s="1221"/>
      <c r="Z5" s="1221"/>
      <c r="AA5" s="1221"/>
      <c r="AB5" s="1221"/>
      <c r="AC5" s="1221"/>
      <c r="AD5" s="1221"/>
      <c r="AE5" s="1221"/>
      <c r="AF5" s="1221"/>
      <c r="AH5" s="264" t="s">
        <v>229</v>
      </c>
      <c r="AJ5" s="1224" t="s">
        <v>503</v>
      </c>
      <c r="AK5" s="1224"/>
      <c r="AL5" s="1224"/>
      <c r="AM5" s="1224"/>
      <c r="AU5" s="1224" t="s">
        <v>504</v>
      </c>
      <c r="AV5" s="1224"/>
      <c r="AW5" s="1224"/>
      <c r="AX5" s="1224"/>
      <c r="AY5" s="1224"/>
      <c r="BA5" s="1221" t="s">
        <v>502</v>
      </c>
      <c r="BB5" s="1221"/>
      <c r="BC5" s="1221"/>
      <c r="BD5" s="1221"/>
      <c r="BE5" s="1221"/>
      <c r="BF5" s="1221"/>
      <c r="BG5" s="1221"/>
      <c r="BH5" s="1221"/>
      <c r="BI5" s="1221"/>
      <c r="BJ5" s="1221"/>
      <c r="BK5" s="1221"/>
      <c r="BM5" s="1224" t="s">
        <v>1344</v>
      </c>
      <c r="BN5" s="1224"/>
      <c r="BO5" s="1224"/>
      <c r="BP5" s="1224"/>
      <c r="BT5" s="47"/>
      <c r="BU5" s="532"/>
      <c r="BV5" s="1230" t="s">
        <v>518</v>
      </c>
      <c r="BW5" s="1231"/>
      <c r="BX5" s="1232"/>
      <c r="CA5" s="1230" t="s">
        <v>543</v>
      </c>
      <c r="CB5" s="1231"/>
      <c r="CC5" s="1232"/>
      <c r="CE5" s="47"/>
    </row>
    <row r="6" spans="2:83" ht="15.75" thickBot="1">
      <c r="B6" s="532"/>
      <c r="D6" s="263" t="s">
        <v>196</v>
      </c>
      <c r="E6" s="524">
        <f>'Girth Weld Calc (GW)'!B2</f>
        <v>1</v>
      </c>
      <c r="BT6" s="47"/>
      <c r="BU6" s="532"/>
      <c r="CE6" s="47"/>
    </row>
    <row r="7" spans="2:83" ht="75">
      <c r="B7" s="532"/>
      <c r="M7" s="263" t="s">
        <v>506</v>
      </c>
      <c r="N7" s="291" t="s">
        <v>238</v>
      </c>
      <c r="O7" s="291" t="s">
        <v>507</v>
      </c>
      <c r="Q7" s="291" t="s">
        <v>74</v>
      </c>
      <c r="R7" s="291" t="s">
        <v>508</v>
      </c>
      <c r="S7" s="291" t="s">
        <v>509</v>
      </c>
      <c r="V7" s="313" t="s">
        <v>510</v>
      </c>
      <c r="W7" s="313" t="s">
        <v>511</v>
      </c>
      <c r="Y7" s="291" t="s">
        <v>512</v>
      </c>
      <c r="Z7" s="263" t="s">
        <v>506</v>
      </c>
      <c r="AA7" s="263" t="s">
        <v>513</v>
      </c>
      <c r="AC7" s="317" t="s">
        <v>514</v>
      </c>
      <c r="AE7" s="1222" t="s">
        <v>515</v>
      </c>
      <c r="AF7" s="1222"/>
      <c r="AG7" s="262"/>
      <c r="AH7" s="291" t="s">
        <v>516</v>
      </c>
      <c r="AJ7" s="528"/>
      <c r="AK7" s="529" t="s">
        <v>517</v>
      </c>
      <c r="AL7" s="536" t="s">
        <v>518</v>
      </c>
      <c r="AM7" s="263" t="s">
        <v>519</v>
      </c>
      <c r="AO7" s="1221" t="s">
        <v>521</v>
      </c>
      <c r="AP7" s="1221"/>
      <c r="AQ7" s="1221"/>
      <c r="AR7" s="268"/>
      <c r="AS7" s="268"/>
      <c r="AU7" s="528"/>
      <c r="AV7" s="529" t="str">
        <f>AK12</f>
        <v>(30) ft per linear ft</v>
      </c>
      <c r="AW7" s="263" t="s">
        <v>513</v>
      </c>
      <c r="BA7" s="313" t="s">
        <v>510</v>
      </c>
      <c r="BB7" s="313" t="s">
        <v>511</v>
      </c>
      <c r="BD7" s="291" t="s">
        <v>512</v>
      </c>
      <c r="BE7" s="263" t="s">
        <v>506</v>
      </c>
      <c r="BF7" s="263" t="s">
        <v>513</v>
      </c>
      <c r="BH7" s="263" t="s">
        <v>514</v>
      </c>
      <c r="BJ7" s="1223" t="s">
        <v>515</v>
      </c>
      <c r="BK7" s="1223"/>
      <c r="BM7" s="528"/>
      <c r="BN7" s="529" t="s">
        <v>517</v>
      </c>
      <c r="BO7" s="536" t="s">
        <v>518</v>
      </c>
      <c r="BP7" s="263" t="s">
        <v>519</v>
      </c>
      <c r="BT7" s="47"/>
      <c r="BU7" s="532"/>
      <c r="BV7" s="693" t="s">
        <v>90</v>
      </c>
      <c r="BW7" s="694" t="s">
        <v>91</v>
      </c>
      <c r="CA7" s="693" t="s">
        <v>90</v>
      </c>
      <c r="CB7" s="694" t="s">
        <v>91</v>
      </c>
      <c r="CE7" s="47"/>
    </row>
    <row r="8" spans="2:83" ht="16.5" thickBot="1">
      <c r="B8" s="532"/>
      <c r="H8" s="1221" t="s">
        <v>521</v>
      </c>
      <c r="I8" s="1221"/>
      <c r="J8" s="1221"/>
      <c r="L8" s="267" t="str">
        <f>"Quantity of (" &amp; (J10) &amp; ") ft"</f>
        <v>Quantity of (30) ft</v>
      </c>
      <c r="M8" s="263">
        <f>ROUNDUP(E5/J10,0)</f>
        <v>1</v>
      </c>
      <c r="N8" s="263">
        <f>M8*30</f>
        <v>30</v>
      </c>
      <c r="O8" s="526">
        <f>N8-E5</f>
        <v>6</v>
      </c>
      <c r="Q8" s="315" t="str">
        <f>"(" &amp; (J10) &amp; ")x + (" &amp; (J9) &amp; ")y = (" &amp; (ROUND(E5,2)) &amp; ")"</f>
        <v>(30)x + (15)y = (24)</v>
      </c>
      <c r="R8" s="314">
        <f>ROUNDDOWN(E5/J10,0)</f>
        <v>0</v>
      </c>
      <c r="S8" s="263">
        <f>ROUNDUP(((E5-(J10*R8))/J9),0)</f>
        <v>2</v>
      </c>
      <c r="V8" s="264">
        <f>MIN(M8,M10,M12)</f>
        <v>1</v>
      </c>
      <c r="W8" s="312">
        <f>MIN(N8,N10,N12)</f>
        <v>30</v>
      </c>
      <c r="Y8" s="263" t="str">
        <f>"(" &amp; (J10) &amp; ") ft"</f>
        <v>(30) ft</v>
      </c>
      <c r="Z8" s="316">
        <f>IF(M8=V8,1,0)</f>
        <v>1</v>
      </c>
      <c r="AA8" s="316">
        <f>IF(N8=W8,1,0)</f>
        <v>1</v>
      </c>
      <c r="AB8" s="266"/>
      <c r="AC8" s="263">
        <f>IF(SUM(AA8,Z8)=2,M8,0)</f>
        <v>1</v>
      </c>
      <c r="AE8" s="263" t="str">
        <f>"Quantity of (" &amp; (J10) &amp; ") ft"</f>
        <v>Quantity of (30) ft</v>
      </c>
      <c r="AF8" s="263">
        <f>IF(MAX(AC8:AC10)=AC10,R8,AC8)</f>
        <v>1</v>
      </c>
      <c r="AH8" s="263">
        <f>AF8*E6</f>
        <v>1</v>
      </c>
      <c r="AJ8" s="531" t="str">
        <f>AE8</f>
        <v>Quantity of (30) ft</v>
      </c>
      <c r="AK8" s="263">
        <f>AF8</f>
        <v>1</v>
      </c>
      <c r="AL8" s="314">
        <f>AH8</f>
        <v>1</v>
      </c>
      <c r="AM8" s="263">
        <f>AL8*J10</f>
        <v>30</v>
      </c>
      <c r="AO8" s="320" t="b">
        <f t="shared" ref="AO8:AQ10" si="0">H9</f>
        <v>0</v>
      </c>
      <c r="AP8" s="320">
        <f t="shared" si="0"/>
        <v>12</v>
      </c>
      <c r="AQ8" s="320">
        <f t="shared" si="0"/>
        <v>15</v>
      </c>
      <c r="AR8" s="320"/>
      <c r="AS8" s="320"/>
      <c r="AU8" s="534" t="str">
        <f>AJ13</f>
        <v>Quantity of (30) ft</v>
      </c>
      <c r="AV8" s="535">
        <f>IF(AO9=TRUE,AK13,0)</f>
        <v>1</v>
      </c>
      <c r="AW8" s="263">
        <f>AV8*AQ9</f>
        <v>30</v>
      </c>
      <c r="BA8" s="264" cm="1">
        <f t="array" ref="BA8">MIN(_xlfn._xlws.FILTER(CHOOSE({1,2,3},AV8,AV14,AV16),CHOOSE({1,2,3},AV8,AV14,AV16)&lt;&gt;0))</f>
        <v>1</v>
      </c>
      <c r="BB8" s="312" cm="1">
        <f t="array" ref="BB8">MIN(_xlfn._xlws.FILTER(CHOOSE({1,2,3},AW8,AW14,AW16),CHOOSE({1,2,3},AW8,AW14,AW16)&lt;&gt;0))</f>
        <v>30</v>
      </c>
      <c r="BD8" s="263" t="str">
        <f>"(" &amp; (AQ9) &amp; ") ft"</f>
        <v>(30) ft</v>
      </c>
      <c r="BE8" s="316">
        <f>IF(AV8=BA8,1,0)</f>
        <v>1</v>
      </c>
      <c r="BF8" s="316">
        <f>IF(AW8=BB8,1,0)</f>
        <v>1</v>
      </c>
      <c r="BG8" s="266"/>
      <c r="BH8" s="263">
        <f>IF(SUM(BF8,BE8)=2,AV8,0)</f>
        <v>1</v>
      </c>
      <c r="BJ8" s="263" t="str">
        <f>"Quantity of (" &amp; (AQ9) &amp; ") ft"</f>
        <v>Quantity of (30) ft</v>
      </c>
      <c r="BK8" s="263">
        <f>IF(MAX(BH8:BH10)=BH10,AV11,BH8)</f>
        <v>1</v>
      </c>
      <c r="BM8" s="531" t="str">
        <f>AJ8</f>
        <v>Quantity of (30) ft</v>
      </c>
      <c r="BN8" s="263">
        <f>BK8</f>
        <v>1</v>
      </c>
      <c r="BO8" s="314">
        <f>BN8*E6</f>
        <v>1</v>
      </c>
      <c r="BP8" s="263">
        <f>BO8*AQ9</f>
        <v>30</v>
      </c>
      <c r="BT8" s="47"/>
      <c r="BU8" s="532"/>
      <c r="BV8" s="437" t="s">
        <v>218</v>
      </c>
      <c r="BW8" s="438">
        <f>AL8</f>
        <v>1</v>
      </c>
      <c r="CA8" s="437" t="s">
        <v>218</v>
      </c>
      <c r="CB8" s="438">
        <f>BO8</f>
        <v>1</v>
      </c>
      <c r="CE8" s="47"/>
    </row>
    <row r="9" spans="2:83" ht="16.5" thickBot="1">
      <c r="B9" s="532"/>
      <c r="H9" s="320" t="b">
        <f>Materials!P1</f>
        <v>0</v>
      </c>
      <c r="I9" s="320">
        <f>Materials!Q1</f>
        <v>12</v>
      </c>
      <c r="J9" s="320">
        <f>Materials!R1</f>
        <v>15</v>
      </c>
      <c r="Y9" s="263" t="str">
        <f>"(" &amp; (J9) &amp; ") ft"</f>
        <v>(15) ft</v>
      </c>
      <c r="Z9" s="316">
        <f>IF(M10=V8,1,0)</f>
        <v>0</v>
      </c>
      <c r="AA9" s="316">
        <f>IF(N9=W9,1,0)</f>
        <v>1</v>
      </c>
      <c r="AB9" s="292"/>
      <c r="AC9" s="263">
        <f>IF(SUM(AA9,Z9)=2,M10,0)</f>
        <v>0</v>
      </c>
      <c r="AH9" s="262"/>
      <c r="AJ9" s="532"/>
      <c r="AK9" s="262"/>
      <c r="AL9" s="533"/>
      <c r="AM9" s="262"/>
      <c r="AO9" s="320" t="b">
        <f t="shared" si="0"/>
        <v>1</v>
      </c>
      <c r="AP9" s="320">
        <f t="shared" si="0"/>
        <v>12</v>
      </c>
      <c r="AQ9" s="320">
        <f t="shared" si="0"/>
        <v>30</v>
      </c>
      <c r="AR9" s="320"/>
      <c r="AS9" s="320" t="s">
        <v>524</v>
      </c>
      <c r="AV9" s="262"/>
      <c r="BD9" s="263" t="str">
        <f>"(" &amp; (AQ8) &amp; ") ft"</f>
        <v>(15) ft</v>
      </c>
      <c r="BE9" s="316">
        <f>IF(AV16=BA8,1,0)</f>
        <v>0</v>
      </c>
      <c r="BF9" s="316">
        <f>IF(AW16=BB8,1,0)</f>
        <v>0</v>
      </c>
      <c r="BG9" s="292"/>
      <c r="BH9" s="263">
        <f>IF(SUM(BF9,BE9)=2,AV16,0)</f>
        <v>0</v>
      </c>
      <c r="BM9" s="532"/>
      <c r="BN9" s="262"/>
      <c r="BO9" s="533"/>
      <c r="BP9" s="262"/>
      <c r="BT9" s="47"/>
      <c r="BU9" s="532"/>
      <c r="BV9" s="439" t="s">
        <v>223</v>
      </c>
      <c r="BW9" s="438">
        <f>AL10</f>
        <v>0</v>
      </c>
      <c r="CA9" s="439" t="s">
        <v>223</v>
      </c>
      <c r="CB9" s="438">
        <f>BO10</f>
        <v>0</v>
      </c>
      <c r="CE9" s="47"/>
    </row>
    <row r="10" spans="2:83" ht="15.75" thickBot="1">
      <c r="B10" s="532"/>
      <c r="H10" s="320" t="b">
        <f>Materials!P2</f>
        <v>1</v>
      </c>
      <c r="I10" s="320">
        <f>Materials!Q2</f>
        <v>12</v>
      </c>
      <c r="J10" s="320">
        <f>Materials!R2</f>
        <v>30</v>
      </c>
      <c r="L10" s="267" t="str">
        <f>"Quantity of (" &amp; (J9) &amp; ") ft"</f>
        <v>Quantity of (15) ft</v>
      </c>
      <c r="M10" s="263">
        <f>ROUNDUP(E5/J9,0)</f>
        <v>2</v>
      </c>
      <c r="N10" s="263">
        <f>M10*15</f>
        <v>30</v>
      </c>
      <c r="O10" s="526">
        <f>N10-E5</f>
        <v>6</v>
      </c>
      <c r="Y10" s="263" t="str">
        <f>"(" &amp; (J10) &amp; ") + (" &amp; (J9) &amp; ") ft"</f>
        <v>(30) + (15) ft</v>
      </c>
      <c r="Z10" s="316">
        <f>IF(M12=V8,1,0)</f>
        <v>0</v>
      </c>
      <c r="AA10" s="316">
        <f>IF(N10=W10,1,0)</f>
        <v>0</v>
      </c>
      <c r="AB10" s="266"/>
      <c r="AC10" s="263">
        <f>IF(SUM(AA10,Z10)=2,M12,0)</f>
        <v>0</v>
      </c>
      <c r="AE10" s="263" t="str">
        <f>"Quantity of (" &amp; (J9) &amp; ") ft"</f>
        <v>Quantity of (15) ft</v>
      </c>
      <c r="AF10" s="263">
        <f>IF(MAX(AC8:AC10)=AC10,S8,AC9)</f>
        <v>0</v>
      </c>
      <c r="AH10" s="263">
        <f>AF10*E6</f>
        <v>0</v>
      </c>
      <c r="AJ10" s="534" t="str">
        <f>AE10</f>
        <v>Quantity of (15) ft</v>
      </c>
      <c r="AK10" s="535">
        <f>AF10</f>
        <v>0</v>
      </c>
      <c r="AL10" s="537">
        <f>AH10</f>
        <v>0</v>
      </c>
      <c r="AM10" s="263">
        <f>AL10*J9</f>
        <v>0</v>
      </c>
      <c r="AO10" s="320" t="b">
        <f t="shared" si="0"/>
        <v>0</v>
      </c>
      <c r="AP10" s="320">
        <f t="shared" si="0"/>
        <v>0</v>
      </c>
      <c r="AQ10" s="320">
        <f t="shared" si="0"/>
        <v>0</v>
      </c>
      <c r="AR10" s="320"/>
      <c r="AS10" s="320" t="b">
        <f>AND(AO8=TRUE,AO9=TRUE)</f>
        <v>0</v>
      </c>
      <c r="AU10" s="528"/>
      <c r="AV10" s="529" t="str">
        <f>AK15</f>
        <v>(30) + (15) ft per linear ft</v>
      </c>
      <c r="AW10" s="263"/>
      <c r="BD10" s="263" t="str">
        <f>"(" &amp; (AQ9) &amp; ") + (" &amp; (AQ8) &amp; ") ft"</f>
        <v>(30) + (15) ft</v>
      </c>
      <c r="BE10" s="316">
        <f>IF(AV14=BA8,1,0)</f>
        <v>0</v>
      </c>
      <c r="BF10" s="316">
        <f>IF(AW14=BB8,1,0)</f>
        <v>0</v>
      </c>
      <c r="BG10" s="266"/>
      <c r="BH10" s="263">
        <f>IF(SUM(BF10,BE10)=2,AV14,0)</f>
        <v>0</v>
      </c>
      <c r="BJ10" s="263" t="str">
        <f>"Quantity of (" &amp; (AQ8) &amp; ") ft"</f>
        <v>Quantity of (15) ft</v>
      </c>
      <c r="BK10" s="263">
        <f>IF(MAX(BH8:BH10)=BH10,AV13,BH9)</f>
        <v>0</v>
      </c>
      <c r="BM10" s="534" t="str">
        <f>AJ10</f>
        <v>Quantity of (15) ft</v>
      </c>
      <c r="BN10" s="535">
        <f>BK10</f>
        <v>0</v>
      </c>
      <c r="BO10" s="537">
        <f>BN10*E6</f>
        <v>0</v>
      </c>
      <c r="BP10" s="263">
        <f>BO10*AQ8</f>
        <v>0</v>
      </c>
      <c r="BT10" s="47"/>
      <c r="BU10" s="532"/>
      <c r="CE10" s="47"/>
    </row>
    <row r="11" spans="2:83" ht="15.75" thickBot="1">
      <c r="B11" s="532"/>
      <c r="H11" s="320" t="b">
        <f>Materials!P3</f>
        <v>0</v>
      </c>
      <c r="I11" s="320">
        <f>Materials!Q3</f>
        <v>0</v>
      </c>
      <c r="J11" s="320">
        <f>Materials!R3</f>
        <v>0</v>
      </c>
      <c r="AU11" s="531" t="str">
        <f>AJ16</f>
        <v>Quantity of (30) ft</v>
      </c>
      <c r="AV11" s="263">
        <f>IF(AS10=TRUE,AK16,0)</f>
        <v>0</v>
      </c>
      <c r="AW11" s="263">
        <f>AV11*AQ9</f>
        <v>0</v>
      </c>
      <c r="BT11" s="47"/>
      <c r="BU11" s="532"/>
      <c r="CE11" s="47"/>
    </row>
    <row r="12" spans="2:83" ht="15.75" thickBot="1">
      <c r="B12" s="532"/>
      <c r="L12" s="267" t="str">
        <f>"Quantity of (" &amp; (J10) &amp; ") + (" &amp; (J9) &amp; ") ft"</f>
        <v>Quantity of (30) + (15) ft</v>
      </c>
      <c r="M12" s="263">
        <f>R8+S8</f>
        <v>2</v>
      </c>
      <c r="N12" s="263">
        <f>(R8*J10)+(S8*J9)</f>
        <v>30</v>
      </c>
      <c r="O12" s="526">
        <f>N12-E5</f>
        <v>6</v>
      </c>
      <c r="AJ12" s="528"/>
      <c r="AK12" s="529" t="str">
        <f>"(" &amp; (J10) &amp; ") ft per linear ft"</f>
        <v>(30) ft per linear ft</v>
      </c>
      <c r="AL12" s="530" t="str">
        <f>"(" &amp; (J10) &amp; ") ft"</f>
        <v>(30) ft</v>
      </c>
      <c r="AU12" s="532"/>
      <c r="AV12" s="262"/>
      <c r="BT12" s="47"/>
      <c r="BU12" s="532"/>
      <c r="CE12" s="47"/>
    </row>
    <row r="13" spans="2:83" ht="15.75" thickBot="1">
      <c r="B13" s="532"/>
      <c r="AJ13" s="534" t="str">
        <f>AJ8</f>
        <v>Quantity of (30) ft</v>
      </c>
      <c r="AK13" s="535">
        <f>M8</f>
        <v>1</v>
      </c>
      <c r="AL13" s="537">
        <f>AK13*E6</f>
        <v>1</v>
      </c>
      <c r="AM13" s="263">
        <f>AL13*J10</f>
        <v>30</v>
      </c>
      <c r="AU13" s="534" t="str">
        <f>AJ18</f>
        <v>Quantity of (15) ft</v>
      </c>
      <c r="AV13" s="535">
        <f>IF(AS10=TRUE,AK18,0)</f>
        <v>0</v>
      </c>
      <c r="AW13" s="263">
        <f>AV13*AQ8</f>
        <v>0</v>
      </c>
      <c r="BM13" s="528"/>
      <c r="BN13" s="529" t="str">
        <f>AV7</f>
        <v>(30) ft per linear ft</v>
      </c>
      <c r="BO13" s="529"/>
      <c r="BP13" s="263" t="s">
        <v>513</v>
      </c>
      <c r="BT13" s="47"/>
      <c r="BU13" s="532"/>
      <c r="CE13" s="47"/>
    </row>
    <row r="14" spans="2:83" ht="15.75" thickBot="1">
      <c r="B14" s="532"/>
      <c r="AK14" s="262"/>
      <c r="AL14" s="262"/>
      <c r="AM14" s="262"/>
      <c r="AV14">
        <f>IF(AS8=TRUE,SUM(AV13,AV11),0)</f>
        <v>0</v>
      </c>
      <c r="AW14">
        <f>SUM(AW13,AW11)</f>
        <v>0</v>
      </c>
      <c r="BM14" s="534" t="str">
        <f>AU8</f>
        <v>Quantity of (30) ft</v>
      </c>
      <c r="BN14" s="535">
        <f>AV8</f>
        <v>1</v>
      </c>
      <c r="BO14" s="584">
        <f>E6</f>
        <v>1</v>
      </c>
      <c r="BP14" s="263">
        <f>AW8</f>
        <v>30</v>
      </c>
      <c r="BT14" s="47"/>
      <c r="BU14" s="532"/>
      <c r="CE14" s="47"/>
    </row>
    <row r="15" spans="2:83" ht="15.75" thickBot="1">
      <c r="B15" s="532"/>
      <c r="AJ15" s="528"/>
      <c r="AK15" s="529" t="str">
        <f>"(" &amp; (J10) &amp; ") + (" &amp; (J9) &amp; ") ft per linear ft"</f>
        <v>(30) + (15) ft per linear ft</v>
      </c>
      <c r="AL15" s="530" t="str">
        <f>"(" &amp; (J10) &amp; ") + (" &amp; (J9) &amp; ") ft"</f>
        <v>(30) + (15) ft</v>
      </c>
      <c r="AU15" s="528"/>
      <c r="AV15" s="529" t="str">
        <f>AK20</f>
        <v>(15) ft per linear ft</v>
      </c>
      <c r="AW15" s="263"/>
      <c r="BN15" s="262"/>
      <c r="BT15" s="47"/>
      <c r="BU15" s="532"/>
      <c r="CE15" s="47"/>
    </row>
    <row r="16" spans="2:83" ht="15.75" thickBot="1">
      <c r="B16" s="532"/>
      <c r="AJ16" s="531" t="str">
        <f>AJ8</f>
        <v>Quantity of (30) ft</v>
      </c>
      <c r="AK16" s="263">
        <f>R8</f>
        <v>0</v>
      </c>
      <c r="AL16" s="314">
        <f>AK16*E6</f>
        <v>0</v>
      </c>
      <c r="AM16" s="263">
        <f>AL16*J10</f>
        <v>0</v>
      </c>
      <c r="AU16" s="534" t="str">
        <f>AJ21</f>
        <v>Quantity of (15) ft</v>
      </c>
      <c r="AV16" s="535">
        <f>IF(AO8=TRUE,AK21,0)</f>
        <v>0</v>
      </c>
      <c r="AW16" s="263">
        <f>AV16*AQ8</f>
        <v>0</v>
      </c>
      <c r="BM16" s="528"/>
      <c r="BN16" s="529" t="str">
        <f>AV10</f>
        <v>(30) + (15) ft per linear ft</v>
      </c>
      <c r="BO16" s="529"/>
      <c r="BP16" s="263"/>
      <c r="BT16" s="47"/>
      <c r="BU16" s="532"/>
      <c r="CE16" s="47"/>
    </row>
    <row r="17" spans="2:83">
      <c r="B17" s="532"/>
      <c r="AJ17" s="532"/>
      <c r="AK17" s="262"/>
      <c r="AL17" s="533"/>
      <c r="AM17" s="262"/>
      <c r="BM17" s="531" t="str">
        <f>AU11</f>
        <v>Quantity of (30) ft</v>
      </c>
      <c r="BN17" s="263">
        <f>AV11</f>
        <v>0</v>
      </c>
      <c r="BO17" s="524">
        <f>E6</f>
        <v>1</v>
      </c>
      <c r="BP17" s="263">
        <f>AW11</f>
        <v>0</v>
      </c>
      <c r="BT17" s="47"/>
      <c r="BU17" s="532"/>
      <c r="CE17" s="47"/>
    </row>
    <row r="18" spans="2:83" ht="15.75" thickBot="1">
      <c r="B18" s="532"/>
      <c r="AJ18" s="534" t="str">
        <f>AJ10</f>
        <v>Quantity of (15) ft</v>
      </c>
      <c r="AK18" s="535">
        <f>S8</f>
        <v>2</v>
      </c>
      <c r="AL18" s="537">
        <f>AK18*E6</f>
        <v>2</v>
      </c>
      <c r="AM18" s="263">
        <f>AL18*J9</f>
        <v>30</v>
      </c>
      <c r="BM18" s="532"/>
      <c r="BN18" s="262"/>
      <c r="BO18" s="262"/>
      <c r="BT18" s="47"/>
      <c r="BU18" s="532"/>
      <c r="CE18" s="47"/>
    </row>
    <row r="19" spans="2:83" ht="15.75" thickBot="1">
      <c r="B19" s="532"/>
      <c r="AM19">
        <f>SUM(AM16,AM18)</f>
        <v>30</v>
      </c>
      <c r="BM19" s="534" t="str">
        <f>AU13</f>
        <v>Quantity of (15) ft</v>
      </c>
      <c r="BN19" s="535">
        <f>AV13</f>
        <v>0</v>
      </c>
      <c r="BO19" s="584">
        <f>E6</f>
        <v>1</v>
      </c>
      <c r="BP19" s="263">
        <f>AW13</f>
        <v>0</v>
      </c>
      <c r="BT19" s="47"/>
      <c r="BU19" s="532"/>
      <c r="CE19" s="47"/>
    </row>
    <row r="20" spans="2:83" ht="15.75" thickBot="1">
      <c r="B20" s="532"/>
      <c r="AJ20" s="528"/>
      <c r="AK20" s="529" t="str">
        <f>"(" &amp; (J9) &amp; ") ft per linear ft"</f>
        <v>(15) ft per linear ft</v>
      </c>
      <c r="AL20" s="530" t="str">
        <f>"(" &amp; (J9) &amp; ") ft"</f>
        <v>(15) ft</v>
      </c>
      <c r="BN20">
        <f>AV14</f>
        <v>0</v>
      </c>
      <c r="BP20">
        <f>SUM(BP19,BP17)</f>
        <v>0</v>
      </c>
      <c r="BT20" s="47"/>
      <c r="BU20" s="532"/>
      <c r="CE20" s="47"/>
    </row>
    <row r="21" spans="2:83" ht="15.75" thickBot="1">
      <c r="B21" s="532"/>
      <c r="AJ21" s="534" t="str">
        <f>AJ10</f>
        <v>Quantity of (15) ft</v>
      </c>
      <c r="AK21" s="535">
        <f>M10</f>
        <v>2</v>
      </c>
      <c r="AL21" s="537">
        <f>AK21*E6</f>
        <v>2</v>
      </c>
      <c r="AM21" s="263">
        <f>AL21*J9</f>
        <v>30</v>
      </c>
      <c r="BM21" s="528"/>
      <c r="BN21" s="529" t="str">
        <f>AV15</f>
        <v>(15) ft per linear ft</v>
      </c>
      <c r="BO21" s="529"/>
      <c r="BP21" s="263"/>
      <c r="BT21" s="47"/>
      <c r="BU21" s="532"/>
      <c r="CE21" s="47"/>
    </row>
    <row r="22" spans="2:83" ht="15.75" thickBot="1">
      <c r="B22" s="532"/>
      <c r="BM22" s="534" t="str">
        <f>AU16</f>
        <v>Quantity of (15) ft</v>
      </c>
      <c r="BN22" s="535">
        <f>AV16</f>
        <v>0</v>
      </c>
      <c r="BO22" s="584">
        <f>E6</f>
        <v>1</v>
      </c>
      <c r="BP22" s="263">
        <f>AW16</f>
        <v>0</v>
      </c>
      <c r="BT22" s="47"/>
      <c r="BU22" s="532"/>
      <c r="CE22" s="47"/>
    </row>
    <row r="23" spans="2:83">
      <c r="B23" s="532"/>
      <c r="BT23" s="47"/>
      <c r="BU23" s="532"/>
      <c r="CE23" s="47"/>
    </row>
    <row r="24" spans="2:83">
      <c r="B24" s="532"/>
      <c r="BT24" s="47"/>
      <c r="BU24" s="532"/>
      <c r="CE24" s="47"/>
    </row>
    <row r="25" spans="2:83">
      <c r="B25" s="532"/>
      <c r="BT25" s="47"/>
      <c r="BU25" s="532"/>
      <c r="CE25" s="47"/>
    </row>
    <row r="26" spans="2:83">
      <c r="B26" s="532"/>
      <c r="BT26" s="47"/>
      <c r="BU26" s="532"/>
      <c r="CE26" s="47"/>
    </row>
    <row r="27" spans="2:83">
      <c r="B27" s="532"/>
      <c r="BT27" s="47"/>
      <c r="BU27" s="532"/>
      <c r="CE27" s="47"/>
    </row>
    <row r="28" spans="2:83">
      <c r="B28" s="532"/>
      <c r="BT28" s="47"/>
      <c r="BU28" s="532"/>
      <c r="CE28" s="47"/>
    </row>
    <row r="29" spans="2:83" ht="15.75" thickBot="1">
      <c r="B29" s="663"/>
      <c r="C29" s="4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46"/>
      <c r="AQ29" s="46"/>
      <c r="AR29" s="46"/>
      <c r="AS29" s="46"/>
      <c r="AT29" s="46"/>
      <c r="AU29" s="46"/>
      <c r="AV29" s="46"/>
      <c r="AW29" s="46"/>
      <c r="AX29" s="46"/>
      <c r="AY29" s="46"/>
      <c r="AZ29" s="46"/>
      <c r="BA29" s="46"/>
      <c r="BB29" s="46"/>
      <c r="BC29" s="46"/>
      <c r="BD29" s="46"/>
      <c r="BE29" s="46"/>
      <c r="BF29" s="46"/>
      <c r="BG29" s="46"/>
      <c r="BH29" s="46"/>
      <c r="BI29" s="46"/>
      <c r="BJ29" s="46"/>
      <c r="BK29" s="46"/>
      <c r="BL29" s="46"/>
      <c r="BM29" s="46"/>
      <c r="BN29" s="46"/>
      <c r="BO29" s="46"/>
      <c r="BP29" s="46"/>
      <c r="BQ29" s="46"/>
      <c r="BR29" s="46"/>
      <c r="BS29" s="46"/>
      <c r="BT29" s="664"/>
      <c r="BU29" s="663"/>
      <c r="BV29" s="46"/>
      <c r="BW29" s="46"/>
      <c r="BX29" s="46"/>
      <c r="BY29" s="46"/>
      <c r="BZ29" s="46"/>
      <c r="CA29" s="46"/>
      <c r="CB29" s="46"/>
      <c r="CC29" s="46"/>
      <c r="CD29" s="46"/>
      <c r="CE29" s="664"/>
    </row>
  </sheetData>
  <mergeCells count="13">
    <mergeCell ref="H8:J8"/>
    <mergeCell ref="D4:F4"/>
    <mergeCell ref="L5:S5"/>
    <mergeCell ref="V5:AF5"/>
    <mergeCell ref="AJ5:AM5"/>
    <mergeCell ref="BV5:BX5"/>
    <mergeCell ref="CA5:CC5"/>
    <mergeCell ref="BM5:BP5"/>
    <mergeCell ref="AE7:AF7"/>
    <mergeCell ref="AO7:AQ7"/>
    <mergeCell ref="BJ7:BK7"/>
    <mergeCell ref="AU5:AY5"/>
    <mergeCell ref="BA5:BK5"/>
  </mergeCells>
  <conditionalFormatting sqref="M8 M10">
    <cfRule type="colorScale" priority="1">
      <colorScale>
        <cfvo type="min"/>
        <cfvo type="max"/>
        <color theme="9"/>
        <color theme="0"/>
      </colorScale>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DB4D9-997C-4D51-89AC-3DEC828882C4}">
  <sheetPr>
    <tabColor theme="4" tint="0.59999389629810485"/>
  </sheetPr>
  <dimension ref="C1:FW37"/>
  <sheetViews>
    <sheetView topLeftCell="AR1" workbookViewId="0">
      <selection activeCell="BI20" sqref="BI20"/>
    </sheetView>
  </sheetViews>
  <sheetFormatPr defaultRowHeight="15"/>
  <cols>
    <col min="3" max="3" width="41.42578125" customWidth="1"/>
    <col min="8" max="8" width="40.7109375" customWidth="1"/>
    <col min="10" max="10" width="25.85546875" bestFit="1" customWidth="1"/>
    <col min="12" max="12" width="12.42578125" customWidth="1"/>
    <col min="13" max="13" width="26.140625" customWidth="1"/>
    <col min="15" max="15" width="15.140625" customWidth="1"/>
    <col min="16" max="16" width="9.28515625" customWidth="1"/>
    <col min="17" max="17" width="15.140625" customWidth="1"/>
    <col min="171" max="171" width="17" bestFit="1" customWidth="1"/>
    <col min="172" max="172" width="11" customWidth="1"/>
    <col min="175" max="175" width="17" bestFit="1" customWidth="1"/>
  </cols>
  <sheetData>
    <row r="1" spans="3:179" ht="15.75" thickBot="1">
      <c r="C1" s="528"/>
      <c r="D1" s="210"/>
      <c r="E1" s="210"/>
      <c r="F1" s="210"/>
      <c r="G1" s="210"/>
      <c r="H1" s="210"/>
      <c r="I1" s="210"/>
      <c r="J1" s="210"/>
      <c r="K1" s="210"/>
      <c r="L1" s="210"/>
      <c r="M1" s="210"/>
      <c r="N1" s="210"/>
      <c r="O1" s="210"/>
      <c r="P1" s="210"/>
      <c r="Q1" s="210"/>
      <c r="R1" s="210"/>
      <c r="S1" s="210"/>
      <c r="T1" s="210"/>
      <c r="U1" s="210"/>
      <c r="V1" s="210"/>
      <c r="W1" s="210"/>
      <c r="X1" s="210"/>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c r="DR1" s="210"/>
      <c r="DS1" s="210"/>
      <c r="DT1" s="210"/>
      <c r="DU1" s="210"/>
      <c r="DV1" s="210"/>
      <c r="DW1" s="210"/>
      <c r="DX1" s="210"/>
      <c r="DY1" s="210"/>
      <c r="DZ1" s="210"/>
      <c r="EA1" s="210"/>
      <c r="EB1" s="210"/>
      <c r="EC1" s="210"/>
      <c r="ED1" s="210"/>
      <c r="EE1" s="210"/>
      <c r="EF1" s="210"/>
      <c r="EG1" s="210"/>
      <c r="EH1" s="210"/>
      <c r="EI1" s="210"/>
      <c r="EJ1" s="210"/>
      <c r="EK1" s="210"/>
      <c r="EL1" s="210"/>
      <c r="EM1" s="210"/>
      <c r="EN1" s="210"/>
      <c r="EO1" s="210"/>
      <c r="EP1" s="210"/>
      <c r="EQ1" s="210"/>
      <c r="ER1" s="210"/>
      <c r="ES1" s="210"/>
      <c r="ET1" s="210"/>
      <c r="EU1" s="211"/>
      <c r="EV1" s="210"/>
      <c r="EW1" s="210"/>
      <c r="EX1" s="210"/>
      <c r="EY1" s="210"/>
      <c r="EZ1" s="210"/>
      <c r="FA1" s="210"/>
      <c r="FB1" s="210"/>
      <c r="FC1" s="210"/>
      <c r="FD1" s="210"/>
      <c r="FE1" s="210"/>
      <c r="FF1" s="210"/>
      <c r="FG1" s="210"/>
      <c r="FH1" s="210"/>
      <c r="FI1" s="210"/>
      <c r="FJ1" s="210"/>
      <c r="FK1" s="210"/>
      <c r="FL1" s="210"/>
      <c r="FM1" s="211"/>
      <c r="FN1" s="528"/>
      <c r="FO1" s="210"/>
      <c r="FP1" s="210"/>
      <c r="FQ1" s="210"/>
      <c r="FR1" s="210"/>
      <c r="FS1" s="210"/>
      <c r="FT1" s="210"/>
      <c r="FU1" s="210"/>
      <c r="FV1" s="210"/>
      <c r="FW1" s="211"/>
    </row>
    <row r="2" spans="3:179" ht="15.75" thickBot="1">
      <c r="C2" s="1424" t="s">
        <v>1351</v>
      </c>
      <c r="D2" s="1381"/>
      <c r="E2" s="1284"/>
      <c r="F2" s="268"/>
      <c r="EU2" s="47"/>
      <c r="FM2" s="47"/>
      <c r="FN2" s="532"/>
      <c r="FW2" s="47"/>
    </row>
    <row r="3" spans="3:179">
      <c r="C3" s="532"/>
      <c r="EU3" s="47"/>
      <c r="FM3" s="47"/>
      <c r="FN3" s="532"/>
      <c r="FW3" s="47"/>
    </row>
    <row r="4" spans="3:179">
      <c r="C4" s="661" t="s">
        <v>549</v>
      </c>
      <c r="D4" s="482">
        <f>'Girth Weld Calc (GW)'!B2</f>
        <v>1</v>
      </c>
      <c r="E4" t="s">
        <v>75</v>
      </c>
      <c r="G4" s="695"/>
      <c r="J4" t="s">
        <v>550</v>
      </c>
      <c r="EU4" s="47"/>
      <c r="FM4" s="47"/>
      <c r="FN4" s="532"/>
      <c r="FW4" s="47"/>
    </row>
    <row r="5" spans="3:179">
      <c r="C5" s="661"/>
      <c r="D5" s="358">
        <f>IF(Corrosion!I25=FALSE,MAX('Girth Weld Calc (GW)'!W9,'Girth Weld Calc (GW)'!W12,'Girth Weld Calc (GW)'!W15),0)</f>
        <v>5.416666666666667</v>
      </c>
      <c r="J5" t="s">
        <v>552</v>
      </c>
      <c r="EU5" s="47"/>
      <c r="FM5" s="47"/>
      <c r="FN5" s="532"/>
      <c r="FW5" s="47"/>
    </row>
    <row r="6" spans="3:179">
      <c r="C6" s="661" t="s">
        <v>555</v>
      </c>
      <c r="D6" s="591">
        <f>ROUNDUP(D5,0)</f>
        <v>6</v>
      </c>
      <c r="E6" s="358" t="s">
        <v>75</v>
      </c>
      <c r="F6" s="358"/>
      <c r="EU6" s="47"/>
      <c r="FM6" s="47"/>
      <c r="FN6" s="532"/>
      <c r="FW6" s="47"/>
    </row>
    <row r="7" spans="3:179">
      <c r="C7" s="661" t="s">
        <v>557</v>
      </c>
      <c r="D7" s="490">
        <f>D6*D8*D4</f>
        <v>18</v>
      </c>
      <c r="E7" t="s">
        <v>75</v>
      </c>
      <c r="EU7" s="47"/>
      <c r="FM7" s="47"/>
      <c r="FN7" s="532"/>
      <c r="FW7" s="47"/>
    </row>
    <row r="8" spans="3:179" ht="15.75" thickBot="1">
      <c r="C8" s="532" t="s">
        <v>559</v>
      </c>
      <c r="D8" s="657">
        <v>3</v>
      </c>
      <c r="EU8" s="47"/>
      <c r="FM8" s="47"/>
      <c r="FN8" s="532"/>
      <c r="FW8" s="47"/>
    </row>
    <row r="9" spans="3:179" ht="15.75" thickBot="1">
      <c r="C9" s="532" t="s">
        <v>560</v>
      </c>
      <c r="D9" s="490">
        <f>(BC18*BD18)-D7</f>
        <v>12</v>
      </c>
      <c r="E9" t="s">
        <v>75</v>
      </c>
      <c r="AV9" s="592"/>
      <c r="AY9" s="1230" t="s">
        <v>561</v>
      </c>
      <c r="AZ9" s="1231"/>
      <c r="BA9" s="1231"/>
      <c r="BB9" s="1231"/>
      <c r="BC9" s="1231"/>
      <c r="BD9" s="1232"/>
      <c r="BE9" s="268"/>
      <c r="BF9" s="268"/>
      <c r="BG9" s="268"/>
      <c r="BH9" s="268"/>
      <c r="BI9" s="268"/>
      <c r="BJ9" s="268"/>
      <c r="BK9" s="268"/>
      <c r="BL9" s="268"/>
      <c r="BN9" s="1230" t="s">
        <v>563</v>
      </c>
      <c r="BO9" s="1231"/>
      <c r="BP9" s="1231"/>
      <c r="BQ9" s="1231"/>
      <c r="BR9" s="1231"/>
      <c r="BS9" s="1232"/>
      <c r="EU9" s="47"/>
      <c r="EX9" s="1230" t="str">
        <f>AY9</f>
        <v>OPTIMAL</v>
      </c>
      <c r="EY9" s="1231"/>
      <c r="EZ9" s="1231"/>
      <c r="FA9" s="1231"/>
      <c r="FB9" s="1231"/>
      <c r="FC9" s="1232"/>
      <c r="FF9" s="1230" t="str">
        <f>BN9</f>
        <v>OPTIMAL BASED ON MATERIALS</v>
      </c>
      <c r="FG9" s="1231"/>
      <c r="FH9" s="1231"/>
      <c r="FI9" s="1231"/>
      <c r="FJ9" s="1231"/>
      <c r="FK9" s="1232"/>
      <c r="FM9" s="47"/>
      <c r="FN9" s="532"/>
      <c r="FO9" s="1230" t="str">
        <f>EX9</f>
        <v>OPTIMAL</v>
      </c>
      <c r="FP9" s="1231"/>
      <c r="FQ9" s="1232"/>
      <c r="FS9" s="1230" t="str">
        <f>FF9</f>
        <v>OPTIMAL BASED ON MATERIALS</v>
      </c>
      <c r="FT9" s="1231"/>
      <c r="FU9" s="1232"/>
      <c r="FW9" s="47"/>
    </row>
    <row r="10" spans="3:179" ht="15.75" thickBot="1">
      <c r="C10" s="532" t="s">
        <v>565</v>
      </c>
      <c r="D10" s="359">
        <f>(BR18*BS18)-D7</f>
        <v>12</v>
      </c>
      <c r="E10" t="s">
        <v>75</v>
      </c>
      <c r="AO10" t="s">
        <v>567</v>
      </c>
      <c r="AP10" t="s">
        <v>524</v>
      </c>
      <c r="EU10" s="47"/>
      <c r="FM10" s="47"/>
      <c r="FN10" s="532"/>
      <c r="FW10" s="47"/>
    </row>
    <row r="11" spans="3:179" ht="15.75" thickBot="1">
      <c r="C11" s="532"/>
      <c r="AD11" s="696"/>
      <c r="AG11" s="696"/>
      <c r="AO11" s="320" t="b">
        <f>Materials!P1</f>
        <v>0</v>
      </c>
      <c r="AP11" t="b">
        <f>AND(AO11=TRUE,BD18=15)</f>
        <v>0</v>
      </c>
      <c r="AR11" s="1283" t="str">
        <f>"12." &amp; E14 &amp; " (" &amp; DH14+EL14 &amp; ")"</f>
        <v>12.15 (2)</v>
      </c>
      <c r="AS11" s="1381"/>
      <c r="AT11" s="1381"/>
      <c r="AU11" s="1284"/>
      <c r="AY11" s="1263" t="str">
        <f t="shared" ref="AY11:AY18" si="0">IF($AW$20&lt;=$AW$34,AR11,AR25)</f>
        <v>12.30 (1)</v>
      </c>
      <c r="AZ11" s="1233"/>
      <c r="BA11" s="1233"/>
      <c r="BB11" s="1234"/>
      <c r="BG11" s="1283">
        <f t="shared" ref="BG11:BG18" si="1">IF($AO$11=TRUE,AR11,0)</f>
        <v>0</v>
      </c>
      <c r="BH11" s="1381"/>
      <c r="BI11" s="1381"/>
      <c r="BJ11" s="1284"/>
      <c r="BN11" s="1263" t="str">
        <f t="shared" ref="BN11:BN18" si="2">IF(AND(OR($BL$18&lt;=$BL$32,BG25=0),$BL$18&gt;0),IF($AO$11=FALSE,"N/A",BG11),BG25)</f>
        <v>12.30 (1)</v>
      </c>
      <c r="BO11" s="1233"/>
      <c r="BP11" s="1233"/>
      <c r="BQ11" s="1234"/>
      <c r="BW11" s="1005">
        <f>SUM(BW13:BX18)</f>
        <v>3</v>
      </c>
      <c r="BX11" s="1006"/>
      <c r="BY11" s="1005">
        <f>SUM(BY13:BZ18)</f>
        <v>0</v>
      </c>
      <c r="BZ11" s="1006"/>
      <c r="CB11" s="1005">
        <f>SUM(CB13:CC18)</f>
        <v>18</v>
      </c>
      <c r="CC11" s="1006"/>
      <c r="CD11" s="1005">
        <f>SUM(CD13:CE18)</f>
        <v>0</v>
      </c>
      <c r="CE11" s="1006"/>
      <c r="CF11" s="268"/>
      <c r="CG11" s="1283" t="s">
        <v>569</v>
      </c>
      <c r="CH11" s="1381"/>
      <c r="CI11" s="1381"/>
      <c r="CJ11" s="1284"/>
      <c r="CK11" s="268"/>
      <c r="CL11" s="1283" t="s">
        <v>570</v>
      </c>
      <c r="CM11" s="1381"/>
      <c r="CN11" s="1381"/>
      <c r="CO11" s="1284"/>
      <c r="CP11" s="268"/>
      <c r="CW11" s="268"/>
      <c r="CX11" s="268"/>
      <c r="DR11" s="268"/>
      <c r="DS11" s="268"/>
      <c r="EU11" s="47"/>
      <c r="EX11" s="1263" t="str">
        <f>AY11</f>
        <v>12.30 (1)</v>
      </c>
      <c r="EY11" s="1233"/>
      <c r="EZ11" s="1233"/>
      <c r="FA11" s="1234"/>
      <c r="FF11" s="1263" t="str">
        <f>BN11</f>
        <v>12.30 (1)</v>
      </c>
      <c r="FG11" s="1233"/>
      <c r="FH11" s="1233"/>
      <c r="FI11" s="1234"/>
      <c r="FM11" s="47"/>
      <c r="FN11" s="532"/>
      <c r="FW11" s="47"/>
    </row>
    <row r="12" spans="3:179" ht="90.75" thickBot="1">
      <c r="C12" s="532"/>
      <c r="G12" s="480" t="str">
        <f>"Linear foot per (" &amp; D6 &amp; ") ft roll"</f>
        <v>Linear foot per (6) ft roll</v>
      </c>
      <c r="H12" s="483" t="s">
        <v>271</v>
      </c>
      <c r="J12" s="483" t="s">
        <v>591</v>
      </c>
      <c r="L12" s="480" t="s">
        <v>592</v>
      </c>
      <c r="O12" s="480" t="s">
        <v>593</v>
      </c>
      <c r="Q12" s="480" t="s">
        <v>594</v>
      </c>
      <c r="U12" s="480" t="s">
        <v>595</v>
      </c>
      <c r="W12" s="658" t="s">
        <v>596</v>
      </c>
      <c r="X12" s="659" t="s">
        <v>597</v>
      </c>
      <c r="Y12" s="659" t="s">
        <v>598</v>
      </c>
      <c r="Z12" s="659" t="s">
        <v>599</v>
      </c>
      <c r="AA12" s="659" t="s">
        <v>600</v>
      </c>
      <c r="AB12" s="659" t="s">
        <v>601</v>
      </c>
      <c r="AD12" s="291" t="s">
        <v>602</v>
      </c>
      <c r="AE12" s="480" t="s">
        <v>603</v>
      </c>
      <c r="AF12" s="480" t="s">
        <v>604</v>
      </c>
      <c r="AG12" s="480" t="s">
        <v>605</v>
      </c>
      <c r="AJ12" s="418" t="s">
        <v>606</v>
      </c>
      <c r="AK12" s="291" t="s">
        <v>607</v>
      </c>
      <c r="AR12" s="1238" t="s">
        <v>608</v>
      </c>
      <c r="AS12" s="1239"/>
      <c r="AT12" s="1263" t="s">
        <v>608</v>
      </c>
      <c r="AU12" s="1233"/>
      <c r="AV12" s="1263" t="s">
        <v>544</v>
      </c>
      <c r="AW12" s="1234"/>
      <c r="AX12" s="268"/>
      <c r="AY12" s="1266" t="str">
        <f t="shared" si="0"/>
        <v>12"</v>
      </c>
      <c r="AZ12" s="1267"/>
      <c r="BA12" s="1266" t="str">
        <f t="shared" ref="BA12:BA18" si="3">IF($AW$20&lt;=$AW$34,AT12,AT26)</f>
        <v>12"</v>
      </c>
      <c r="BB12" s="1267"/>
      <c r="BC12" s="1233" t="s">
        <v>544</v>
      </c>
      <c r="BD12" s="1234"/>
      <c r="BE12" s="268"/>
      <c r="BF12" s="268"/>
      <c r="BG12" s="1238">
        <f t="shared" si="1"/>
        <v>0</v>
      </c>
      <c r="BH12" s="1239"/>
      <c r="BI12" s="1238">
        <f t="shared" ref="BI12:BI18" si="4">IF($AO$11=TRUE,AT12,0)</f>
        <v>0</v>
      </c>
      <c r="BJ12" s="995"/>
      <c r="BK12" s="1230">
        <f>IF($AO$11=TRUE,AV12,0)</f>
        <v>0</v>
      </c>
      <c r="BL12" s="1232"/>
      <c r="BM12" s="268"/>
      <c r="BN12" s="1266" t="str">
        <f t="shared" si="2"/>
        <v>12"</v>
      </c>
      <c r="BO12" s="1267"/>
      <c r="BP12" s="1266" t="str">
        <f>IF(AND(OR($BL$18&lt;=$BL$32,BI26=0),$BL$18&gt;0),IF(BI12=0,"N/A",BI12),BI26)</f>
        <v>12"</v>
      </c>
      <c r="BQ12" s="1267"/>
      <c r="BR12" s="1266" t="str">
        <f>IF(AND(OR($BL$18&lt;=$BL$32,BK26=0),$BL$18&gt;0),IF(BK12=0,"N/A",BK12),BK26)</f>
        <v>OVERFLOW</v>
      </c>
      <c r="BS12" s="1267"/>
      <c r="BT12" s="268"/>
      <c r="BU12" s="268"/>
      <c r="CQ12" s="627" t="s">
        <v>1332</v>
      </c>
      <c r="CS12" s="627" t="s">
        <v>437</v>
      </c>
      <c r="CT12" s="374"/>
      <c r="CU12" s="625" t="s">
        <v>569</v>
      </c>
      <c r="CV12" s="626"/>
      <c r="CW12" s="374"/>
      <c r="CX12" s="627" t="s">
        <v>1333</v>
      </c>
      <c r="CY12" s="268"/>
      <c r="CZ12" s="627" t="s">
        <v>1333</v>
      </c>
      <c r="DA12" s="268"/>
      <c r="DB12" s="627" t="s">
        <v>1333</v>
      </c>
      <c r="DC12" s="268"/>
      <c r="DD12" s="627" t="s">
        <v>1334</v>
      </c>
      <c r="DE12" s="268"/>
      <c r="DF12" s="627" t="s">
        <v>569</v>
      </c>
      <c r="DG12" s="268"/>
      <c r="DH12" s="627" t="s">
        <v>569</v>
      </c>
      <c r="DI12" s="268"/>
      <c r="DJ12" s="627" t="s">
        <v>1335</v>
      </c>
      <c r="DK12" s="627" t="s">
        <v>1336</v>
      </c>
      <c r="DL12" s="268"/>
      <c r="DM12" s="627" t="s">
        <v>1335</v>
      </c>
      <c r="DN12" s="627" t="s">
        <v>1336</v>
      </c>
      <c r="DP12" s="627" t="s">
        <v>1335</v>
      </c>
      <c r="DQ12" s="627" t="s">
        <v>1336</v>
      </c>
      <c r="DR12" s="268"/>
      <c r="DS12" s="268"/>
      <c r="DT12" s="627" t="s">
        <v>435</v>
      </c>
      <c r="DU12" s="627" t="s">
        <v>1337</v>
      </c>
      <c r="DW12" s="1382" t="s">
        <v>570</v>
      </c>
      <c r="DX12" s="1384"/>
      <c r="DZ12" s="627" t="s">
        <v>1338</v>
      </c>
      <c r="EA12" s="268"/>
      <c r="EB12" s="627" t="s">
        <v>1338</v>
      </c>
      <c r="EC12" s="268"/>
      <c r="ED12" s="627" t="s">
        <v>1338</v>
      </c>
      <c r="EE12" s="268"/>
      <c r="EF12" s="627" t="s">
        <v>570</v>
      </c>
      <c r="EH12" s="627" t="s">
        <v>1339</v>
      </c>
      <c r="EI12" s="268"/>
      <c r="EJ12" s="627" t="s">
        <v>1340</v>
      </c>
      <c r="EK12" s="268"/>
      <c r="EL12" s="627" t="s">
        <v>570</v>
      </c>
      <c r="EM12" s="268"/>
      <c r="EN12" s="627" t="s">
        <v>1341</v>
      </c>
      <c r="EO12" s="627" t="s">
        <v>1342</v>
      </c>
      <c r="EQ12" s="624" t="s">
        <v>1343</v>
      </c>
      <c r="EU12" s="47"/>
      <c r="EX12" s="1266" t="str">
        <f>AY12</f>
        <v>12"</v>
      </c>
      <c r="EY12" s="1267"/>
      <c r="EZ12" s="1266" t="str">
        <f>BA12</f>
        <v>12"</v>
      </c>
      <c r="FA12" s="1267"/>
      <c r="FB12" s="1266" t="str">
        <f>BC12</f>
        <v>OVERFLOW</v>
      </c>
      <c r="FC12" s="1267"/>
      <c r="FF12" s="1266" t="str">
        <f>BN12</f>
        <v>12"</v>
      </c>
      <c r="FG12" s="1267"/>
      <c r="FH12" s="1266" t="str">
        <f>BP12</f>
        <v>12"</v>
      </c>
      <c r="FI12" s="1267"/>
      <c r="FJ12" s="1266" t="str">
        <f>BR12</f>
        <v>OVERFLOW</v>
      </c>
      <c r="FK12" s="1267"/>
      <c r="FM12" s="47"/>
      <c r="FN12" s="532"/>
      <c r="FO12" s="693" t="s">
        <v>90</v>
      </c>
      <c r="FP12" s="694" t="s">
        <v>91</v>
      </c>
      <c r="FS12" s="693" t="s">
        <v>90</v>
      </c>
      <c r="FT12" s="694" t="s">
        <v>91</v>
      </c>
      <c r="FW12" s="47"/>
    </row>
    <row r="13" spans="3:179" ht="16.5" thickBot="1">
      <c r="C13" s="532"/>
      <c r="W13" s="532"/>
      <c r="AR13" s="1235" t="str">
        <f t="shared" ref="AR13:AR18" si="5">_xlfn.LET(
_xlpm.total,IF($G$14=0,$D$6,AK14),
_xlpm.fullName,IF($G$14=0,$AG$14,$AB$14),
_xlpm.leftName,$AD$14,
_xlpm.perNum,$Y$14,
_xlpm.allowCols,IF($D$4=1,1,$AE$14),
_xlpm.fullCount,INT(_xlpm.total/_xlpm.fullName),
_xlpm.leftOver,MOD(_xlpm.total,_xlpm.fullName),
_xlpm.maxCount,_xlpm.fullCount+IF(_xlpm.leftOver&gt;0,1,0),
_xlpm.rowsPerCol,IF($G$14=0,_xlpm.maxCount,$D$8),
_xlpm.rowInCol,ROW()-ROW($AR$13)+1,
_xlpm.colBlock,INT((COLUMN()-COLUMN($AR$13))/2),
_xlpm.n,IF(
    $G$14=0,
    _xlpm.rowInCol,
    (_xlpm.rowInCol-1)*_xlpm.allowCols+_xlpm.colBlock+1
),
IF($G$14&lt;&gt;0,
    IF(OR(
        _xlpm.rowInCol&gt;_xlpm.rowsPerCol,
        _xlpm.colBlock+1&gt;_xlpm.allowCols,
        _xlpm.n&gt;$AE$14*$AJ$14
    ),
        "",
        TEXT(_xlpm.fullName,"0.00")&amp;" ("&amp;ROUNDUP(_xlpm.n/_xlpm.perNum,0)&amp;")"
    ),
    IF(OR(_xlpm.rowInCol&gt;_xlpm.rowsPerCol,_xlpm.colBlock+1&gt;_xlpm.allowCols),
        "",
        IF(_xlpm.n&lt;=_xlpm.fullCount,
            TEXT(_xlpm.fullName,"0")&amp;"' ("&amp;_xlpm.n&amp;")",
            TEXT(_xlpm.leftName,"0")&amp;"' ("&amp;_xlpm.n&amp;")"
        )
    )
)
)</f>
        <v xml:space="preserve"> 6' (1)</v>
      </c>
      <c r="AS13" s="1237"/>
      <c r="AT13" s="1235" t="str">
        <f t="shared" ref="AT13:AT18" si="6">_xlfn.LET(
_xlpm.total,IF($G$14=0,$D$6,AM14),
_xlpm.fullName,IF($G$14=0,$AG$14,$AB$14),
_xlpm.leftName,$AD$14,
_xlpm.perNum,$Y$14,
_xlpm.allowCols,IF($D$4=1,1,$AE$14),
_xlpm.fullCount,INT(_xlpm.total/_xlpm.fullName),
_xlpm.leftOver,MOD(_xlpm.total,_xlpm.fullName),
_xlpm.maxCount,_xlpm.fullCount+IF(_xlpm.leftOver&gt;0,1,0),
_xlpm.rowsPerCol,IF($G$14=0,_xlpm.maxCount,$D$8),
_xlpm.rowInCol,ROW()-ROW($AR$13)+1,
_xlpm.colBlock,INT((COLUMN()-COLUMN($AR$13))/2),
_xlpm.n,IF(
    $G$14=0,
    _xlpm.rowInCol,
    (_xlpm.rowInCol-1)*_xlpm.allowCols+_xlpm.colBlock+1
),
IF($G$14&lt;&gt;0,
    IF(OR(
        _xlpm.rowInCol&gt;_xlpm.rowsPerCol,
        _xlpm.colBlock+1&gt;_xlpm.allowCols,
        _xlpm.n&gt;$AE$14*$AJ$14
    ),
        "",
        TEXT(_xlpm.fullName,"0.00")&amp;" ("&amp;ROUNDUP(_xlpm.n/_xlpm.perNum,0)&amp;")"
    ),
    IF(OR(_xlpm.rowInCol&gt;_xlpm.rowsPerCol,_xlpm.colBlock+1&gt;_xlpm.allowCols),
        "",
        IF(_xlpm.n&lt;=_xlpm.fullCount,
            TEXT(_xlpm.fullName,"0")&amp;"' ("&amp;_xlpm.n&amp;")",
            TEXT(_xlpm.leftName,"0")&amp;"' ("&amp;_xlpm.n&amp;")"
        )
    )
)
)</f>
        <v/>
      </c>
      <c r="AU13" s="1237"/>
      <c r="AV13" s="1268" t="str">
        <f>ES13</f>
        <v>Total 12'</v>
      </c>
      <c r="AW13" s="1269"/>
      <c r="AX13" s="1"/>
      <c r="AY13" s="1261" t="str">
        <f t="shared" si="0"/>
        <v xml:space="preserve"> 6' (1)</v>
      </c>
      <c r="AZ13" s="1237"/>
      <c r="BA13" s="1236" t="str">
        <f t="shared" si="3"/>
        <v/>
      </c>
      <c r="BB13" s="1237"/>
      <c r="BC13" s="1287" t="str">
        <f>IF($AW$20&lt;=$AW$34,AV13,AV27)</f>
        <v>Total 12'</v>
      </c>
      <c r="BD13" s="1288"/>
      <c r="BE13" s="268"/>
      <c r="BF13" s="268"/>
      <c r="BG13" s="1261">
        <f t="shared" si="1"/>
        <v>0</v>
      </c>
      <c r="BH13" s="1262"/>
      <c r="BI13" s="1256">
        <f t="shared" si="4"/>
        <v>0</v>
      </c>
      <c r="BJ13" s="1237"/>
      <c r="BK13" s="1256">
        <f>IF($AO$11=TRUE,AV13,0)</f>
        <v>0</v>
      </c>
      <c r="BL13" s="1237"/>
      <c r="BM13" s="1"/>
      <c r="BN13" s="1261" t="str">
        <f t="shared" si="2"/>
        <v xml:space="preserve"> 6' (1)</v>
      </c>
      <c r="BO13" s="1237"/>
      <c r="BP13" s="1261" t="str">
        <f t="shared" ref="BP13:BP18" si="7">IF(AND(OR($BL$18&lt;=$BL$32,BI27=0),$BL$18&gt;0),IF($AO$11=FALSE,"N/A",BI13),BI27)</f>
        <v/>
      </c>
      <c r="BQ13" s="1237"/>
      <c r="BR13" s="1266" t="str">
        <f>IF(AND(OR($BL$18&lt;=$BL$32,BK27=0),$BL$18&gt;0),IF($AO$11=FALSE,"N/A",BK13),BK27)</f>
        <v>Total 12'</v>
      </c>
      <c r="BS13" s="1267"/>
      <c r="BT13" s="1"/>
      <c r="BU13" s="1"/>
      <c r="BW13" s="1005">
        <f t="shared" ref="BW13:BW18" si="8">IF(LEN(AR13)&gt;0,1,0)</f>
        <v>1</v>
      </c>
      <c r="BX13" s="1006"/>
      <c r="BY13" s="1005">
        <f t="shared" ref="BY13:BY18" si="9">IF(LEN(AT13)&gt;0,1,0)</f>
        <v>0</v>
      </c>
      <c r="BZ13" s="1006"/>
      <c r="CB13" s="1005">
        <f t="shared" ref="CB13:CB18" si="10">IF(AR13="","",--_xlfn.TEXTBEFORE(AR13,"'"))</f>
        <v>6</v>
      </c>
      <c r="CC13" s="1006"/>
      <c r="CD13" s="1005" t="str">
        <f t="shared" ref="CD13:CD18" si="11">IF(AT13="","",--_xlfn.TEXTBEFORE(AT13,"'"))</f>
        <v/>
      </c>
      <c r="CE13" s="1006"/>
      <c r="CF13" s="268"/>
      <c r="CG13" s="1005">
        <f t="shared" ref="CG13:CG18" si="12">IF(CB13=$CS$14,CB13,"")</f>
        <v>6</v>
      </c>
      <c r="CH13" s="1006"/>
      <c r="CI13" s="1005" t="str">
        <f t="shared" ref="CI13:CI18" si="13">IF(CD13=$CS$14,CD13,"")</f>
        <v/>
      </c>
      <c r="CJ13" s="1006"/>
      <c r="CK13" s="268"/>
      <c r="CL13" s="1005">
        <f t="shared" ref="CL13:CL18" si="14">IF(CG13=$CS$14,0,IF(CB13="",0,IF(CB13=$CS$14,$AG$14-CB13,$AG$14-$AC$14)))</f>
        <v>0</v>
      </c>
      <c r="CM13" s="1006"/>
      <c r="CN13" s="1005">
        <f t="shared" ref="CN13:CN18" si="15">IF(CI13=$CS$14,0,IF(CD13="",0,IF(CD13=$CS$14,$AG$14-CD13,$AG$14-$AC$14)))</f>
        <v>0</v>
      </c>
      <c r="CO13" s="1006"/>
      <c r="CP13" s="268"/>
      <c r="CQ13" s="374"/>
      <c r="CS13" s="374"/>
      <c r="CT13" s="374"/>
      <c r="CU13" s="374"/>
      <c r="CV13" s="374"/>
      <c r="CW13" s="374"/>
      <c r="CX13" s="374"/>
      <c r="CY13" s="268"/>
      <c r="CZ13" s="374"/>
      <c r="DB13" s="374"/>
      <c r="DD13" s="374"/>
      <c r="DF13" s="374"/>
      <c r="DH13" s="374"/>
      <c r="DI13" s="268"/>
      <c r="DJ13" s="374"/>
      <c r="DK13" s="374"/>
      <c r="DL13" s="268"/>
      <c r="DM13" s="374"/>
      <c r="DN13" s="374"/>
      <c r="DP13" s="374"/>
      <c r="DT13" s="374"/>
      <c r="DU13" s="374"/>
      <c r="DW13" s="374"/>
      <c r="DX13" s="374"/>
      <c r="DZ13" s="374"/>
      <c r="EA13" s="268"/>
      <c r="EB13" s="374"/>
      <c r="ED13" s="374"/>
      <c r="EF13" s="374"/>
      <c r="EH13" s="374"/>
      <c r="EJ13" s="374"/>
      <c r="EL13" s="374"/>
      <c r="EM13" s="268"/>
      <c r="EN13" s="374"/>
      <c r="EO13" s="374"/>
      <c r="EQ13" s="374"/>
      <c r="ES13" s="1271" t="str">
        <f>"Total " &amp; EQ14&amp; "'"</f>
        <v>Total 12'</v>
      </c>
      <c r="ET13" s="1269"/>
      <c r="EU13" s="12"/>
      <c r="EV13" s="1"/>
      <c r="EW13" s="1"/>
      <c r="EX13" s="1261" t="str">
        <f t="shared" ref="EX13:EX18" si="16">AY13</f>
        <v xml:space="preserve"> 6' (1)</v>
      </c>
      <c r="EY13" s="1237"/>
      <c r="EZ13" s="1261" t="str">
        <f t="shared" ref="EZ13:EZ18" si="17">BA13</f>
        <v/>
      </c>
      <c r="FA13" s="1237"/>
      <c r="FB13" s="1266" t="str">
        <f>BC13</f>
        <v>Total 12'</v>
      </c>
      <c r="FC13" s="1267"/>
      <c r="FD13" s="1"/>
      <c r="FF13" s="1261" t="str">
        <f t="shared" ref="FF13:FF18" si="18">BN13</f>
        <v xml:space="preserve"> 6' (1)</v>
      </c>
      <c r="FG13" s="1237"/>
      <c r="FH13" s="1261" t="str">
        <f t="shared" ref="FH13:FH18" si="19">BP13</f>
        <v/>
      </c>
      <c r="FI13" s="1237"/>
      <c r="FJ13" s="1266" t="str">
        <f>BR13</f>
        <v>Total 12'</v>
      </c>
      <c r="FK13" s="1267"/>
      <c r="FM13" s="47"/>
      <c r="FN13" s="532"/>
      <c r="FO13" s="437" t="s">
        <v>218</v>
      </c>
      <c r="FP13" s="438">
        <f>IF(FC18=30,FB18,0)</f>
        <v>1</v>
      </c>
      <c r="FS13" s="437" t="s">
        <v>218</v>
      </c>
      <c r="FT13" s="438">
        <f>IF(FK18=30,FJ18,0)</f>
        <v>1</v>
      </c>
      <c r="FW13" s="47"/>
    </row>
    <row r="14" spans="3:179" ht="30.75" thickBot="1">
      <c r="C14" s="1423" t="s">
        <v>275</v>
      </c>
      <c r="D14" s="595">
        <v>12.15</v>
      </c>
      <c r="E14" s="697">
        <f>Materials!R1</f>
        <v>15</v>
      </c>
      <c r="G14" s="465">
        <f>IFERROR(ROUNDDOWN((E14/$D$6),0),0)</f>
        <v>2</v>
      </c>
      <c r="H14" s="483" t="str">
        <f>"which is (" &amp; (G14) &amp; ") pieces cut into (" &amp; (D6) &amp; ") ft equal length from 12 inch roll"</f>
        <v>which is (2) pieces cut into (6) ft equal length from 12 inch roll</v>
      </c>
      <c r="J14" s="484" t="str">
        <f>"which is (" &amp; ($G$14) &amp; ") Linear foot total"</f>
        <v>which is (2) Linear foot total</v>
      </c>
      <c r="L14" s="486">
        <f>IF((($D$4)-(G14))&lt;=0,0,(($D$4)-(G14)))</f>
        <v>0</v>
      </c>
      <c r="M14" t="str">
        <f>"which are (" &amp; (D6) &amp; ") ft in length"</f>
        <v>which are (6) ft in length</v>
      </c>
      <c r="O14" s="484">
        <f>IFERROR(ROUNDUP(L14/G14,0),L14)</f>
        <v>0</v>
      </c>
      <c r="Q14" s="491">
        <f>((O14)+(G14))</f>
        <v>2</v>
      </c>
      <c r="S14" s="325">
        <f>IFERROR(Q14/G14,Q14)</f>
        <v>1</v>
      </c>
      <c r="U14" s="325">
        <f>ROUNDUP(S14,0)</f>
        <v>1</v>
      </c>
      <c r="V14" s="711">
        <f>ROUNDUP($D$6/E14,0)</f>
        <v>1</v>
      </c>
      <c r="W14" s="776">
        <v>12.15</v>
      </c>
      <c r="X14" s="765">
        <f>U14</f>
        <v>1</v>
      </c>
      <c r="Y14" s="765">
        <f>IF((G14)=0,IFERROR(ROUNDUP(IF((($D$4)-(G14))&lt;=0,0,(($D$4)-(G14)))/(G14),0),IF((($D$4)-(G14))&lt;=0,0,(($D$4)-(G14))))+(G14),(G14))</f>
        <v>2</v>
      </c>
      <c r="Z14" s="765">
        <f>(X14*Y14)</f>
        <v>2</v>
      </c>
      <c r="AA14" s="594">
        <f>(Z14/$D$8)</f>
        <v>0.66666666666666663</v>
      </c>
      <c r="AB14" s="491" t="str">
        <f>" " &amp; $D$6 &amp; "'"</f>
        <v xml:space="preserve"> 6'</v>
      </c>
      <c r="AC14" s="711">
        <f>(V14*AG14)-$D$6</f>
        <v>9</v>
      </c>
      <c r="AD14" s="263">
        <f>$D$6-(ROUNDDOWN($D$6/E14,0)*E14)</f>
        <v>6</v>
      </c>
      <c r="AE14" s="686">
        <f>$D$4</f>
        <v>1</v>
      </c>
      <c r="AF14" s="685">
        <f>IFERROR(ROUNDUP(AE14/AA14,0),0)</f>
        <v>2</v>
      </c>
      <c r="AG14" s="263">
        <f>E14</f>
        <v>15</v>
      </c>
      <c r="AJ14" s="685">
        <f>AF14*Z14</f>
        <v>4</v>
      </c>
      <c r="AK14" s="263">
        <f>AE14*AJ14</f>
        <v>4</v>
      </c>
      <c r="AR14" s="1225" t="str">
        <f t="shared" si="5"/>
        <v xml:space="preserve"> 6' (1)</v>
      </c>
      <c r="AS14" s="1226"/>
      <c r="AT14" s="1225" t="str">
        <f t="shared" si="6"/>
        <v/>
      </c>
      <c r="AU14" s="1226"/>
      <c r="AV14" s="455">
        <f>ES14</f>
        <v>1</v>
      </c>
      <c r="AW14" s="455" t="str">
        <f>ET14</f>
        <v>3' rolls</v>
      </c>
      <c r="AX14" s="1"/>
      <c r="AY14" s="1260" t="str">
        <f t="shared" si="0"/>
        <v xml:space="preserve"> 6' (1)</v>
      </c>
      <c r="AZ14" s="1226"/>
      <c r="BA14" s="995" t="str">
        <f t="shared" si="3"/>
        <v/>
      </c>
      <c r="BB14" s="1226"/>
      <c r="BC14" s="637">
        <f>IF($AW$20&lt;=$AW$34,AV14,AV28)</f>
        <v>0</v>
      </c>
      <c r="BD14" s="44" t="str">
        <f>IF($AW$20&lt;=$AW$34,AW14,AW28)</f>
        <v>0' rolls</v>
      </c>
      <c r="BE14" s="1"/>
      <c r="BF14" s="1"/>
      <c r="BG14" s="1260">
        <f t="shared" si="1"/>
        <v>0</v>
      </c>
      <c r="BH14" s="1239"/>
      <c r="BI14" s="1238">
        <f t="shared" si="4"/>
        <v>0</v>
      </c>
      <c r="BJ14" s="1226"/>
      <c r="BK14" s="637">
        <f>IF($AO$11=TRUE,AV14,0)</f>
        <v>0</v>
      </c>
      <c r="BL14" s="44">
        <f>IF($AO$11=TRUE,AW14,0)</f>
        <v>0</v>
      </c>
      <c r="BM14" s="1"/>
      <c r="BN14" s="1260" t="str">
        <f t="shared" si="2"/>
        <v xml:space="preserve"> 6' (1)</v>
      </c>
      <c r="BO14" s="1226"/>
      <c r="BP14" s="1260" t="str">
        <f t="shared" si="7"/>
        <v/>
      </c>
      <c r="BQ14" s="1226"/>
      <c r="BR14" s="637">
        <f>IF(AND(OR($BL$18&lt;=$BL$32,BK28=0),$BL$18&gt;0),IF($AO$11=FALSE,"N/A",BK14),BK28)</f>
        <v>0</v>
      </c>
      <c r="BS14" s="648" t="str">
        <f>IF(AND(OR($BL$18&lt;=$BL$32,BL28=0),$BL$18&gt;0),IF($AO$11=FALSE,"N/A",BL14),BL28)</f>
        <v>0' rolls</v>
      </c>
      <c r="BT14" s="1"/>
      <c r="BU14" s="1"/>
      <c r="BW14" s="1005">
        <f t="shared" si="8"/>
        <v>1</v>
      </c>
      <c r="BX14" s="1006"/>
      <c r="BY14" s="1005">
        <f t="shared" si="9"/>
        <v>0</v>
      </c>
      <c r="BZ14" s="1006"/>
      <c r="CB14" s="1005">
        <f t="shared" si="10"/>
        <v>6</v>
      </c>
      <c r="CC14" s="1006"/>
      <c r="CD14" s="1005" t="str">
        <f t="shared" si="11"/>
        <v/>
      </c>
      <c r="CE14" s="1006"/>
      <c r="CF14" s="268"/>
      <c r="CG14" s="1005">
        <f t="shared" si="12"/>
        <v>6</v>
      </c>
      <c r="CH14" s="1006"/>
      <c r="CI14" s="1005" t="str">
        <f t="shared" si="13"/>
        <v/>
      </c>
      <c r="CJ14" s="1006"/>
      <c r="CK14" s="268"/>
      <c r="CL14" s="1005">
        <f t="shared" si="14"/>
        <v>0</v>
      </c>
      <c r="CM14" s="1006"/>
      <c r="CN14" s="1005">
        <f t="shared" si="15"/>
        <v>0</v>
      </c>
      <c r="CO14" s="1006"/>
      <c r="CP14" s="268"/>
      <c r="CQ14" s="622">
        <f>IF(CB11=CD11,0,1)</f>
        <v>1</v>
      </c>
      <c r="CS14" s="627">
        <f>MAX(CB13:CC18)</f>
        <v>6</v>
      </c>
      <c r="CT14" s="374"/>
      <c r="CU14" s="625" cm="1">
        <f t="array" ref="CU14">SUMPRODUCT(--ISNUMBER(CG13:CJ18),--(CG13:CJ18&lt;&gt;0))</f>
        <v>3</v>
      </c>
      <c r="CV14" s="627">
        <f>CS14</f>
        <v>6</v>
      </c>
      <c r="CW14" s="374"/>
      <c r="CX14" s="622">
        <f>CV14*CU14</f>
        <v>18</v>
      </c>
      <c r="CY14" s="268"/>
      <c r="CZ14" s="622">
        <f>ROUNDDOWN(AG14/CS14,0)</f>
        <v>2</v>
      </c>
      <c r="DB14" s="622">
        <f>AG14*ROUNDUP(CU14/CZ14,0)</f>
        <v>30</v>
      </c>
      <c r="DD14" s="622">
        <f>DB14-CX14</f>
        <v>12</v>
      </c>
      <c r="DF14" s="622">
        <f>CS14*CZ14</f>
        <v>12</v>
      </c>
      <c r="DH14" s="622">
        <f>ROUNDUP(CU14/CZ14,0)</f>
        <v>2</v>
      </c>
      <c r="DI14" s="268"/>
      <c r="DJ14" s="617">
        <f>ROUNDDOWN(CU14/CZ14,0)</f>
        <v>1</v>
      </c>
      <c r="DK14" s="622">
        <f>AG14-(CZ14*CS14)</f>
        <v>3</v>
      </c>
      <c r="DL14" s="1" t="s">
        <v>441</v>
      </c>
      <c r="DM14" s="617">
        <f>DH14-DJ14</f>
        <v>1</v>
      </c>
      <c r="DN14" s="622">
        <f>IF(DJ14=0,DD14,DD14-DK14)</f>
        <v>9</v>
      </c>
      <c r="DP14" s="617">
        <f>DH14</f>
        <v>2</v>
      </c>
      <c r="DQ14" s="622">
        <f>DD14/DP14</f>
        <v>6</v>
      </c>
      <c r="DT14" s="625">
        <f>MIN(CB13:CE18)</f>
        <v>6</v>
      </c>
      <c r="DU14" s="627">
        <f>IF(CS14=DT14,AG14-AD14,DT14)</f>
        <v>9</v>
      </c>
      <c r="DW14" s="625" cm="1">
        <f t="array" ref="DW14">SUMPRODUCT(--ISNUMBER(CL13:CO18),--(CL13:CO18&lt;&gt;0))</f>
        <v>0</v>
      </c>
      <c r="DX14" s="627">
        <f>DU14</f>
        <v>9</v>
      </c>
      <c r="DZ14" s="593">
        <f>DW14*DX14</f>
        <v>0</v>
      </c>
      <c r="EA14" s="268"/>
      <c r="EB14" s="593">
        <f>IFERROR(ROUNDDOWN(AG14/DU14,0),0)</f>
        <v>1</v>
      </c>
      <c r="ED14" s="593">
        <f>_xlfn.CEILING.MATH(DZ14,AG14)</f>
        <v>0</v>
      </c>
      <c r="EF14" s="593">
        <f>ED14/AG14</f>
        <v>0</v>
      </c>
      <c r="EH14" s="593">
        <f>IFERROR((ED14-DZ14)/EF14,0)</f>
        <v>0</v>
      </c>
      <c r="EJ14" s="593">
        <f>DU14*EB14</f>
        <v>9</v>
      </c>
      <c r="EL14" s="593">
        <f>ROUNDUP(DW14/EB14,0)</f>
        <v>0</v>
      </c>
      <c r="EM14" s="268"/>
      <c r="EN14" s="617">
        <f>EL14</f>
        <v>0</v>
      </c>
      <c r="EO14" s="622">
        <f>EH14</f>
        <v>0</v>
      </c>
      <c r="EQ14" s="593">
        <f>(DP14*DQ14)+(EN14*EO14)</f>
        <v>12</v>
      </c>
      <c r="ES14" s="623">
        <f>IF(DK14=0,0,DJ14)</f>
        <v>1</v>
      </c>
      <c r="ET14" s="456" t="str">
        <f>"" &amp; IF(ES14=0,0,DK14) &amp; "' rolls"</f>
        <v>3' rolls</v>
      </c>
      <c r="EU14" s="12"/>
      <c r="EV14" s="1"/>
      <c r="EW14" s="1"/>
      <c r="EX14" s="1260" t="str">
        <f t="shared" si="16"/>
        <v xml:space="preserve"> 6' (1)</v>
      </c>
      <c r="EY14" s="1226"/>
      <c r="EZ14" s="1260" t="str">
        <f t="shared" si="17"/>
        <v/>
      </c>
      <c r="FA14" s="1226"/>
      <c r="FB14" s="637">
        <f>BC14</f>
        <v>0</v>
      </c>
      <c r="FC14" s="648" t="str">
        <f>BD14</f>
        <v>0' rolls</v>
      </c>
      <c r="FD14" s="1"/>
      <c r="FF14" s="1260" t="str">
        <f t="shared" si="18"/>
        <v xml:space="preserve"> 6' (1)</v>
      </c>
      <c r="FG14" s="1226"/>
      <c r="FH14" s="1260" t="str">
        <f t="shared" si="19"/>
        <v/>
      </c>
      <c r="FI14" s="1226"/>
      <c r="FJ14" s="637">
        <f>BR14</f>
        <v>0</v>
      </c>
      <c r="FK14" s="648" t="str">
        <f>BS14</f>
        <v>0' rolls</v>
      </c>
      <c r="FM14" s="47"/>
      <c r="FN14" s="532"/>
      <c r="FO14" s="439" t="s">
        <v>223</v>
      </c>
      <c r="FP14" s="438">
        <f>IF(FC18=15,FB18,0)</f>
        <v>0</v>
      </c>
      <c r="FS14" s="439" t="s">
        <v>223</v>
      </c>
      <c r="FT14" s="438">
        <f>IF(FK18=15,FJ18,0)</f>
        <v>0</v>
      </c>
      <c r="FW14" s="47"/>
    </row>
    <row r="15" spans="3:179" ht="15.75" thickBot="1">
      <c r="C15" s="1423"/>
      <c r="D15" s="479"/>
      <c r="G15" s="477"/>
      <c r="H15" s="477"/>
      <c r="J15" s="485"/>
      <c r="L15" s="487"/>
      <c r="O15" s="485"/>
      <c r="W15" s="660"/>
      <c r="X15" s="629"/>
      <c r="Y15" s="629"/>
      <c r="Z15" s="629"/>
      <c r="AA15" s="268"/>
      <c r="AE15" s="451"/>
      <c r="AF15" s="451"/>
      <c r="AJ15" s="451"/>
      <c r="AR15" s="1225" t="str">
        <f t="shared" si="5"/>
        <v xml:space="preserve"> 6' (2)</v>
      </c>
      <c r="AS15" s="1226"/>
      <c r="AT15" s="1225" t="str">
        <f t="shared" si="6"/>
        <v/>
      </c>
      <c r="AU15" s="1226"/>
      <c r="AV15" s="455">
        <f>ES15</f>
        <v>1</v>
      </c>
      <c r="AW15" s="455" t="str">
        <f>ET15</f>
        <v>9' rolls</v>
      </c>
      <c r="AX15" s="1"/>
      <c r="AY15" s="1260" t="str">
        <f t="shared" si="0"/>
        <v xml:space="preserve"> 6' (1)</v>
      </c>
      <c r="AZ15" s="1226"/>
      <c r="BA15" s="995" t="str">
        <f t="shared" si="3"/>
        <v/>
      </c>
      <c r="BB15" s="1226"/>
      <c r="BC15" s="638">
        <f>IF($AW$20&lt;=$AW$34,AV15,AV29)</f>
        <v>1</v>
      </c>
      <c r="BD15" s="639" t="str">
        <f>IF($AW$20&lt;=$AW$34,AW15,AW29)</f>
        <v>12' rolls</v>
      </c>
      <c r="BF15" s="1"/>
      <c r="BG15" s="1260">
        <f t="shared" si="1"/>
        <v>0</v>
      </c>
      <c r="BH15" s="1239"/>
      <c r="BI15" s="1238">
        <f t="shared" si="4"/>
        <v>0</v>
      </c>
      <c r="BJ15" s="1226"/>
      <c r="BK15" s="638">
        <f>IF($AO$11=TRUE,AV15,0)</f>
        <v>0</v>
      </c>
      <c r="BL15" s="639">
        <f>IF($AO$11=TRUE,AW15,0)</f>
        <v>0</v>
      </c>
      <c r="BM15" s="1"/>
      <c r="BN15" s="1260" t="str">
        <f t="shared" si="2"/>
        <v xml:space="preserve"> 6' (1)</v>
      </c>
      <c r="BO15" s="1226"/>
      <c r="BP15" s="1260" t="str">
        <f t="shared" si="7"/>
        <v/>
      </c>
      <c r="BQ15" s="1226"/>
      <c r="BR15" s="637">
        <f>IF(AND(OR($BL$18&lt;=$BL$32,BK29=0),$BL$18&gt;0),IF($AO$11=FALSE,"N/A",BK15),BK29)</f>
        <v>1</v>
      </c>
      <c r="BS15" s="648" t="str">
        <f>IF(AND(OR($BL$18&lt;=$BL$32,BL29=0),$BL$18&gt;0),IF($AO$11=FALSE,"N/A",BL15),BL29)</f>
        <v>12' rolls</v>
      </c>
      <c r="BT15" s="1"/>
      <c r="BU15" s="1"/>
      <c r="BW15" s="1005">
        <f t="shared" si="8"/>
        <v>1</v>
      </c>
      <c r="BX15" s="1006"/>
      <c r="BY15" s="1005">
        <f t="shared" si="9"/>
        <v>0</v>
      </c>
      <c r="BZ15" s="1006"/>
      <c r="CB15" s="1005">
        <f t="shared" si="10"/>
        <v>6</v>
      </c>
      <c r="CC15" s="1006"/>
      <c r="CD15" s="1005" t="str">
        <f t="shared" si="11"/>
        <v/>
      </c>
      <c r="CE15" s="1006"/>
      <c r="CF15" s="268"/>
      <c r="CG15" s="1005">
        <f t="shared" si="12"/>
        <v>6</v>
      </c>
      <c r="CH15" s="1006"/>
      <c r="CI15" s="1005" t="str">
        <f t="shared" si="13"/>
        <v/>
      </c>
      <c r="CJ15" s="1006"/>
      <c r="CK15" s="268"/>
      <c r="CL15" s="1005">
        <f t="shared" si="14"/>
        <v>0</v>
      </c>
      <c r="CM15" s="1006"/>
      <c r="CN15" s="1005">
        <f t="shared" si="15"/>
        <v>0</v>
      </c>
      <c r="CO15" s="1006"/>
      <c r="CP15" s="268"/>
      <c r="CQ15" s="374"/>
      <c r="CS15" s="374"/>
      <c r="CT15" s="374"/>
      <c r="CU15" s="374"/>
      <c r="CV15" s="374"/>
      <c r="CW15" s="374"/>
      <c r="CX15" s="374"/>
      <c r="CY15" s="268"/>
      <c r="CZ15" s="374"/>
      <c r="DB15" s="374"/>
      <c r="DD15" s="374"/>
      <c r="DF15" s="374"/>
      <c r="DH15" s="374"/>
      <c r="DI15" s="268"/>
      <c r="DJ15" s="374"/>
      <c r="DK15" s="374"/>
      <c r="DL15" s="268"/>
      <c r="DM15" s="374"/>
      <c r="DN15" s="374"/>
      <c r="DP15" s="374"/>
      <c r="DT15" s="374"/>
      <c r="DU15" s="374"/>
      <c r="DW15" s="374"/>
      <c r="DX15" s="374"/>
      <c r="DZ15" s="374"/>
      <c r="EA15" s="268"/>
      <c r="EB15" s="374"/>
      <c r="ED15" s="374"/>
      <c r="EF15" s="374"/>
      <c r="EH15" s="374"/>
      <c r="EJ15" s="374"/>
      <c r="EL15" s="374"/>
      <c r="EM15" s="268"/>
      <c r="EN15" s="374"/>
      <c r="EO15" s="374"/>
      <c r="EQ15" s="374"/>
      <c r="ES15" s="617">
        <f>IF(DN14=0,0,DM14)</f>
        <v>1</v>
      </c>
      <c r="ET15" s="598" t="str">
        <f>"" &amp; IF(ES15=0,0,DN14)  &amp; "' rolls"</f>
        <v>9' rolls</v>
      </c>
      <c r="EU15" s="12"/>
      <c r="EV15" s="1"/>
      <c r="EW15" s="1"/>
      <c r="EX15" s="1260" t="str">
        <f t="shared" si="16"/>
        <v xml:space="preserve"> 6' (1)</v>
      </c>
      <c r="EY15" s="1226"/>
      <c r="EZ15" s="1260" t="str">
        <f t="shared" si="17"/>
        <v/>
      </c>
      <c r="FA15" s="1226"/>
      <c r="FB15" s="637">
        <f>BC15</f>
        <v>1</v>
      </c>
      <c r="FC15" s="648" t="str">
        <f>BD15</f>
        <v>12' rolls</v>
      </c>
      <c r="FD15" s="1"/>
      <c r="FF15" s="1260" t="str">
        <f t="shared" si="18"/>
        <v xml:space="preserve"> 6' (1)</v>
      </c>
      <c r="FG15" s="1226"/>
      <c r="FH15" s="1260" t="str">
        <f t="shared" si="19"/>
        <v/>
      </c>
      <c r="FI15" s="1226"/>
      <c r="FJ15" s="637">
        <f>BR15</f>
        <v>1</v>
      </c>
      <c r="FK15" s="648" t="str">
        <f>BS15</f>
        <v>12' rolls</v>
      </c>
      <c r="FM15" s="47"/>
      <c r="FN15" s="532"/>
      <c r="FW15" s="47"/>
    </row>
    <row r="16" spans="3:179" ht="30.75" thickBot="1">
      <c r="C16" s="1423"/>
      <c r="D16" s="595">
        <v>12.3</v>
      </c>
      <c r="E16" s="697">
        <f>Materials!R2</f>
        <v>30</v>
      </c>
      <c r="G16" s="465">
        <f>IFERROR(ROUNDDOWN((E16/$D$6),0),0)</f>
        <v>5</v>
      </c>
      <c r="H16" s="483" t="str">
        <f>"which is (" &amp; (G16) &amp; ") pieces cut into (" &amp; (D8) &amp; ") ft equal length from 12 inch roll"</f>
        <v>which is (5) pieces cut into (3) ft equal length from 12 inch roll</v>
      </c>
      <c r="J16" s="484" t="str">
        <f>"which is (" &amp; ($G$14) &amp; ") Linear foot total"</f>
        <v>which is (2) Linear foot total</v>
      </c>
      <c r="L16" s="486">
        <f>IF((($D$4)-(G16))&lt;=0,0,(($D$4)-(G16)))</f>
        <v>0</v>
      </c>
      <c r="M16" t="str">
        <f>"which are (" &amp; (D8) &amp; ") ft in length"</f>
        <v>which are (3) ft in length</v>
      </c>
      <c r="O16" s="484">
        <f>IFERROR(ROUNDUP(L16/G16,0),L16)</f>
        <v>0</v>
      </c>
      <c r="Q16" s="491">
        <f>((O16)+(G16))</f>
        <v>5</v>
      </c>
      <c r="S16" s="325">
        <f>IFERROR(Q16/G16,Q16)</f>
        <v>1</v>
      </c>
      <c r="U16" s="325">
        <f>ROUNDUP(S16,0)</f>
        <v>1</v>
      </c>
      <c r="V16" s="711">
        <f>ROUNDUP($D$6/E16,0)</f>
        <v>1</v>
      </c>
      <c r="W16" s="776">
        <v>12.15</v>
      </c>
      <c r="X16" s="765">
        <f>U16</f>
        <v>1</v>
      </c>
      <c r="Y16" s="765">
        <f>IF((G16)=0,IFERROR(ROUNDUP(IF((($D$4)-(G16))&lt;=0,0,(($D$4)-(G16)))/(G16),0),IF((($D$4)-(G16))&lt;=0,0,(($D$4)-(G16))))+(G16),(G16))</f>
        <v>5</v>
      </c>
      <c r="Z16" s="765">
        <f>(X16*Y16)</f>
        <v>5</v>
      </c>
      <c r="AA16" s="594">
        <f>(Z16/$D$8)</f>
        <v>1.6666666666666667</v>
      </c>
      <c r="AB16" s="491" t="str">
        <f>" " &amp; $D$6 &amp; "'"</f>
        <v xml:space="preserve"> 6'</v>
      </c>
      <c r="AC16" s="711">
        <f>(V16*AG16)-$D$6</f>
        <v>24</v>
      </c>
      <c r="AD16" s="263">
        <f>$D$6-(ROUNDDOWN($D$6/E16,0)*E16)</f>
        <v>6</v>
      </c>
      <c r="AE16" s="686">
        <f>$D$4</f>
        <v>1</v>
      </c>
      <c r="AF16" s="685">
        <f>IFERROR(ROUNDUP(AE16/AA16,0),0)</f>
        <v>1</v>
      </c>
      <c r="AG16" s="263">
        <f>E16</f>
        <v>30</v>
      </c>
      <c r="AJ16" s="685">
        <f>AF16*Z16</f>
        <v>5</v>
      </c>
      <c r="AK16" s="263">
        <f>AE16*AJ16</f>
        <v>5</v>
      </c>
      <c r="AR16" s="1225" t="str">
        <f t="shared" si="5"/>
        <v/>
      </c>
      <c r="AS16" s="1226"/>
      <c r="AT16" s="1225" t="str">
        <f t="shared" si="6"/>
        <v/>
      </c>
      <c r="AU16" s="1226"/>
      <c r="AV16" s="596">
        <f>ES16</f>
        <v>0</v>
      </c>
      <c r="AW16" s="596" t="str">
        <f>ET16</f>
        <v>0' rolls</v>
      </c>
      <c r="AX16" s="1"/>
      <c r="AY16" s="1260" t="str">
        <f t="shared" si="0"/>
        <v/>
      </c>
      <c r="AZ16" s="1226"/>
      <c r="BA16" s="995" t="str">
        <f t="shared" si="3"/>
        <v/>
      </c>
      <c r="BB16" s="1226"/>
      <c r="BC16" s="640">
        <f>IF($AW$20&lt;=$AW$34,AV16,AV30)</f>
        <v>0</v>
      </c>
      <c r="BD16" s="641" t="str">
        <f>IF($AW$20&lt;=$AW$34,AW16,AW30)</f>
        <v>0' rolls</v>
      </c>
      <c r="BE16" s="1"/>
      <c r="BF16" s="1"/>
      <c r="BG16" s="1260">
        <f t="shared" si="1"/>
        <v>0</v>
      </c>
      <c r="BH16" s="1239"/>
      <c r="BI16" s="1238">
        <f t="shared" si="4"/>
        <v>0</v>
      </c>
      <c r="BJ16" s="1226"/>
      <c r="BK16" s="640">
        <f>IF($AO$11=TRUE,AV16,0)</f>
        <v>0</v>
      </c>
      <c r="BL16" s="641">
        <f>IF($AO$11=TRUE,AW16,0)</f>
        <v>0</v>
      </c>
      <c r="BM16" s="1"/>
      <c r="BN16" s="1260" t="str">
        <f t="shared" si="2"/>
        <v/>
      </c>
      <c r="BO16" s="1226"/>
      <c r="BP16" s="1260" t="str">
        <f t="shared" si="7"/>
        <v/>
      </c>
      <c r="BQ16" s="1226"/>
      <c r="BR16" s="642">
        <f>IF(AND(OR($BL$18&lt;=$BL$32,BK30=0),$BL$18&gt;0),IF($AO$11=FALSE,"N/A",BK16),BK30)</f>
        <v>0</v>
      </c>
      <c r="BS16" s="649" t="str">
        <f>IF(AND(OR($BL$18&lt;=$BL$32,BL30=0),$BL$18&gt;0),IF($AO$11=FALSE,"N/A",BL16),BL30)</f>
        <v>0' rolls</v>
      </c>
      <c r="BT16" s="1"/>
      <c r="BU16" s="1"/>
      <c r="BW16" s="1005">
        <f t="shared" si="8"/>
        <v>0</v>
      </c>
      <c r="BX16" s="1006"/>
      <c r="BY16" s="1005">
        <f t="shared" si="9"/>
        <v>0</v>
      </c>
      <c r="BZ16" s="1006"/>
      <c r="CB16" s="1005" t="str">
        <f t="shared" si="10"/>
        <v/>
      </c>
      <c r="CC16" s="1006"/>
      <c r="CD16" s="1005" t="str">
        <f t="shared" si="11"/>
        <v/>
      </c>
      <c r="CE16" s="1006"/>
      <c r="CF16" s="268"/>
      <c r="CG16" s="1005" t="str">
        <f t="shared" si="12"/>
        <v/>
      </c>
      <c r="CH16" s="1006"/>
      <c r="CI16" s="1005" t="str">
        <f t="shared" si="13"/>
        <v/>
      </c>
      <c r="CJ16" s="1006"/>
      <c r="CK16" s="268"/>
      <c r="CL16" s="1005">
        <f t="shared" si="14"/>
        <v>0</v>
      </c>
      <c r="CM16" s="1006"/>
      <c r="CN16" s="1005">
        <f t="shared" si="15"/>
        <v>0</v>
      </c>
      <c r="CO16" s="1006"/>
      <c r="CP16" s="268"/>
      <c r="CQ16" s="268"/>
      <c r="CR16" s="268"/>
      <c r="CS16" s="268"/>
      <c r="CT16" s="268"/>
      <c r="CU16" s="268"/>
      <c r="CV16" s="268"/>
      <c r="CW16" s="268"/>
      <c r="CX16" s="268"/>
      <c r="CY16" s="268"/>
      <c r="CZ16" s="268"/>
      <c r="DA16" s="268"/>
      <c r="DB16" s="268"/>
      <c r="DC16" s="268"/>
      <c r="DD16" s="268"/>
      <c r="DE16" s="268"/>
      <c r="DF16" s="268"/>
      <c r="DG16" s="268"/>
      <c r="DH16" s="268"/>
      <c r="DI16" s="268"/>
      <c r="DJ16" s="268"/>
      <c r="DK16" s="268"/>
      <c r="DL16" s="268"/>
      <c r="DM16" s="268"/>
      <c r="DN16" s="268"/>
      <c r="DO16" s="268"/>
      <c r="DP16" s="268"/>
      <c r="DQ16" s="268"/>
      <c r="DR16" s="268"/>
      <c r="DS16" s="268"/>
      <c r="DT16" s="268"/>
      <c r="DU16" s="268"/>
      <c r="DV16" s="268"/>
      <c r="DW16" s="268"/>
      <c r="DX16" s="268"/>
      <c r="DY16" s="268"/>
      <c r="DZ16" s="268"/>
      <c r="EA16" s="268"/>
      <c r="EB16" s="268"/>
      <c r="EC16" s="268"/>
      <c r="ED16" s="268"/>
      <c r="EE16" s="268"/>
      <c r="EF16" s="268"/>
      <c r="EG16" s="268"/>
      <c r="EH16" s="268"/>
      <c r="EI16" s="268"/>
      <c r="EJ16" s="268"/>
      <c r="EK16" s="268"/>
      <c r="EL16" s="268"/>
      <c r="EM16" s="268"/>
      <c r="EN16" s="268"/>
      <c r="EO16" s="268"/>
      <c r="EP16" s="268"/>
      <c r="EQ16" s="268"/>
      <c r="ES16" s="620">
        <f>IF(EO14=0,0,EN14)</f>
        <v>0</v>
      </c>
      <c r="ET16" s="621" t="str">
        <f>"" &amp; IF(ES16=0,0,EO14) &amp; "' rolls"</f>
        <v>0' rolls</v>
      </c>
      <c r="EU16" s="12"/>
      <c r="EV16" s="1"/>
      <c r="EW16" s="1"/>
      <c r="EX16" s="1260" t="str">
        <f t="shared" si="16"/>
        <v/>
      </c>
      <c r="EY16" s="1226"/>
      <c r="EZ16" s="1260" t="str">
        <f t="shared" si="17"/>
        <v/>
      </c>
      <c r="FA16" s="1226"/>
      <c r="FB16" s="642">
        <f>BC16</f>
        <v>0</v>
      </c>
      <c r="FC16" s="649" t="str">
        <f>BD16</f>
        <v>0' rolls</v>
      </c>
      <c r="FD16" s="1"/>
      <c r="FF16" s="1260" t="str">
        <f t="shared" si="18"/>
        <v/>
      </c>
      <c r="FG16" s="1226"/>
      <c r="FH16" s="1260" t="str">
        <f t="shared" si="19"/>
        <v/>
      </c>
      <c r="FI16" s="1226"/>
      <c r="FJ16" s="642">
        <f>BR16</f>
        <v>0</v>
      </c>
      <c r="FK16" s="649" t="str">
        <f>BS16</f>
        <v>0' rolls</v>
      </c>
      <c r="FM16" s="47"/>
      <c r="FN16" s="532"/>
      <c r="FW16" s="47"/>
    </row>
    <row r="17" spans="3:179" ht="15.75" thickBot="1">
      <c r="C17" s="662"/>
      <c r="D17" s="479"/>
      <c r="G17" s="477"/>
      <c r="H17" s="477"/>
      <c r="J17" s="485"/>
      <c r="L17" s="487"/>
      <c r="O17" s="485"/>
      <c r="Q17" s="320"/>
      <c r="X17" s="583"/>
      <c r="Y17" s="764"/>
      <c r="Z17" s="764"/>
      <c r="AA17" s="764"/>
      <c r="AR17" s="1225" t="str">
        <f t="shared" si="5"/>
        <v/>
      </c>
      <c r="AS17" s="1226"/>
      <c r="AT17" s="1225" t="str">
        <f t="shared" si="6"/>
        <v/>
      </c>
      <c r="AU17" s="1226"/>
      <c r="AY17" s="1260" t="str">
        <f t="shared" si="0"/>
        <v/>
      </c>
      <c r="AZ17" s="1226"/>
      <c r="BA17" s="995" t="str">
        <f t="shared" si="3"/>
        <v/>
      </c>
      <c r="BB17" s="1226"/>
      <c r="BG17" s="1260">
        <f t="shared" si="1"/>
        <v>0</v>
      </c>
      <c r="BH17" s="1239"/>
      <c r="BI17" s="1238">
        <f t="shared" si="4"/>
        <v>0</v>
      </c>
      <c r="BJ17" s="1226"/>
      <c r="BN17" s="1260" t="str">
        <f t="shared" si="2"/>
        <v/>
      </c>
      <c r="BO17" s="1226"/>
      <c r="BP17" s="1260" t="str">
        <f t="shared" si="7"/>
        <v/>
      </c>
      <c r="BQ17" s="1226"/>
      <c r="BW17" s="1005">
        <f t="shared" si="8"/>
        <v>0</v>
      </c>
      <c r="BX17" s="1006"/>
      <c r="BY17" s="1005">
        <f t="shared" si="9"/>
        <v>0</v>
      </c>
      <c r="BZ17" s="1006"/>
      <c r="CB17" s="1005" t="str">
        <f t="shared" si="10"/>
        <v/>
      </c>
      <c r="CC17" s="1006"/>
      <c r="CD17" s="1005" t="str">
        <f t="shared" si="11"/>
        <v/>
      </c>
      <c r="CE17" s="1006"/>
      <c r="CF17" s="268"/>
      <c r="CG17" s="1005" t="str">
        <f t="shared" si="12"/>
        <v/>
      </c>
      <c r="CH17" s="1006"/>
      <c r="CI17" s="1005" t="str">
        <f t="shared" si="13"/>
        <v/>
      </c>
      <c r="CJ17" s="1006"/>
      <c r="CK17" s="268"/>
      <c r="CL17" s="1005">
        <f t="shared" si="14"/>
        <v>0</v>
      </c>
      <c r="CM17" s="1006"/>
      <c r="CN17" s="1005">
        <f t="shared" si="15"/>
        <v>0</v>
      </c>
      <c r="CO17" s="1006"/>
      <c r="CP17" s="268"/>
      <c r="CW17" s="268"/>
      <c r="CX17" s="268"/>
      <c r="DR17" s="268"/>
      <c r="DS17" s="268"/>
      <c r="EU17" s="47"/>
      <c r="EX17" s="1260" t="str">
        <f t="shared" si="16"/>
        <v/>
      </c>
      <c r="EY17" s="1226"/>
      <c r="EZ17" s="1260" t="str">
        <f t="shared" si="17"/>
        <v/>
      </c>
      <c r="FA17" s="1226"/>
      <c r="FF17" s="1260" t="str">
        <f t="shared" si="18"/>
        <v/>
      </c>
      <c r="FG17" s="1226"/>
      <c r="FH17" s="1260" t="str">
        <f t="shared" si="19"/>
        <v/>
      </c>
      <c r="FI17" s="1226"/>
      <c r="FM17" s="47"/>
      <c r="FN17" s="532"/>
      <c r="FW17" s="47"/>
    </row>
    <row r="18" spans="3:179" ht="15.75" thickBot="1">
      <c r="C18" s="662"/>
      <c r="D18" s="479"/>
      <c r="G18" s="477"/>
      <c r="H18" s="477"/>
      <c r="J18" s="485"/>
      <c r="L18" s="487"/>
      <c r="O18" s="485"/>
      <c r="Q18" s="320"/>
      <c r="X18" s="583"/>
      <c r="Y18" s="764"/>
      <c r="Z18" s="764"/>
      <c r="AA18" s="764"/>
      <c r="AR18" s="1227" t="str">
        <f t="shared" si="5"/>
        <v/>
      </c>
      <c r="AS18" s="1229"/>
      <c r="AT18" s="1227" t="str">
        <f t="shared" si="6"/>
        <v/>
      </c>
      <c r="AU18" s="1229"/>
      <c r="AV18" t="s">
        <v>506</v>
      </c>
      <c r="AW18" s="597">
        <f>DH14+EL14</f>
        <v>2</v>
      </c>
      <c r="AY18" s="1257" t="str">
        <f t="shared" si="0"/>
        <v/>
      </c>
      <c r="AZ18" s="1229"/>
      <c r="BA18" s="1228" t="str">
        <f t="shared" si="3"/>
        <v/>
      </c>
      <c r="BB18" s="1229"/>
      <c r="BC18" cm="1">
        <f t="array" ref="BC18">_xlfn.IFS(BD18=E16,AW34,BD18=E14,AW20,BD18=0,0)</f>
        <v>1</v>
      </c>
      <c r="BD18" s="597">
        <f>IF($AW$20&lt;=$AW$34,E14,E16)</f>
        <v>30</v>
      </c>
      <c r="BE18" s="597"/>
      <c r="BF18" s="597"/>
      <c r="BG18" s="1257">
        <f t="shared" si="1"/>
        <v>0</v>
      </c>
      <c r="BH18" s="1258"/>
      <c r="BI18" s="1259">
        <f t="shared" si="4"/>
        <v>0</v>
      </c>
      <c r="BJ18" s="1229"/>
      <c r="BK18" t="s">
        <v>506</v>
      </c>
      <c r="BL18">
        <f>IF($AO$11=TRUE,AW20,0)</f>
        <v>0</v>
      </c>
      <c r="BN18" s="1257" t="str">
        <f t="shared" si="2"/>
        <v/>
      </c>
      <c r="BO18" s="1229"/>
      <c r="BP18" s="1257" t="str">
        <f t="shared" si="7"/>
        <v/>
      </c>
      <c r="BQ18" s="1229"/>
      <c r="BR18" cm="1">
        <f t="array" ref="BR18">_xlfn.IFS(BS18=E16,AW34,BS18=E14,AW20,BS18=0,0)</f>
        <v>1</v>
      </c>
      <c r="BS18" s="597">
        <f>IF(AND(BL18=0,BL32=0),0,IF(AND($BL$18&lt;=$BL$32,BL18&lt;&gt;0),E14,E16))</f>
        <v>30</v>
      </c>
      <c r="BW18" s="1005">
        <f t="shared" si="8"/>
        <v>0</v>
      </c>
      <c r="BX18" s="1006"/>
      <c r="BY18" s="1005">
        <f t="shared" si="9"/>
        <v>0</v>
      </c>
      <c r="BZ18" s="1006"/>
      <c r="CB18" s="1005" t="str">
        <f t="shared" si="10"/>
        <v/>
      </c>
      <c r="CC18" s="1006"/>
      <c r="CD18" s="1005" t="str">
        <f t="shared" si="11"/>
        <v/>
      </c>
      <c r="CE18" s="1006"/>
      <c r="CF18" s="268"/>
      <c r="CG18" s="1005" t="str">
        <f t="shared" si="12"/>
        <v/>
      </c>
      <c r="CH18" s="1006"/>
      <c r="CI18" s="1005" t="str">
        <f t="shared" si="13"/>
        <v/>
      </c>
      <c r="CJ18" s="1006"/>
      <c r="CK18" s="268"/>
      <c r="CL18" s="1005">
        <f t="shared" si="14"/>
        <v>0</v>
      </c>
      <c r="CM18" s="1006"/>
      <c r="CN18" s="1005">
        <f t="shared" si="15"/>
        <v>0</v>
      </c>
      <c r="CO18" s="1006"/>
      <c r="CP18" s="268"/>
      <c r="CW18" s="268"/>
      <c r="CX18" s="268"/>
      <c r="DR18" s="268"/>
      <c r="DS18" s="268"/>
      <c r="EU18" s="47"/>
      <c r="EX18" s="1257" t="str">
        <f t="shared" si="16"/>
        <v/>
      </c>
      <c r="EY18" s="1229"/>
      <c r="EZ18" s="1257" t="str">
        <f t="shared" si="17"/>
        <v/>
      </c>
      <c r="FA18" s="1229"/>
      <c r="FB18" s="632">
        <f>BC18</f>
        <v>1</v>
      </c>
      <c r="FC18" s="698">
        <f>BD18</f>
        <v>30</v>
      </c>
      <c r="FF18" s="1257" t="str">
        <f t="shared" si="18"/>
        <v/>
      </c>
      <c r="FG18" s="1229"/>
      <c r="FH18" s="1257" t="str">
        <f t="shared" si="19"/>
        <v/>
      </c>
      <c r="FI18" s="1229"/>
      <c r="FJ18" s="632">
        <f>BR18</f>
        <v>1</v>
      </c>
      <c r="FK18" s="698">
        <f>BS18</f>
        <v>30</v>
      </c>
      <c r="FM18" s="47"/>
      <c r="FN18" s="532"/>
      <c r="FW18" s="47"/>
    </row>
    <row r="19" spans="3:179">
      <c r="C19" s="662"/>
      <c r="D19" s="479"/>
      <c r="G19" s="477"/>
      <c r="H19" s="477"/>
      <c r="J19" s="485"/>
      <c r="L19" s="487"/>
      <c r="O19" s="485"/>
      <c r="Q19" s="320"/>
      <c r="X19" s="583"/>
      <c r="Y19" s="764"/>
      <c r="Z19" s="764"/>
      <c r="AA19" s="764"/>
      <c r="AV19" t="s">
        <v>612</v>
      </c>
      <c r="AW19">
        <f>IF(G14=0,0,1)</f>
        <v>1</v>
      </c>
      <c r="BK19" t="s">
        <v>614</v>
      </c>
      <c r="BL19">
        <f>IF($AO$11=TRUE,AW21,0)</f>
        <v>0</v>
      </c>
      <c r="EU19" s="47"/>
      <c r="FM19" s="47"/>
      <c r="FN19" s="532"/>
      <c r="FW19" s="47"/>
    </row>
    <row r="20" spans="3:179" ht="30">
      <c r="C20" s="662"/>
      <c r="D20" s="479"/>
      <c r="G20" s="477"/>
      <c r="H20" s="477"/>
      <c r="J20" s="485"/>
      <c r="L20" s="487"/>
      <c r="O20" s="485"/>
      <c r="Q20" s="320"/>
      <c r="X20" s="583"/>
      <c r="Y20" s="764"/>
      <c r="Z20" s="764"/>
      <c r="AA20" s="764"/>
      <c r="AV20" s="289" t="s">
        <v>613</v>
      </c>
      <c r="AW20" s="597">
        <f>IF(AW19=0,AW18*D8,AW18)</f>
        <v>2</v>
      </c>
      <c r="BK20" s="597" t="s">
        <v>615</v>
      </c>
      <c r="BL20">
        <f>IF($AO$11=TRUE,AW22,0)</f>
        <v>0</v>
      </c>
      <c r="EU20" s="47"/>
      <c r="FM20" s="47"/>
      <c r="FN20" s="532"/>
      <c r="FW20" s="47"/>
    </row>
    <row r="21" spans="3:179">
      <c r="C21" s="662"/>
      <c r="D21" s="479"/>
      <c r="G21" s="477"/>
      <c r="H21" s="477"/>
      <c r="J21" s="485"/>
      <c r="L21" s="487"/>
      <c r="O21" s="485"/>
      <c r="Q21" s="320"/>
      <c r="X21" s="583"/>
      <c r="Y21" s="764"/>
      <c r="Z21" s="764"/>
      <c r="AA21" s="764"/>
      <c r="AV21" t="s">
        <v>614</v>
      </c>
      <c r="AW21">
        <f>SUM(AV14:AV16)</f>
        <v>2</v>
      </c>
      <c r="BK21" s="597"/>
      <c r="EU21" s="47"/>
      <c r="FM21" s="47"/>
      <c r="FN21" s="532"/>
      <c r="FW21" s="47"/>
    </row>
    <row r="22" spans="3:179">
      <c r="C22" s="662"/>
      <c r="D22" s="479"/>
      <c r="G22" s="477"/>
      <c r="J22" s="485"/>
      <c r="L22" s="487"/>
      <c r="O22" s="485"/>
      <c r="Q22" s="320"/>
      <c r="X22" s="583"/>
      <c r="Y22" s="764"/>
      <c r="Z22" s="764"/>
      <c r="AA22" s="764"/>
      <c r="AV22" s="597" t="s">
        <v>615</v>
      </c>
      <c r="AW22">
        <f>EQ14</f>
        <v>12</v>
      </c>
      <c r="BK22" s="597"/>
      <c r="EU22" s="47"/>
      <c r="FM22" s="47"/>
      <c r="FN22" s="532"/>
      <c r="FW22" s="47"/>
    </row>
    <row r="23" spans="3:179">
      <c r="C23" s="662"/>
      <c r="D23" s="479"/>
      <c r="G23" s="477"/>
      <c r="J23" s="485"/>
      <c r="L23" s="487"/>
      <c r="O23" s="485"/>
      <c r="Q23" s="320"/>
      <c r="X23" s="583"/>
      <c r="Y23" s="764"/>
      <c r="Z23" s="764"/>
      <c r="AA23" s="764"/>
      <c r="BK23" s="597"/>
      <c r="EU23" s="47"/>
      <c r="FM23" s="47"/>
      <c r="FN23" s="532"/>
      <c r="FW23" s="47"/>
    </row>
    <row r="24" spans="3:179" ht="15.75" thickBot="1">
      <c r="C24" s="532"/>
      <c r="BK24" s="597"/>
      <c r="EU24" s="47"/>
      <c r="FM24" s="47"/>
      <c r="FN24" s="532"/>
      <c r="FW24" s="47"/>
    </row>
    <row r="25" spans="3:179" ht="15.75" thickBot="1">
      <c r="C25" s="532"/>
      <c r="AO25" s="320" t="b">
        <f>Materials!P2</f>
        <v>1</v>
      </c>
      <c r="AP25" t="b">
        <f>AND(AO25=TRUE,BD18=30)</f>
        <v>1</v>
      </c>
      <c r="AR25" s="1420" t="str">
        <f>"12." &amp; E16 &amp; " (" &amp; DH28+EL28 &amp; ")"</f>
        <v>12.30 (1)</v>
      </c>
      <c r="AS25" s="1421"/>
      <c r="AT25" s="1421"/>
      <c r="AU25" s="1422"/>
      <c r="BG25" s="1283" t="str">
        <f t="shared" ref="BG25:BG32" si="20">IF($AO$25=TRUE,AR25,0)</f>
        <v>12.30 (1)</v>
      </c>
      <c r="BH25" s="1381"/>
      <c r="BI25" s="1381"/>
      <c r="BJ25" s="1284"/>
      <c r="BW25" s="1005">
        <f>SUM(BW27:BX32)</f>
        <v>3</v>
      </c>
      <c r="BX25" s="1006"/>
      <c r="BY25" s="1005">
        <f>SUM(BY27:BZ32)</f>
        <v>0</v>
      </c>
      <c r="BZ25" s="1006"/>
      <c r="CB25" s="1005">
        <f>SUM(CB27:CC32)</f>
        <v>18</v>
      </c>
      <c r="CC25" s="1006"/>
      <c r="CD25" s="1005">
        <f>SUM(CD27:CE32)</f>
        <v>0</v>
      </c>
      <c r="CE25" s="1006"/>
      <c r="CF25" s="268"/>
      <c r="CG25" s="1283" t="s">
        <v>569</v>
      </c>
      <c r="CH25" s="1381"/>
      <c r="CI25" s="1381"/>
      <c r="CJ25" s="1284"/>
      <c r="CK25" s="268"/>
      <c r="CL25" s="1283" t="s">
        <v>570</v>
      </c>
      <c r="CM25" s="1381"/>
      <c r="CN25" s="1381"/>
      <c r="CO25" s="1284"/>
      <c r="EU25" s="47"/>
      <c r="FM25" s="47"/>
      <c r="FN25" s="532"/>
      <c r="FW25" s="47"/>
    </row>
    <row r="26" spans="3:179" ht="90.75" thickBot="1">
      <c r="C26" s="532"/>
      <c r="AR26" s="1263" t="s">
        <v>608</v>
      </c>
      <c r="AS26" s="1234"/>
      <c r="AT26" s="1263" t="s">
        <v>608</v>
      </c>
      <c r="AU26" s="1234"/>
      <c r="AV26" s="1283" t="s">
        <v>544</v>
      </c>
      <c r="AW26" s="1284"/>
      <c r="BG26" s="1238" t="str">
        <f t="shared" si="20"/>
        <v>12"</v>
      </c>
      <c r="BH26" s="1239"/>
      <c r="BI26" s="1238" t="str">
        <f t="shared" ref="BI26:BI32" si="21">IF($AO$25=TRUE,AT26,0)</f>
        <v>12"</v>
      </c>
      <c r="BJ26" s="995"/>
      <c r="BK26" s="1230" t="str">
        <f>IF($AO$25=TRUE,AV26,0)</f>
        <v>OVERFLOW</v>
      </c>
      <c r="BL26" s="1232"/>
      <c r="CQ26" s="627" t="s">
        <v>1332</v>
      </c>
      <c r="CS26" s="627" t="s">
        <v>437</v>
      </c>
      <c r="CT26" s="374"/>
      <c r="CU26" s="625" t="s">
        <v>569</v>
      </c>
      <c r="CV26" s="626"/>
      <c r="CW26" s="374"/>
      <c r="CX26" s="627" t="s">
        <v>1333</v>
      </c>
      <c r="CY26" s="268"/>
      <c r="CZ26" s="627" t="s">
        <v>1333</v>
      </c>
      <c r="DA26" s="268"/>
      <c r="DB26" s="627" t="s">
        <v>1333</v>
      </c>
      <c r="DC26" s="268"/>
      <c r="DD26" s="627" t="s">
        <v>1334</v>
      </c>
      <c r="DE26" s="268"/>
      <c r="DF26" s="627" t="s">
        <v>569</v>
      </c>
      <c r="DG26" s="268"/>
      <c r="DH26" s="627" t="s">
        <v>569</v>
      </c>
      <c r="DI26" s="268"/>
      <c r="DJ26" s="627" t="s">
        <v>1335</v>
      </c>
      <c r="DK26" s="627" t="s">
        <v>1336</v>
      </c>
      <c r="DL26" s="268"/>
      <c r="DM26" s="627" t="s">
        <v>1335</v>
      </c>
      <c r="DN26" s="627" t="s">
        <v>1336</v>
      </c>
      <c r="DP26" s="627" t="s">
        <v>1335</v>
      </c>
      <c r="DQ26" s="627" t="s">
        <v>1336</v>
      </c>
      <c r="DR26" s="268"/>
      <c r="DS26" s="268"/>
      <c r="DT26" s="627" t="s">
        <v>435</v>
      </c>
      <c r="DU26" s="627" t="s">
        <v>1337</v>
      </c>
      <c r="DW26" s="1382" t="s">
        <v>570</v>
      </c>
      <c r="DX26" s="1384"/>
      <c r="DZ26" s="627" t="s">
        <v>1338</v>
      </c>
      <c r="EA26" s="268"/>
      <c r="EB26" s="627" t="s">
        <v>1338</v>
      </c>
      <c r="EC26" s="268"/>
      <c r="ED26" s="627" t="s">
        <v>1338</v>
      </c>
      <c r="EE26" s="268"/>
      <c r="EF26" s="627" t="s">
        <v>570</v>
      </c>
      <c r="EH26" s="627" t="s">
        <v>1339</v>
      </c>
      <c r="EI26" s="268"/>
      <c r="EJ26" s="627" t="s">
        <v>1340</v>
      </c>
      <c r="EK26" s="268"/>
      <c r="EL26" s="627" t="s">
        <v>570</v>
      </c>
      <c r="EM26" s="268"/>
      <c r="EN26" s="627" t="s">
        <v>1341</v>
      </c>
      <c r="EO26" s="627" t="s">
        <v>1342</v>
      </c>
      <c r="EQ26" s="624" t="s">
        <v>1343</v>
      </c>
      <c r="EU26" s="47"/>
      <c r="FM26" s="47"/>
      <c r="FN26" s="532"/>
      <c r="FW26" s="47"/>
    </row>
    <row r="27" spans="3:179" ht="15.75" thickBot="1">
      <c r="C27" s="532"/>
      <c r="AR27" s="1235" t="str">
        <f t="shared" ref="AR27:AR32" si="22">_xlfn.LET(
_xlpm.total,IF($G$16=0,$D$6,AK16),
_xlpm.fullName,IF($G$16=0,$AG$16,$AB$16),
_xlpm.leftName,$AD$16,
_xlpm.perNum,$Y$16,
_xlpm.allowCols,IF($D$4=1,1,$AE$16),
_xlpm.fullCount,INT(_xlpm.total/_xlpm.fullName),
_xlpm.leftOver,MOD(_xlpm.total,_xlpm.fullName),
_xlpm.maxCount,_xlpm.fullCount+IF(_xlpm.leftOver&gt;0,1,0),
_xlpm.rowsPerCol,IF($G$16=0,_xlpm.maxCount,$D$8),
_xlpm.rowInCol,ROW()-ROW($AR$27)+1,
_xlpm.colBlock,INT((COLUMN()-COLUMN($AR$27))/2),
_xlpm.n,IF(
    $G$16=0,
    _xlpm.rowInCol,
    (_xlpm.rowInCol-1)*_xlpm.allowCols+_xlpm.colBlock+1
),
IF($G$16&lt;&gt;0,
    IF(OR(
        _xlpm.rowInCol&gt;_xlpm.rowsPerCol,
        _xlpm.colBlock+1&gt;_xlpm.allowCols,
        _xlpm.n&gt;$AE$16*$AJ$16
    ),
        "",
        TEXT(_xlpm.fullName,"0.00")&amp;" ("&amp;ROUNDUP(_xlpm.n/_xlpm.perNum,0)&amp;")"
    ),
    IF(OR(_xlpm.rowInCol&gt;_xlpm.rowsPerCol,_xlpm.colBlock+1&gt;_xlpm.allowCols),
        "",
        IF(_xlpm.n&lt;=_xlpm.fullCount,
            TEXT(_xlpm.fullName,"0")&amp;"' ("&amp;_xlpm.n&amp;")",
            TEXT(_xlpm.leftName,"0")&amp;"' ("&amp;_xlpm.n&amp;")"
        )
    )
)
)</f>
        <v xml:space="preserve"> 6' (1)</v>
      </c>
      <c r="AS27" s="1285"/>
      <c r="AT27" s="1419" t="str">
        <f t="shared" ref="AT27:AT32" si="23">_xlfn.LET(
_xlpm.total,IF($G$16=0,$D$6,AM16),
_xlpm.fullName,IF($G$16=0,$AG$16,$AB$16),
_xlpm.leftName,$AD$16,
_xlpm.perNum,$Y$16,
_xlpm.allowCols,IF($D$4=1,1,$AE$16),
_xlpm.fullCount,INT(_xlpm.total/_xlpm.fullName),
_xlpm.leftOver,MOD(_xlpm.total,_xlpm.fullName),
_xlpm.maxCount,_xlpm.fullCount+IF(_xlpm.leftOver&gt;0,1,0),
_xlpm.rowsPerCol,IF($G$16=0,_xlpm.maxCount,$D$8),
_xlpm.rowInCol,ROW()-ROW($AR$27)+1,
_xlpm.colBlock,INT((COLUMN()-COLUMN($AR$27))/2),
_xlpm.n,IF(
    $G$16=0,
    _xlpm.rowInCol,
    (_xlpm.rowInCol-1)*_xlpm.allowCols+_xlpm.colBlock+1
),
IF($G$16&lt;&gt;0,
    IF(OR(
        _xlpm.rowInCol&gt;_xlpm.rowsPerCol,
        _xlpm.colBlock+1&gt;_xlpm.allowCols,
        _xlpm.n&gt;$AE$16*$AJ$16
    ),
        "",
        TEXT(_xlpm.fullName,"0.00")&amp;" ("&amp;ROUNDUP(_xlpm.n/_xlpm.perNum,0)&amp;")"
    ),
    IF(OR(_xlpm.rowInCol&gt;_xlpm.rowsPerCol,_xlpm.colBlock+1&gt;_xlpm.allowCols),
        "",
        IF(_xlpm.n&lt;=_xlpm.fullCount,
            TEXT(_xlpm.fullName,"0")&amp;"' ("&amp;_xlpm.n&amp;")",
            TEXT(_xlpm.leftName,"0")&amp;"' ("&amp;_xlpm.n&amp;")"
        )
    )
)
)</f>
        <v/>
      </c>
      <c r="AU27" s="1285"/>
      <c r="AV27" s="1286" t="str">
        <f>ES27</f>
        <v>Total 12'</v>
      </c>
      <c r="AW27" s="1269"/>
      <c r="BG27" s="1261" t="str">
        <f t="shared" si="20"/>
        <v xml:space="preserve"> 6' (1)</v>
      </c>
      <c r="BH27" s="1237"/>
      <c r="BI27" s="1236" t="str">
        <f t="shared" si="21"/>
        <v/>
      </c>
      <c r="BJ27" s="1237"/>
      <c r="BK27" s="1230" t="str">
        <f>IF($AO$25=TRUE,AV27,0)</f>
        <v>Total 12'</v>
      </c>
      <c r="BL27" s="1232"/>
      <c r="BW27" s="1005">
        <f t="shared" ref="BW27:BW32" si="24">IF(LEN(AR27)&gt;0,1,0)</f>
        <v>1</v>
      </c>
      <c r="BX27" s="1006"/>
      <c r="BY27" s="1005">
        <f t="shared" ref="BY27:BY32" si="25">IF(LEN(AT27)&gt;0,1,0)</f>
        <v>0</v>
      </c>
      <c r="BZ27" s="1006"/>
      <c r="CB27" s="1005">
        <f t="shared" ref="CB27:CB32" si="26">IF(AR27="","",--_xlfn.TEXTBEFORE(AR27,"'"))</f>
        <v>6</v>
      </c>
      <c r="CC27" s="1006"/>
      <c r="CD27" s="1005" t="str">
        <f t="shared" ref="CD27:CD32" si="27">IF(AT27="","",--_xlfn.TEXTBEFORE(AT27,"'"))</f>
        <v/>
      </c>
      <c r="CE27" s="1006"/>
      <c r="CF27" s="268"/>
      <c r="CG27" s="1005">
        <f t="shared" ref="CG27:CG32" si="28">IF(CB27=$CS$28,CB27,"")</f>
        <v>6</v>
      </c>
      <c r="CH27" s="1006"/>
      <c r="CI27" s="1005" t="str">
        <f t="shared" ref="CI27:CI32" si="29">IF(CD27=$CS$28,CD27,"")</f>
        <v/>
      </c>
      <c r="CJ27" s="1006"/>
      <c r="CK27" s="268"/>
      <c r="CL27" s="1005">
        <f t="shared" ref="CL27:CL32" si="30">IF(CG27=$CS$28,0,IF(CB27="",0,IF(CB27=$CS$28,$AG$16-CB27,$AG$16-$AC$16)))</f>
        <v>0</v>
      </c>
      <c r="CM27" s="1006"/>
      <c r="CN27" s="1005">
        <f t="shared" ref="CN27:CN32" si="31">IF(CI27=$CS$28,0,IF(CD27="",0,IF(CD27=$CS$28,$AG$16-CD27,$AG$16-$AC$16)))</f>
        <v>0</v>
      </c>
      <c r="CO27" s="1006"/>
      <c r="ES27" s="1271" t="str">
        <f>"Total " &amp; EQ28&amp; "'"</f>
        <v>Total 12'</v>
      </c>
      <c r="ET27" s="1269"/>
      <c r="EU27" s="12"/>
      <c r="EV27" s="1"/>
      <c r="EW27" s="1"/>
      <c r="EX27" s="1"/>
      <c r="EY27" s="1"/>
      <c r="EZ27" s="1"/>
      <c r="FA27" s="1"/>
      <c r="FB27" s="1"/>
      <c r="FC27" s="1"/>
      <c r="FD27" s="1"/>
      <c r="FE27" s="1"/>
      <c r="FF27" s="1"/>
      <c r="FG27" s="1"/>
      <c r="FH27" s="1"/>
      <c r="FI27" s="1"/>
      <c r="FJ27" s="1"/>
      <c r="FK27" s="1"/>
      <c r="FL27" s="1"/>
      <c r="FM27" s="47"/>
      <c r="FN27" s="532"/>
      <c r="FW27" s="47"/>
    </row>
    <row r="28" spans="3:179" ht="15.75" thickBot="1">
      <c r="C28" s="532"/>
      <c r="AR28" s="1225" t="str">
        <f t="shared" si="22"/>
        <v xml:space="preserve"> 6' (1)</v>
      </c>
      <c r="AS28" s="1289"/>
      <c r="AT28" s="1418" t="str">
        <f t="shared" si="23"/>
        <v/>
      </c>
      <c r="AU28" s="1289"/>
      <c r="AV28" s="455">
        <f>ES28</f>
        <v>0</v>
      </c>
      <c r="AW28" s="456" t="str">
        <f>ET28</f>
        <v>0' rolls</v>
      </c>
      <c r="BG28" s="1260" t="str">
        <f t="shared" si="20"/>
        <v xml:space="preserve"> 6' (1)</v>
      </c>
      <c r="BH28" s="1226"/>
      <c r="BI28" s="995" t="str">
        <f t="shared" si="21"/>
        <v/>
      </c>
      <c r="BJ28" s="1226"/>
      <c r="BK28" s="637">
        <f>IF($AO$25=TRUE,AV28,0)</f>
        <v>0</v>
      </c>
      <c r="BL28" s="44" t="str">
        <f>IF($AO$25=TRUE,AW28,0)</f>
        <v>0' rolls</v>
      </c>
      <c r="BW28" s="1005">
        <f t="shared" si="24"/>
        <v>1</v>
      </c>
      <c r="BX28" s="1006"/>
      <c r="BY28" s="1005">
        <f t="shared" si="25"/>
        <v>0</v>
      </c>
      <c r="BZ28" s="1006"/>
      <c r="CB28" s="1005">
        <f t="shared" si="26"/>
        <v>6</v>
      </c>
      <c r="CC28" s="1006"/>
      <c r="CD28" s="1005" t="str">
        <f t="shared" si="27"/>
        <v/>
      </c>
      <c r="CE28" s="1006"/>
      <c r="CF28" s="268"/>
      <c r="CG28" s="1005">
        <f t="shared" si="28"/>
        <v>6</v>
      </c>
      <c r="CH28" s="1006"/>
      <c r="CI28" s="1005" t="str">
        <f t="shared" si="29"/>
        <v/>
      </c>
      <c r="CJ28" s="1006"/>
      <c r="CK28" s="268"/>
      <c r="CL28" s="1005">
        <f t="shared" si="30"/>
        <v>0</v>
      </c>
      <c r="CM28" s="1006"/>
      <c r="CN28" s="1005">
        <f t="shared" si="31"/>
        <v>0</v>
      </c>
      <c r="CO28" s="1006"/>
      <c r="CQ28" s="622">
        <f>IF(CB25=CD25,0,1)</f>
        <v>1</v>
      </c>
      <c r="CS28" s="627">
        <f>MAX(CB27:CC32)</f>
        <v>6</v>
      </c>
      <c r="CT28" s="374"/>
      <c r="CU28" s="625" cm="1">
        <f t="array" ref="CU28">SUMPRODUCT(--ISNUMBER(CG27:CJ32),--(CG27:CJ32&lt;&gt;0))</f>
        <v>3</v>
      </c>
      <c r="CV28" s="627">
        <f>CS28</f>
        <v>6</v>
      </c>
      <c r="CW28" s="374"/>
      <c r="CX28" s="622">
        <f>CV28*CU28</f>
        <v>18</v>
      </c>
      <c r="CY28" s="268"/>
      <c r="CZ28" s="622">
        <f>ROUNDDOWN(AG16/CS28,0)</f>
        <v>5</v>
      </c>
      <c r="DB28" s="622">
        <f>AG16*IFERROR(ROUNDUP(CU28/CZ28,0),0)</f>
        <v>30</v>
      </c>
      <c r="DD28" s="622">
        <f>DB28-CX28</f>
        <v>12</v>
      </c>
      <c r="DF28" s="622">
        <f>CS28*CZ28</f>
        <v>30</v>
      </c>
      <c r="DH28" s="622">
        <f>ROUNDUP(CU28/CZ28,0)</f>
        <v>1</v>
      </c>
      <c r="DI28" s="268"/>
      <c r="DJ28" s="617">
        <f>ROUNDDOWN(CU28/CZ28,0)</f>
        <v>0</v>
      </c>
      <c r="DK28" s="622">
        <f>AG16-(CZ28*CS28)</f>
        <v>0</v>
      </c>
      <c r="DL28" s="1" t="s">
        <v>441</v>
      </c>
      <c r="DM28" s="617">
        <f>DH28-DJ28</f>
        <v>1</v>
      </c>
      <c r="DN28" s="622">
        <f>IF(DJ28=0,DD28,DD28-DK28)</f>
        <v>12</v>
      </c>
      <c r="DP28" s="617">
        <f>DH28</f>
        <v>1</v>
      </c>
      <c r="DQ28" s="622">
        <f>DD28/DP28</f>
        <v>12</v>
      </c>
      <c r="DT28" s="625">
        <f>MIN(CB27:CE32)</f>
        <v>6</v>
      </c>
      <c r="DU28" s="627">
        <f>IF(CS28=DT28,AG16-AD16,DT28)</f>
        <v>24</v>
      </c>
      <c r="DW28" s="625" cm="1">
        <f t="array" ref="DW28">SUMPRODUCT(--ISNUMBER(CL27:CO32),--(CL27:CO32&lt;&gt;0))</f>
        <v>0</v>
      </c>
      <c r="DX28" s="627">
        <f>DU28</f>
        <v>24</v>
      </c>
      <c r="DZ28" s="593">
        <f>DW28*DX28</f>
        <v>0</v>
      </c>
      <c r="EA28" s="268"/>
      <c r="EB28" s="593">
        <f>IFERROR(ROUNDDOWN(AG16/DU28,0),0)</f>
        <v>1</v>
      </c>
      <c r="ED28" s="593">
        <f>_xlfn.CEILING.MATH(DZ28,AG16)</f>
        <v>0</v>
      </c>
      <c r="EF28" s="593">
        <f>ED28/AG16</f>
        <v>0</v>
      </c>
      <c r="EH28" s="593">
        <f>IFERROR((ED28-DZ28)/EF28,0)</f>
        <v>0</v>
      </c>
      <c r="EJ28" s="593">
        <f>DU28*EB28</f>
        <v>24</v>
      </c>
      <c r="EL28" s="593">
        <f>ROUNDUP(DW28/EB28,0)</f>
        <v>0</v>
      </c>
      <c r="EM28" s="268"/>
      <c r="EN28" s="617">
        <f>EL28</f>
        <v>0</v>
      </c>
      <c r="EO28" s="622">
        <f>EH28</f>
        <v>0</v>
      </c>
      <c r="EQ28" s="593">
        <f>(DP28*DQ28)+(EN28*EO28)</f>
        <v>12</v>
      </c>
      <c r="ES28" s="623">
        <f>IF(DK28=0,0,DJ28)</f>
        <v>0</v>
      </c>
      <c r="ET28" s="456" t="str">
        <f>"" &amp; IF(ES28=0,0,DK28) &amp; "' rolls"</f>
        <v>0' rolls</v>
      </c>
      <c r="EU28" s="12"/>
      <c r="EV28" s="1"/>
      <c r="EW28" s="1"/>
      <c r="EX28" s="1"/>
      <c r="EY28" s="1"/>
      <c r="EZ28" s="1"/>
      <c r="FA28" s="1"/>
      <c r="FB28" s="1"/>
      <c r="FC28" s="1"/>
      <c r="FD28" s="1"/>
      <c r="FE28" s="1"/>
      <c r="FF28" s="1"/>
      <c r="FG28" s="1"/>
      <c r="FH28" s="1"/>
      <c r="FI28" s="1"/>
      <c r="FJ28" s="1"/>
      <c r="FK28" s="1"/>
      <c r="FL28" s="1"/>
      <c r="FM28" s="47"/>
      <c r="FN28" s="532"/>
      <c r="FW28" s="47"/>
    </row>
    <row r="29" spans="3:179" ht="15.75" thickBot="1">
      <c r="C29" s="532"/>
      <c r="AR29" s="1225" t="str">
        <f t="shared" si="22"/>
        <v xml:space="preserve"> 6' (1)</v>
      </c>
      <c r="AS29" s="1289"/>
      <c r="AT29" s="1418" t="str">
        <f t="shared" si="23"/>
        <v/>
      </c>
      <c r="AU29" s="1289"/>
      <c r="AV29" s="653">
        <f>ES29</f>
        <v>1</v>
      </c>
      <c r="AW29" s="598" t="str">
        <f>ET29</f>
        <v>12' rolls</v>
      </c>
      <c r="BG29" s="1260" t="str">
        <f t="shared" si="20"/>
        <v xml:space="preserve"> 6' (1)</v>
      </c>
      <c r="BH29" s="1226"/>
      <c r="BI29" s="995" t="str">
        <f t="shared" si="21"/>
        <v/>
      </c>
      <c r="BJ29" s="1226"/>
      <c r="BK29" s="637">
        <f>IF($AO$25=TRUE,AV29,0)</f>
        <v>1</v>
      </c>
      <c r="BL29" s="44" t="str">
        <f>IF($AO$25=TRUE,AW29,0)</f>
        <v>12' rolls</v>
      </c>
      <c r="BW29" s="1005">
        <f t="shared" si="24"/>
        <v>1</v>
      </c>
      <c r="BX29" s="1006"/>
      <c r="BY29" s="1005">
        <f t="shared" si="25"/>
        <v>0</v>
      </c>
      <c r="BZ29" s="1006"/>
      <c r="CB29" s="1005">
        <f t="shared" si="26"/>
        <v>6</v>
      </c>
      <c r="CC29" s="1006"/>
      <c r="CD29" s="1005" t="str">
        <f t="shared" si="27"/>
        <v/>
      </c>
      <c r="CE29" s="1006"/>
      <c r="CF29" s="268"/>
      <c r="CG29" s="1005">
        <f t="shared" si="28"/>
        <v>6</v>
      </c>
      <c r="CH29" s="1006"/>
      <c r="CI29" s="1005" t="str">
        <f t="shared" si="29"/>
        <v/>
      </c>
      <c r="CJ29" s="1006"/>
      <c r="CK29" s="268"/>
      <c r="CL29" s="1005">
        <f t="shared" si="30"/>
        <v>0</v>
      </c>
      <c r="CM29" s="1006"/>
      <c r="CN29" s="1005">
        <f t="shared" si="31"/>
        <v>0</v>
      </c>
      <c r="CO29" s="1006"/>
      <c r="ES29" s="617">
        <f>IF(DN28=0,0,DM28)</f>
        <v>1</v>
      </c>
      <c r="ET29" s="598" t="str">
        <f>"" &amp; IF(ES29=0,0,DN28) &amp; "' rolls"</f>
        <v>12' rolls</v>
      </c>
      <c r="EU29" s="12"/>
      <c r="EV29" s="1"/>
      <c r="EW29" s="1"/>
      <c r="EX29" s="1"/>
      <c r="EY29" s="1"/>
      <c r="EZ29" s="1"/>
      <c r="FA29" s="1"/>
      <c r="FB29" s="1"/>
      <c r="FC29" s="1"/>
      <c r="FD29" s="1"/>
      <c r="FE29" s="1"/>
      <c r="FF29" s="1"/>
      <c r="FG29" s="1"/>
      <c r="FH29" s="1"/>
      <c r="FI29" s="1"/>
      <c r="FJ29" s="1"/>
      <c r="FK29" s="1"/>
      <c r="FL29" s="1"/>
      <c r="FM29" s="47"/>
      <c r="FN29" s="532"/>
      <c r="FW29" s="47"/>
    </row>
    <row r="30" spans="3:179" ht="15.75" thickBot="1">
      <c r="C30" s="532"/>
      <c r="AR30" s="1225" t="str">
        <f t="shared" si="22"/>
        <v/>
      </c>
      <c r="AS30" s="1289"/>
      <c r="AT30" s="1418" t="str">
        <f t="shared" si="23"/>
        <v/>
      </c>
      <c r="AU30" s="1289"/>
      <c r="AV30" s="604">
        <f>ES30</f>
        <v>0</v>
      </c>
      <c r="AW30" s="621" t="str">
        <f>ET30</f>
        <v>0' rolls</v>
      </c>
      <c r="BG30" s="1260" t="str">
        <f t="shared" si="20"/>
        <v/>
      </c>
      <c r="BH30" s="1226"/>
      <c r="BI30" s="995" t="str">
        <f t="shared" si="21"/>
        <v/>
      </c>
      <c r="BJ30" s="1226"/>
      <c r="BK30" s="642">
        <f>IF($AO$25=TRUE,AV30,0)</f>
        <v>0</v>
      </c>
      <c r="BL30" s="633" t="str">
        <f>IF($AO$25=TRUE,AW30,0)</f>
        <v>0' rolls</v>
      </c>
      <c r="BW30" s="1005">
        <f t="shared" si="24"/>
        <v>0</v>
      </c>
      <c r="BX30" s="1006"/>
      <c r="BY30" s="1005">
        <f t="shared" si="25"/>
        <v>0</v>
      </c>
      <c r="BZ30" s="1006"/>
      <c r="CB30" s="1005" t="str">
        <f t="shared" si="26"/>
        <v/>
      </c>
      <c r="CC30" s="1006"/>
      <c r="CD30" s="1005" t="str">
        <f t="shared" si="27"/>
        <v/>
      </c>
      <c r="CE30" s="1006"/>
      <c r="CF30" s="268"/>
      <c r="CG30" s="1005" t="str">
        <f t="shared" si="28"/>
        <v/>
      </c>
      <c r="CH30" s="1006"/>
      <c r="CI30" s="1005" t="str">
        <f t="shared" si="29"/>
        <v/>
      </c>
      <c r="CJ30" s="1006"/>
      <c r="CK30" s="268"/>
      <c r="CL30" s="1005">
        <f t="shared" si="30"/>
        <v>0</v>
      </c>
      <c r="CM30" s="1006"/>
      <c r="CN30" s="1005">
        <f t="shared" si="31"/>
        <v>0</v>
      </c>
      <c r="CO30" s="1006"/>
      <c r="ES30" s="620">
        <f>IF(EO28=0,0,EN28)</f>
        <v>0</v>
      </c>
      <c r="ET30" s="621" t="str">
        <f>"" &amp; IF(ES30=0,0,EO28) &amp; "' rolls"</f>
        <v>0' rolls</v>
      </c>
      <c r="EU30" s="12"/>
      <c r="EV30" s="1"/>
      <c r="EW30" s="1"/>
      <c r="EX30" s="1"/>
      <c r="EY30" s="1"/>
      <c r="EZ30" s="1"/>
      <c r="FA30" s="1"/>
      <c r="FB30" s="1"/>
      <c r="FC30" s="1"/>
      <c r="FD30" s="1"/>
      <c r="FE30" s="1"/>
      <c r="FF30" s="1"/>
      <c r="FG30" s="1"/>
      <c r="FH30" s="1"/>
      <c r="FI30" s="1"/>
      <c r="FJ30" s="1"/>
      <c r="FK30" s="1"/>
      <c r="FL30" s="1"/>
      <c r="FM30" s="47"/>
      <c r="FN30" s="532"/>
      <c r="FW30" s="47"/>
    </row>
    <row r="31" spans="3:179">
      <c r="C31" s="532"/>
      <c r="AR31" s="1225" t="str">
        <f t="shared" si="22"/>
        <v/>
      </c>
      <c r="AS31" s="1289"/>
      <c r="AT31" s="1418" t="str">
        <f t="shared" si="23"/>
        <v/>
      </c>
      <c r="AU31" s="1289"/>
      <c r="BG31" s="1260" t="str">
        <f t="shared" si="20"/>
        <v/>
      </c>
      <c r="BH31" s="1226"/>
      <c r="BI31" s="995" t="str">
        <f t="shared" si="21"/>
        <v/>
      </c>
      <c r="BJ31" s="1226"/>
      <c r="BW31" s="1005">
        <f t="shared" si="24"/>
        <v>0</v>
      </c>
      <c r="BX31" s="1006"/>
      <c r="BY31" s="1005">
        <f t="shared" si="25"/>
        <v>0</v>
      </c>
      <c r="BZ31" s="1006"/>
      <c r="CB31" s="1005" t="str">
        <f t="shared" si="26"/>
        <v/>
      </c>
      <c r="CC31" s="1006"/>
      <c r="CD31" s="1005" t="str">
        <f t="shared" si="27"/>
        <v/>
      </c>
      <c r="CE31" s="1006"/>
      <c r="CF31" s="268"/>
      <c r="CG31" s="1005" t="str">
        <f t="shared" si="28"/>
        <v/>
      </c>
      <c r="CH31" s="1006"/>
      <c r="CI31" s="1005" t="str">
        <f t="shared" si="29"/>
        <v/>
      </c>
      <c r="CJ31" s="1006"/>
      <c r="CK31" s="268"/>
      <c r="CL31" s="1005">
        <f t="shared" si="30"/>
        <v>0</v>
      </c>
      <c r="CM31" s="1006"/>
      <c r="CN31" s="1005">
        <f t="shared" si="31"/>
        <v>0</v>
      </c>
      <c r="CO31" s="1006"/>
      <c r="EU31" s="47"/>
      <c r="FM31" s="47"/>
      <c r="FN31" s="532"/>
      <c r="FW31" s="47"/>
    </row>
    <row r="32" spans="3:179" ht="15.75" thickBot="1">
      <c r="C32" s="532"/>
      <c r="AR32" s="1227" t="str">
        <f t="shared" si="22"/>
        <v/>
      </c>
      <c r="AS32" s="1290"/>
      <c r="AT32" s="1417" t="str">
        <f t="shared" si="23"/>
        <v/>
      </c>
      <c r="AU32" s="1290"/>
      <c r="AV32" t="s">
        <v>506</v>
      </c>
      <c r="AW32" s="597">
        <f>DH28+EL28</f>
        <v>1</v>
      </c>
      <c r="BG32" s="1257" t="str">
        <f t="shared" si="20"/>
        <v/>
      </c>
      <c r="BH32" s="1229"/>
      <c r="BI32" s="1228" t="str">
        <f t="shared" si="21"/>
        <v/>
      </c>
      <c r="BJ32" s="1229"/>
      <c r="BK32" t="s">
        <v>506</v>
      </c>
      <c r="BL32">
        <f>IF($AO$25=TRUE,AW34,0)</f>
        <v>1</v>
      </c>
      <c r="BW32" s="1005">
        <f t="shared" si="24"/>
        <v>0</v>
      </c>
      <c r="BX32" s="1006"/>
      <c r="BY32" s="1005">
        <f t="shared" si="25"/>
        <v>0</v>
      </c>
      <c r="BZ32" s="1006"/>
      <c r="CB32" s="1005" t="str">
        <f t="shared" si="26"/>
        <v/>
      </c>
      <c r="CC32" s="1006"/>
      <c r="CD32" s="1005" t="str">
        <f t="shared" si="27"/>
        <v/>
      </c>
      <c r="CE32" s="1006"/>
      <c r="CF32" s="268"/>
      <c r="CG32" s="1005" t="str">
        <f t="shared" si="28"/>
        <v/>
      </c>
      <c r="CH32" s="1006"/>
      <c r="CI32" s="1005" t="str">
        <f t="shared" si="29"/>
        <v/>
      </c>
      <c r="CJ32" s="1006"/>
      <c r="CK32" s="268"/>
      <c r="CL32" s="1005">
        <f t="shared" si="30"/>
        <v>0</v>
      </c>
      <c r="CM32" s="1006"/>
      <c r="CN32" s="1005">
        <f t="shared" si="31"/>
        <v>0</v>
      </c>
      <c r="CO32" s="1006"/>
      <c r="EU32" s="47"/>
      <c r="FM32" s="47"/>
      <c r="FN32" s="532"/>
      <c r="FW32" s="47"/>
    </row>
    <row r="33" spans="3:179">
      <c r="C33" s="532"/>
      <c r="AV33" t="s">
        <v>612</v>
      </c>
      <c r="AW33">
        <f>IF(G16=0,0,1)</f>
        <v>1</v>
      </c>
      <c r="BK33" t="s">
        <v>614</v>
      </c>
      <c r="BL33">
        <f>IF($AO$25=TRUE,AW35,0)</f>
        <v>1</v>
      </c>
      <c r="EU33" s="47"/>
      <c r="FM33" s="47"/>
      <c r="FN33" s="532"/>
      <c r="FW33" s="47"/>
    </row>
    <row r="34" spans="3:179" ht="30">
      <c r="C34" s="532"/>
      <c r="AV34" s="289" t="s">
        <v>613</v>
      </c>
      <c r="AW34" s="597">
        <f>IF(AW33=0,AW32*D8,AW32)</f>
        <v>1</v>
      </c>
      <c r="BK34" s="597" t="s">
        <v>615</v>
      </c>
      <c r="BL34">
        <f>IF($AO$25=TRUE,AW36,0)</f>
        <v>12</v>
      </c>
      <c r="EU34" s="47"/>
      <c r="FM34" s="47"/>
      <c r="FN34" s="532"/>
      <c r="FW34" s="47"/>
    </row>
    <row r="35" spans="3:179">
      <c r="C35" s="532"/>
      <c r="AV35" t="s">
        <v>614</v>
      </c>
      <c r="AW35">
        <f>SUM(AV28:AV30)</f>
        <v>1</v>
      </c>
      <c r="EU35" s="47"/>
      <c r="FM35" s="47"/>
      <c r="FN35" s="532"/>
      <c r="FW35" s="47"/>
    </row>
    <row r="36" spans="3:179">
      <c r="C36" s="532"/>
      <c r="AV36" s="597" t="s">
        <v>615</v>
      </c>
      <c r="AW36">
        <f>EQ28</f>
        <v>12</v>
      </c>
      <c r="EU36" s="47"/>
      <c r="FM36" s="47"/>
      <c r="FN36" s="532"/>
      <c r="FW36" s="47"/>
    </row>
    <row r="37" spans="3:179" ht="15.75" thickBot="1">
      <c r="C37" s="663"/>
      <c r="D37" s="46"/>
      <c r="E37" s="46"/>
      <c r="F37" s="46"/>
      <c r="G37" s="46"/>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46"/>
      <c r="AQ37" s="46"/>
      <c r="AR37" s="46"/>
      <c r="AS37" s="46"/>
      <c r="AT37" s="46"/>
      <c r="AU37" s="46"/>
      <c r="AV37" s="46"/>
      <c r="AW37" s="46"/>
      <c r="AX37" s="46"/>
      <c r="AY37" s="46"/>
      <c r="AZ37" s="46"/>
      <c r="BA37" s="46"/>
      <c r="BB37" s="46"/>
      <c r="BC37" s="46"/>
      <c r="BD37" s="46"/>
      <c r="BE37" s="46"/>
      <c r="BF37" s="46"/>
      <c r="BG37" s="46"/>
      <c r="BH37" s="46"/>
      <c r="BI37" s="46"/>
      <c r="BJ37" s="46"/>
      <c r="BK37" s="46"/>
      <c r="BL37" s="46"/>
      <c r="BM37" s="46"/>
      <c r="BN37" s="46"/>
      <c r="BO37" s="46"/>
      <c r="BP37" s="46"/>
      <c r="BQ37" s="46"/>
      <c r="BR37" s="46"/>
      <c r="BS37" s="46"/>
      <c r="BT37" s="46"/>
      <c r="BU37" s="46"/>
      <c r="BV37" s="46"/>
      <c r="BW37" s="46"/>
      <c r="BX37" s="46"/>
      <c r="BY37" s="46"/>
      <c r="BZ37" s="46"/>
      <c r="CA37" s="46"/>
      <c r="CB37" s="46"/>
      <c r="CC37" s="46"/>
      <c r="CD37" s="46"/>
      <c r="CE37" s="46"/>
      <c r="CF37" s="46"/>
      <c r="CG37" s="46"/>
      <c r="CH37" s="46"/>
      <c r="CI37" s="46"/>
      <c r="CJ37" s="46"/>
      <c r="CK37" s="46"/>
      <c r="CL37" s="46"/>
      <c r="CM37" s="46"/>
      <c r="CN37" s="46"/>
      <c r="CO37" s="46"/>
      <c r="CP37" s="46"/>
      <c r="CQ37" s="46"/>
      <c r="CR37" s="46"/>
      <c r="CS37" s="46"/>
      <c r="CT37" s="46"/>
      <c r="CU37" s="46"/>
      <c r="CV37" s="46"/>
      <c r="CW37" s="46"/>
      <c r="CX37" s="46"/>
      <c r="CY37" s="46"/>
      <c r="CZ37" s="46"/>
      <c r="DA37" s="46"/>
      <c r="DB37" s="46"/>
      <c r="DC37" s="46"/>
      <c r="DD37" s="46"/>
      <c r="DE37" s="46"/>
      <c r="DF37" s="46"/>
      <c r="DG37" s="46"/>
      <c r="DH37" s="46"/>
      <c r="DI37" s="46"/>
      <c r="DJ37" s="46"/>
      <c r="DK37" s="46"/>
      <c r="DL37" s="46"/>
      <c r="DM37" s="46"/>
      <c r="DN37" s="46"/>
      <c r="DO37" s="46"/>
      <c r="DP37" s="46"/>
      <c r="DQ37" s="46"/>
      <c r="DR37" s="46"/>
      <c r="DS37" s="46"/>
      <c r="DT37" s="46"/>
      <c r="DU37" s="46"/>
      <c r="DV37" s="46"/>
      <c r="DW37" s="46"/>
      <c r="DX37" s="46"/>
      <c r="DY37" s="46"/>
      <c r="DZ37" s="46"/>
      <c r="EA37" s="46"/>
      <c r="EB37" s="46"/>
      <c r="EC37" s="46"/>
      <c r="ED37" s="46"/>
      <c r="EE37" s="46"/>
      <c r="EF37" s="46"/>
      <c r="EG37" s="46"/>
      <c r="EH37" s="46"/>
      <c r="EI37" s="46"/>
      <c r="EJ37" s="46"/>
      <c r="EK37" s="46"/>
      <c r="EL37" s="46"/>
      <c r="EM37" s="46"/>
      <c r="EN37" s="46"/>
      <c r="EO37" s="46"/>
      <c r="EP37" s="46"/>
      <c r="EQ37" s="46"/>
      <c r="ER37" s="46"/>
      <c r="ES37" s="46"/>
      <c r="ET37" s="46"/>
      <c r="EU37" s="664"/>
      <c r="EV37" s="46"/>
      <c r="EW37" s="46"/>
      <c r="EX37" s="46"/>
      <c r="EY37" s="46"/>
      <c r="EZ37" s="46"/>
      <c r="FA37" s="46"/>
      <c r="FB37" s="46"/>
      <c r="FC37" s="46"/>
      <c r="FD37" s="46"/>
      <c r="FE37" s="46"/>
      <c r="FF37" s="46"/>
      <c r="FG37" s="46"/>
      <c r="FH37" s="46"/>
      <c r="FI37" s="46"/>
      <c r="FJ37" s="46"/>
      <c r="FK37" s="46"/>
      <c r="FL37" s="46"/>
      <c r="FM37" s="664"/>
      <c r="FN37" s="663"/>
      <c r="FO37" s="46"/>
      <c r="FP37" s="46"/>
      <c r="FQ37" s="46"/>
      <c r="FR37" s="46"/>
      <c r="FS37" s="46"/>
      <c r="FT37" s="46"/>
      <c r="FU37" s="46"/>
      <c r="FV37" s="46"/>
      <c r="FW37" s="664"/>
    </row>
  </sheetData>
  <mergeCells count="256">
    <mergeCell ref="AR13:AS13"/>
    <mergeCell ref="AT13:AU13"/>
    <mergeCell ref="BG27:BH27"/>
    <mergeCell ref="BI27:BJ27"/>
    <mergeCell ref="BK27:BL27"/>
    <mergeCell ref="BP13:BQ13"/>
    <mergeCell ref="BR13:BS13"/>
    <mergeCell ref="CN13:CO13"/>
    <mergeCell ref="CG13:CH13"/>
    <mergeCell ref="BW16:BX16"/>
    <mergeCell ref="BW15:BX15"/>
    <mergeCell ref="CG17:CH17"/>
    <mergeCell ref="BP17:BQ17"/>
    <mergeCell ref="BN18:BO18"/>
    <mergeCell ref="BP18:BQ18"/>
    <mergeCell ref="BG25:BJ25"/>
    <mergeCell ref="BG26:BH26"/>
    <mergeCell ref="BI26:BJ26"/>
    <mergeCell ref="BK26:BL26"/>
    <mergeCell ref="BG17:BH17"/>
    <mergeCell ref="BI17:BJ17"/>
    <mergeCell ref="BG18:BH18"/>
    <mergeCell ref="AT27:AU27"/>
    <mergeCell ref="AV27:AW27"/>
    <mergeCell ref="C2:E2"/>
    <mergeCell ref="AR11:AU11"/>
    <mergeCell ref="AR12:AS12"/>
    <mergeCell ref="AT12:AU12"/>
    <mergeCell ref="AV12:AW12"/>
    <mergeCell ref="AV26:AW26"/>
    <mergeCell ref="AT26:AU26"/>
    <mergeCell ref="BW14:BX14"/>
    <mergeCell ref="CL18:CM18"/>
    <mergeCell ref="CB17:CC17"/>
    <mergeCell ref="CD17:CE17"/>
    <mergeCell ref="CB18:CC18"/>
    <mergeCell ref="CD18:CE18"/>
    <mergeCell ref="CI16:CJ16"/>
    <mergeCell ref="AV13:AW13"/>
    <mergeCell ref="CI13:CJ13"/>
    <mergeCell ref="CL13:CM13"/>
    <mergeCell ref="AR26:AS26"/>
    <mergeCell ref="AR25:AU25"/>
    <mergeCell ref="BW25:BX25"/>
    <mergeCell ref="BY25:BZ25"/>
    <mergeCell ref="CB25:CC25"/>
    <mergeCell ref="CD25:CE25"/>
    <mergeCell ref="BW17:BX17"/>
    <mergeCell ref="C14:C16"/>
    <mergeCell ref="AR14:AS14"/>
    <mergeCell ref="AT14:AU14"/>
    <mergeCell ref="AR15:AS15"/>
    <mergeCell ref="AT15:AU15"/>
    <mergeCell ref="AR16:AS16"/>
    <mergeCell ref="AT16:AU16"/>
    <mergeCell ref="CI17:CJ17"/>
    <mergeCell ref="CG18:CH18"/>
    <mergeCell ref="CI18:CJ18"/>
    <mergeCell ref="AR17:AS17"/>
    <mergeCell ref="AT17:AU17"/>
    <mergeCell ref="AR18:AS18"/>
    <mergeCell ref="AT18:AU18"/>
    <mergeCell ref="BP14:BQ14"/>
    <mergeCell ref="BN15:BO15"/>
    <mergeCell ref="BP15:BQ15"/>
    <mergeCell ref="BN16:BO16"/>
    <mergeCell ref="BP16:BQ16"/>
    <mergeCell ref="BN17:BO17"/>
    <mergeCell ref="BA16:BB16"/>
    <mergeCell ref="AY17:AZ17"/>
    <mergeCell ref="BA17:BB17"/>
    <mergeCell ref="AY18:AZ18"/>
    <mergeCell ref="ES13:ET13"/>
    <mergeCell ref="DW12:DX12"/>
    <mergeCell ref="BW11:BX11"/>
    <mergeCell ref="BY13:BZ13"/>
    <mergeCell ref="BW13:BX13"/>
    <mergeCell ref="AY9:BD9"/>
    <mergeCell ref="BN9:BS9"/>
    <mergeCell ref="BN11:BQ11"/>
    <mergeCell ref="BN12:BO12"/>
    <mergeCell ref="BP12:BQ12"/>
    <mergeCell ref="CB13:CC13"/>
    <mergeCell ref="CD13:CE13"/>
    <mergeCell ref="BR12:BS12"/>
    <mergeCell ref="BN13:BO13"/>
    <mergeCell ref="AY11:BB11"/>
    <mergeCell ref="AY12:AZ12"/>
    <mergeCell ref="BA12:BB12"/>
    <mergeCell ref="BC12:BD12"/>
    <mergeCell ref="AY13:AZ13"/>
    <mergeCell ref="DW26:DX26"/>
    <mergeCell ref="CN28:CO28"/>
    <mergeCell ref="CL11:CO11"/>
    <mergeCell ref="CD11:CE11"/>
    <mergeCell ref="CB11:CC11"/>
    <mergeCell ref="CG11:CJ11"/>
    <mergeCell ref="BY11:BZ11"/>
    <mergeCell ref="CI14:CJ14"/>
    <mergeCell ref="CL17:CM17"/>
    <mergeCell ref="CN17:CO17"/>
    <mergeCell ref="CN18:CO18"/>
    <mergeCell ref="CD14:CE14"/>
    <mergeCell ref="CG14:CH14"/>
    <mergeCell ref="CB14:CC14"/>
    <mergeCell ref="CL25:CO25"/>
    <mergeCell ref="BY14:BZ14"/>
    <mergeCell ref="CL14:CM14"/>
    <mergeCell ref="CN14:CO14"/>
    <mergeCell ref="AT32:AU32"/>
    <mergeCell ref="AR32:AS32"/>
    <mergeCell ref="AT31:AU31"/>
    <mergeCell ref="AR31:AS31"/>
    <mergeCell ref="CG16:CH16"/>
    <mergeCell ref="CI15:CJ15"/>
    <mergeCell ref="CG15:CH15"/>
    <mergeCell ref="CB15:CC15"/>
    <mergeCell ref="BW18:BX18"/>
    <mergeCell ref="BW32:BX32"/>
    <mergeCell ref="AR27:AS27"/>
    <mergeCell ref="AT30:AU30"/>
    <mergeCell ref="AR30:AS30"/>
    <mergeCell ref="AT29:AU29"/>
    <mergeCell ref="AR29:AS29"/>
    <mergeCell ref="AT28:AU28"/>
    <mergeCell ref="AR28:AS28"/>
    <mergeCell ref="BY18:BZ18"/>
    <mergeCell ref="BY17:BZ17"/>
    <mergeCell ref="CB16:CC16"/>
    <mergeCell ref="CG25:CJ25"/>
    <mergeCell ref="BY16:BZ16"/>
    <mergeCell ref="BY15:BZ15"/>
    <mergeCell ref="AY16:AZ16"/>
    <mergeCell ref="ES27:ET27"/>
    <mergeCell ref="BW31:BX31"/>
    <mergeCell ref="BY31:BZ31"/>
    <mergeCell ref="CB31:CC31"/>
    <mergeCell ref="CD31:CE31"/>
    <mergeCell ref="CG31:CH31"/>
    <mergeCell ref="CI31:CJ31"/>
    <mergeCell ref="CL31:CM31"/>
    <mergeCell ref="CN32:CO32"/>
    <mergeCell ref="BW29:BX29"/>
    <mergeCell ref="BY29:BZ29"/>
    <mergeCell ref="CB29:CC29"/>
    <mergeCell ref="CD29:CE29"/>
    <mergeCell ref="CG29:CH29"/>
    <mergeCell ref="CI29:CJ29"/>
    <mergeCell ref="CL29:CM29"/>
    <mergeCell ref="CN29:CO29"/>
    <mergeCell ref="BW30:BX30"/>
    <mergeCell ref="BY32:BZ32"/>
    <mergeCell ref="CB32:CC32"/>
    <mergeCell ref="CD32:CE32"/>
    <mergeCell ref="CG32:CH32"/>
    <mergeCell ref="CI32:CJ32"/>
    <mergeCell ref="CL32:CM32"/>
    <mergeCell ref="CN31:CO31"/>
    <mergeCell ref="BW27:BX27"/>
    <mergeCell ref="BY27:BZ27"/>
    <mergeCell ref="CB27:CC27"/>
    <mergeCell ref="CD27:CE27"/>
    <mergeCell ref="CG27:CH27"/>
    <mergeCell ref="CI27:CJ27"/>
    <mergeCell ref="CL27:CM27"/>
    <mergeCell ref="CN27:CO27"/>
    <mergeCell ref="BW28:BX28"/>
    <mergeCell ref="BY30:BZ30"/>
    <mergeCell ref="CN30:CO30"/>
    <mergeCell ref="CB30:CC30"/>
    <mergeCell ref="CD30:CE30"/>
    <mergeCell ref="CG30:CH30"/>
    <mergeCell ref="CI30:CJ30"/>
    <mergeCell ref="CL30:CM30"/>
    <mergeCell ref="BY28:BZ28"/>
    <mergeCell ref="CB28:CC28"/>
    <mergeCell ref="CD28:CE28"/>
    <mergeCell ref="CG28:CH28"/>
    <mergeCell ref="CI28:CJ28"/>
    <mergeCell ref="CL28:CM28"/>
    <mergeCell ref="BA18:BB18"/>
    <mergeCell ref="BA13:BB13"/>
    <mergeCell ref="BC13:BD13"/>
    <mergeCell ref="AY14:AZ14"/>
    <mergeCell ref="BA14:BB14"/>
    <mergeCell ref="AY15:AZ15"/>
    <mergeCell ref="BA15:BB15"/>
    <mergeCell ref="BG31:BH31"/>
    <mergeCell ref="BI31:BJ31"/>
    <mergeCell ref="BG32:BH32"/>
    <mergeCell ref="BI32:BJ32"/>
    <mergeCell ref="BG14:BH14"/>
    <mergeCell ref="BI14:BJ14"/>
    <mergeCell ref="BG15:BH15"/>
    <mergeCell ref="BI15:BJ15"/>
    <mergeCell ref="BG16:BH16"/>
    <mergeCell ref="BI16:BJ16"/>
    <mergeCell ref="BG28:BH28"/>
    <mergeCell ref="BI28:BJ28"/>
    <mergeCell ref="BG29:BH29"/>
    <mergeCell ref="BI29:BJ29"/>
    <mergeCell ref="BG30:BH30"/>
    <mergeCell ref="BI30:BJ30"/>
    <mergeCell ref="BI18:BJ18"/>
    <mergeCell ref="EX9:FC9"/>
    <mergeCell ref="EX11:FA11"/>
    <mergeCell ref="EX12:EY12"/>
    <mergeCell ref="EZ12:FA12"/>
    <mergeCell ref="FB12:FC12"/>
    <mergeCell ref="EX13:EY13"/>
    <mergeCell ref="EZ13:FA13"/>
    <mergeCell ref="FB13:FC13"/>
    <mergeCell ref="EX14:EY14"/>
    <mergeCell ref="BN14:BO14"/>
    <mergeCell ref="BG11:BJ11"/>
    <mergeCell ref="BG12:BH12"/>
    <mergeCell ref="BI12:BJ12"/>
    <mergeCell ref="BK12:BL12"/>
    <mergeCell ref="BG13:BH13"/>
    <mergeCell ref="BI13:BJ13"/>
    <mergeCell ref="BK13:BL13"/>
    <mergeCell ref="CN16:CO16"/>
    <mergeCell ref="CL15:CM15"/>
    <mergeCell ref="CN15:CO15"/>
    <mergeCell ref="CL16:CM16"/>
    <mergeCell ref="CD16:CE16"/>
    <mergeCell ref="CD15:CE15"/>
    <mergeCell ref="EX18:EY18"/>
    <mergeCell ref="EZ18:FA18"/>
    <mergeCell ref="EZ14:FA14"/>
    <mergeCell ref="EX15:EY15"/>
    <mergeCell ref="EZ15:FA15"/>
    <mergeCell ref="EX16:EY16"/>
    <mergeCell ref="EZ16:FA16"/>
    <mergeCell ref="EX17:EY17"/>
    <mergeCell ref="EZ17:FA17"/>
    <mergeCell ref="FS9:FU9"/>
    <mergeCell ref="FO9:FQ9"/>
    <mergeCell ref="FF16:FG16"/>
    <mergeCell ref="FH16:FI16"/>
    <mergeCell ref="FF17:FG17"/>
    <mergeCell ref="FH17:FI17"/>
    <mergeCell ref="FF18:FG18"/>
    <mergeCell ref="FH18:FI18"/>
    <mergeCell ref="FH13:FI13"/>
    <mergeCell ref="FJ13:FK13"/>
    <mergeCell ref="FF14:FG14"/>
    <mergeCell ref="FH14:FI14"/>
    <mergeCell ref="FF15:FG15"/>
    <mergeCell ref="FH15:FI15"/>
    <mergeCell ref="FF9:FK9"/>
    <mergeCell ref="FF11:FI11"/>
    <mergeCell ref="FF12:FG12"/>
    <mergeCell ref="FH12:FI12"/>
    <mergeCell ref="FJ12:FK12"/>
    <mergeCell ref="FF13:FG13"/>
  </mergeCells>
  <phoneticPr fontId="21"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DFF87E-1B79-473A-8D37-12CE8FD8A8FF}">
  <sheetPr>
    <tabColor theme="4" tint="0.59999389629810485"/>
  </sheetPr>
  <dimension ref="A1:AI29"/>
  <sheetViews>
    <sheetView topLeftCell="J1" workbookViewId="0">
      <selection activeCell="N32" sqref="N32"/>
    </sheetView>
  </sheetViews>
  <sheetFormatPr defaultRowHeight="15"/>
  <cols>
    <col min="1" max="1" width="16.28515625" customWidth="1"/>
    <col min="3" max="3" width="14" bestFit="1" customWidth="1"/>
    <col min="9" max="9" width="9.140625" customWidth="1"/>
    <col min="10" max="11" width="17" bestFit="1" customWidth="1"/>
    <col min="12" max="13" width="9.140625" customWidth="1"/>
    <col min="14" max="14" width="17" bestFit="1" customWidth="1"/>
    <col min="15" max="19" width="9.140625" customWidth="1"/>
    <col min="20" max="20" width="17" bestFit="1" customWidth="1"/>
    <col min="21" max="21" width="9.140625" customWidth="1"/>
    <col min="24" max="24" width="8.85546875" customWidth="1"/>
    <col min="28" max="28" width="17" bestFit="1" customWidth="1"/>
  </cols>
  <sheetData>
    <row r="1" spans="1:35">
      <c r="A1" s="700" t="s">
        <v>1247</v>
      </c>
      <c r="B1" s="1425">
        <f>Corrosion!E4</f>
        <v>20</v>
      </c>
      <c r="C1" s="1426"/>
      <c r="D1" s="1427" t="s">
        <v>21</v>
      </c>
      <c r="E1" s="1428"/>
      <c r="F1" s="706"/>
      <c r="G1" s="701"/>
      <c r="H1" s="707"/>
      <c r="I1" s="669"/>
      <c r="J1" s="669"/>
      <c r="K1" s="669"/>
      <c r="L1" s="669"/>
      <c r="M1" s="669"/>
      <c r="N1" s="669"/>
      <c r="O1" s="669"/>
      <c r="P1" s="210"/>
      <c r="Q1" s="210"/>
      <c r="R1" s="528"/>
      <c r="S1" s="210"/>
      <c r="T1" s="210"/>
      <c r="U1" s="669"/>
      <c r="V1" s="669"/>
      <c r="W1" s="669"/>
      <c r="X1" s="669"/>
      <c r="Y1" s="669"/>
      <c r="Z1" s="669"/>
      <c r="AA1" s="210"/>
      <c r="AB1" s="210"/>
      <c r="AC1" s="669"/>
      <c r="AD1" s="669"/>
      <c r="AE1" s="210"/>
      <c r="AF1" s="210"/>
      <c r="AG1" s="210"/>
      <c r="AH1" s="210"/>
      <c r="AI1" s="211"/>
    </row>
    <row r="2" spans="1:35">
      <c r="A2" s="702" t="s">
        <v>545</v>
      </c>
      <c r="B2" s="1399">
        <f>IF(B1&gt;12.75,2,1)</f>
        <v>2</v>
      </c>
      <c r="C2" s="1400"/>
      <c r="D2" s="1429" t="s">
        <v>1345</v>
      </c>
      <c r="E2" s="1430"/>
      <c r="F2" s="562"/>
      <c r="G2" s="703"/>
      <c r="H2" s="708"/>
      <c r="I2" s="382"/>
      <c r="J2" s="382"/>
      <c r="M2" s="382"/>
      <c r="N2" s="382"/>
      <c r="O2" s="382"/>
      <c r="R2" s="532"/>
      <c r="U2" s="382"/>
      <c r="V2" s="382"/>
      <c r="W2" s="382"/>
      <c r="X2" s="382"/>
      <c r="Y2" s="382"/>
      <c r="Z2" s="382"/>
      <c r="AC2" s="382"/>
      <c r="AD2" s="382"/>
      <c r="AI2" s="47"/>
    </row>
    <row r="3" spans="1:35" ht="15.75" thickBot="1">
      <c r="A3" s="702" t="s">
        <v>1252</v>
      </c>
      <c r="B3" s="1431">
        <f>'Girth Weld Calc (GW)'!H2</f>
        <v>0</v>
      </c>
      <c r="C3" s="1431"/>
      <c r="D3" s="1221" t="s">
        <v>810</v>
      </c>
      <c r="E3" s="1221"/>
      <c r="F3" s="268"/>
      <c r="G3" s="666"/>
      <c r="H3" s="665"/>
      <c r="I3" s="382"/>
      <c r="J3" s="382"/>
      <c r="M3" s="382"/>
      <c r="N3" s="382"/>
      <c r="O3" s="382"/>
      <c r="R3" s="532"/>
      <c r="U3" s="382"/>
      <c r="V3" s="382"/>
      <c r="W3" s="382"/>
      <c r="X3" s="382"/>
      <c r="Y3" s="382"/>
      <c r="Z3" s="382"/>
      <c r="AC3" s="382"/>
      <c r="AD3" s="382"/>
      <c r="AI3" s="47"/>
    </row>
    <row r="4" spans="1:35" ht="15.75" thickBot="1">
      <c r="A4" s="704"/>
      <c r="G4" s="47"/>
      <c r="H4" s="532"/>
      <c r="J4" s="1230" t="s">
        <v>1352</v>
      </c>
      <c r="K4" s="1231"/>
      <c r="L4" s="1231"/>
      <c r="M4" s="1231"/>
      <c r="N4" s="1231"/>
      <c r="O4" s="1232"/>
      <c r="R4" s="532"/>
      <c r="T4" s="1230" t="s">
        <v>1353</v>
      </c>
      <c r="U4" s="1231"/>
      <c r="V4" s="1231"/>
      <c r="W4" s="1231"/>
      <c r="X4" s="1231"/>
      <c r="Y4" s="1231"/>
      <c r="Z4" s="1231"/>
      <c r="AA4" s="1231"/>
      <c r="AB4" s="1231"/>
      <c r="AC4" s="1231"/>
      <c r="AD4" s="1231"/>
      <c r="AE4" s="1231"/>
      <c r="AF4" s="1231"/>
      <c r="AG4" s="1232"/>
      <c r="AI4" s="47"/>
    </row>
    <row r="5" spans="1:35" ht="15.75" thickBot="1">
      <c r="A5" s="704"/>
      <c r="G5" s="47"/>
      <c r="H5" s="532"/>
      <c r="R5" s="532"/>
      <c r="Z5" s="382"/>
      <c r="AC5" s="382"/>
      <c r="AD5" s="382"/>
      <c r="AI5" s="47"/>
    </row>
    <row r="6" spans="1:35" ht="15.75" thickBot="1">
      <c r="A6" s="704"/>
      <c r="B6" s="382"/>
      <c r="C6" s="382" t="s">
        <v>1264</v>
      </c>
      <c r="D6" s="382"/>
      <c r="G6" s="47"/>
      <c r="H6" s="532"/>
      <c r="J6" s="1230" t="s">
        <v>518</v>
      </c>
      <c r="K6" s="1232"/>
      <c r="N6" s="1230" t="s">
        <v>543</v>
      </c>
      <c r="O6" s="1232"/>
      <c r="R6" s="532"/>
      <c r="T6" s="1230" t="s">
        <v>518</v>
      </c>
      <c r="U6" s="1231"/>
      <c r="V6" s="1231"/>
      <c r="W6" s="1231"/>
      <c r="X6" s="1231"/>
      <c r="Y6" s="1232"/>
      <c r="Z6" s="382"/>
      <c r="AB6" s="1230" t="s">
        <v>543</v>
      </c>
      <c r="AC6" s="1231"/>
      <c r="AD6" s="1231"/>
      <c r="AE6" s="1231"/>
      <c r="AF6" s="1231"/>
      <c r="AG6" s="1232"/>
      <c r="AI6" s="47"/>
    </row>
    <row r="7" spans="1:35">
      <c r="A7" s="704"/>
      <c r="B7" s="382"/>
      <c r="C7" s="558">
        <f>'Girth Weld Calc (GW)'!W9</f>
        <v>5.333333333333333</v>
      </c>
      <c r="D7" s="558">
        <f>'Girth Weld Calc (GW)'!X9</f>
        <v>1</v>
      </c>
      <c r="G7" s="47"/>
      <c r="H7" s="532"/>
      <c r="R7" s="532"/>
      <c r="AD7" s="382"/>
      <c r="AI7" s="47"/>
    </row>
    <row r="8" spans="1:35">
      <c r="A8" s="704"/>
      <c r="B8" s="382"/>
      <c r="C8" s="382"/>
      <c r="D8" s="382"/>
      <c r="G8" s="47"/>
      <c r="H8" s="532"/>
      <c r="R8" s="532"/>
      <c r="AD8" s="382"/>
      <c r="AI8" s="47"/>
    </row>
    <row r="9" spans="1:35" ht="15.75">
      <c r="A9" s="704"/>
      <c r="B9" s="382"/>
      <c r="C9" s="382"/>
      <c r="D9" s="382"/>
      <c r="G9" s="47"/>
      <c r="H9" s="532"/>
      <c r="J9" s="693" t="s">
        <v>90</v>
      </c>
      <c r="K9" s="694" t="s">
        <v>91</v>
      </c>
      <c r="N9" s="693" t="s">
        <v>90</v>
      </c>
      <c r="O9" s="694" t="s">
        <v>91</v>
      </c>
      <c r="R9" s="532"/>
      <c r="T9" s="693" t="s">
        <v>90</v>
      </c>
      <c r="U9" s="694" t="s">
        <v>91</v>
      </c>
      <c r="AB9" s="693" t="s">
        <v>90</v>
      </c>
      <c r="AC9" s="694" t="s">
        <v>91</v>
      </c>
      <c r="AD9" s="382"/>
      <c r="AI9" s="47"/>
    </row>
    <row r="10" spans="1:35" ht="15.75">
      <c r="A10" s="704"/>
      <c r="B10" s="382"/>
      <c r="C10" s="558">
        <f>'Girth Weld Calc (GW)'!W12</f>
        <v>5.333333333333333</v>
      </c>
      <c r="D10" s="558">
        <f>'Girth Weld Calc (GW)'!X12</f>
        <v>1</v>
      </c>
      <c r="G10" s="47"/>
      <c r="H10" s="532"/>
      <c r="J10" s="437" t="s">
        <v>218</v>
      </c>
      <c r="K10" s="438">
        <f>'(GW) (A) (Full)'!BW8</f>
        <v>1</v>
      </c>
      <c r="N10" s="437" t="s">
        <v>218</v>
      </c>
      <c r="O10" s="438">
        <f>'(GW) (A) (Full)'!CB8</f>
        <v>1</v>
      </c>
      <c r="R10" s="532"/>
      <c r="T10" s="437" t="s">
        <v>218</v>
      </c>
      <c r="U10" s="438">
        <f>'(GW) (A) (Cut)'!FP13</f>
        <v>1</v>
      </c>
      <c r="AB10" s="437" t="s">
        <v>218</v>
      </c>
      <c r="AC10" s="438">
        <f>'(GW) (A) (Cut)'!FT13</f>
        <v>1</v>
      </c>
      <c r="AD10" s="382"/>
      <c r="AI10" s="47"/>
    </row>
    <row r="11" spans="1:35" ht="15.75">
      <c r="A11" s="704"/>
      <c r="B11" s="382"/>
      <c r="C11" s="382"/>
      <c r="D11" s="382"/>
      <c r="G11" s="47"/>
      <c r="H11" s="532"/>
      <c r="J11" s="439" t="s">
        <v>223</v>
      </c>
      <c r="K11" s="438">
        <f>'(GW) (A) (Full)'!BW9</f>
        <v>0</v>
      </c>
      <c r="N11" s="439" t="s">
        <v>223</v>
      </c>
      <c r="O11" s="438">
        <f>'(GW) (A) (Full)'!CB9</f>
        <v>0</v>
      </c>
      <c r="R11" s="532"/>
      <c r="T11" s="439" t="s">
        <v>223</v>
      </c>
      <c r="U11" s="438">
        <f>'(GW) (A) (Cut)'!FP14</f>
        <v>0</v>
      </c>
      <c r="AA11" s="382"/>
      <c r="AB11" s="439" t="s">
        <v>223</v>
      </c>
      <c r="AC11" s="438">
        <f>'(GW) (A) (Cut)'!FT14</f>
        <v>0</v>
      </c>
      <c r="AD11" s="382"/>
      <c r="AI11" s="47"/>
    </row>
    <row r="12" spans="1:35">
      <c r="A12" s="704"/>
      <c r="B12" s="382"/>
      <c r="C12" s="382"/>
      <c r="D12" s="382"/>
      <c r="G12" s="47"/>
      <c r="H12" s="532"/>
      <c r="R12" s="532"/>
      <c r="W12" s="382"/>
      <c r="AA12" s="382"/>
      <c r="AC12" s="382"/>
      <c r="AD12" s="382"/>
      <c r="AI12" s="47"/>
    </row>
    <row r="13" spans="1:35" ht="15.75" thickBot="1">
      <c r="A13" s="704"/>
      <c r="B13" s="382"/>
      <c r="C13" s="558">
        <f>'Girth Weld Calc (GW)'!W15</f>
        <v>5.416666666666667</v>
      </c>
      <c r="D13" s="558">
        <f>'Girth Weld Calc (GW)'!X15</f>
        <v>1</v>
      </c>
      <c r="G13" s="47"/>
      <c r="H13" s="532"/>
      <c r="R13" s="532"/>
      <c r="W13" s="382"/>
      <c r="AA13" s="382"/>
      <c r="AC13" s="382"/>
      <c r="AD13" s="382"/>
      <c r="AI13" s="47"/>
    </row>
    <row r="14" spans="1:35" ht="15.75" thickBot="1">
      <c r="A14" s="704"/>
      <c r="B14" s="382"/>
      <c r="C14" s="382"/>
      <c r="D14" s="382"/>
      <c r="G14" s="47"/>
      <c r="H14" s="532"/>
      <c r="R14" s="532"/>
      <c r="T14" s="1263" t="str">
        <f>'(GW) (A) (Cut)'!EX11</f>
        <v>12.30 (1)</v>
      </c>
      <c r="U14" s="1233"/>
      <c r="V14" s="1233"/>
      <c r="W14" s="1234"/>
      <c r="AA14" s="382"/>
      <c r="AB14" s="1263" t="str">
        <f>'(GW) (A) (Cut)'!FF11</f>
        <v>12.30 (1)</v>
      </c>
      <c r="AC14" s="1233"/>
      <c r="AD14" s="1233"/>
      <c r="AE14" s="1234"/>
      <c r="AI14" s="47"/>
    </row>
    <row r="15" spans="1:35" ht="15.75" thickBot="1">
      <c r="A15" s="704"/>
      <c r="B15" s="382"/>
      <c r="C15" s="382" t="s">
        <v>1354</v>
      </c>
      <c r="D15" s="382"/>
      <c r="G15" s="47"/>
      <c r="H15" s="532"/>
      <c r="R15" s="532"/>
      <c r="T15" s="1266" t="str">
        <f>'(GW) (A) (Cut)'!EX12</f>
        <v>12"</v>
      </c>
      <c r="U15" s="1267"/>
      <c r="V15" s="1266" t="str">
        <f>'(GW) (A) (Cut)'!EZ12</f>
        <v>12"</v>
      </c>
      <c r="W15" s="1267"/>
      <c r="X15" s="1266" t="str">
        <f>'(GW) (A) (Cut)'!FB12</f>
        <v>OVERFLOW</v>
      </c>
      <c r="Y15" s="1267"/>
      <c r="AA15" s="382"/>
      <c r="AB15" s="1266" t="str">
        <f>'(GW) (A) (Cut)'!FF12</f>
        <v>12"</v>
      </c>
      <c r="AC15" s="1267"/>
      <c r="AD15" s="1266" t="str">
        <f>'(GW) (A) (Cut)'!FH12</f>
        <v>12"</v>
      </c>
      <c r="AE15" s="1267"/>
      <c r="AF15" s="1266" t="str">
        <f>'(GW) (A) (Cut)'!FJ12</f>
        <v>OVERFLOW</v>
      </c>
      <c r="AG15" s="1267"/>
      <c r="AI15" s="47"/>
    </row>
    <row r="16" spans="1:35" ht="15.75" thickBot="1">
      <c r="A16" s="704"/>
      <c r="B16" s="382" t="s">
        <v>229</v>
      </c>
      <c r="C16" s="558">
        <f>'Girth Weld Calc (GW)'!W21</f>
        <v>24</v>
      </c>
      <c r="D16" s="382"/>
      <c r="G16" s="47"/>
      <c r="H16" s="532"/>
      <c r="R16" s="532"/>
      <c r="T16" s="1261" t="str">
        <f>'(GW) (A) (Cut)'!EX13</f>
        <v xml:space="preserve"> 6' (1)</v>
      </c>
      <c r="U16" s="1237"/>
      <c r="V16" s="1261" t="str">
        <f>'(GW) (A) (Cut)'!EZ13</f>
        <v/>
      </c>
      <c r="W16" s="1237"/>
      <c r="X16" s="1266" t="str">
        <f>'(GW) (A) (Cut)'!FB13</f>
        <v>Total 12'</v>
      </c>
      <c r="Y16" s="1267"/>
      <c r="AA16" s="382"/>
      <c r="AB16" s="1261" t="str">
        <f>'(GW) (A) (Cut)'!FF13</f>
        <v xml:space="preserve"> 6' (1)</v>
      </c>
      <c r="AC16" s="1237"/>
      <c r="AD16" s="1261" t="str">
        <f>'(GW) (A) (Cut)'!FH13</f>
        <v/>
      </c>
      <c r="AE16" s="1237"/>
      <c r="AF16" s="1266" t="str">
        <f>'(GW) (A) (Cut)'!FJ13</f>
        <v>Total 12'</v>
      </c>
      <c r="AG16" s="1267"/>
      <c r="AI16" s="47"/>
    </row>
    <row r="17" spans="1:35" ht="15.75" thickBot="1">
      <c r="A17" s="704"/>
      <c r="G17" s="47"/>
      <c r="H17" s="532"/>
      <c r="R17" s="532"/>
      <c r="T17" s="1260" t="str">
        <f>'(GW) (A) (Cut)'!EX14</f>
        <v xml:space="preserve"> 6' (1)</v>
      </c>
      <c r="U17" s="1226"/>
      <c r="V17" s="1260" t="str">
        <f>'(GW) (A) (Cut)'!EZ14</f>
        <v/>
      </c>
      <c r="W17" s="1226"/>
      <c r="X17" s="637">
        <f>'(GW) (A) (Cut)'!FB14</f>
        <v>0</v>
      </c>
      <c r="Y17" s="648" t="str">
        <f>'(GW) (A) (Cut)'!FC14</f>
        <v>0' rolls</v>
      </c>
      <c r="AA17" s="382"/>
      <c r="AB17" s="1260" t="str">
        <f>'(GW) (A) (Cut)'!FF14</f>
        <v xml:space="preserve"> 6' (1)</v>
      </c>
      <c r="AC17" s="1226"/>
      <c r="AD17" s="1260" t="str">
        <f>'(GW) (A) (Cut)'!FH14</f>
        <v/>
      </c>
      <c r="AE17" s="1226"/>
      <c r="AF17" s="637">
        <f>'(GW) (A) (Cut)'!FJ14</f>
        <v>0</v>
      </c>
      <c r="AG17" s="648" t="str">
        <f>'(GW) (A) (Cut)'!FK14</f>
        <v>0' rolls</v>
      </c>
      <c r="AI17" s="47"/>
    </row>
    <row r="18" spans="1:35" ht="15.75" thickBot="1">
      <c r="A18" s="704"/>
      <c r="G18" s="47"/>
      <c r="H18" s="532"/>
      <c r="R18" s="532"/>
      <c r="T18" s="1260" t="str">
        <f>'(GW) (A) (Cut)'!EX15</f>
        <v xml:space="preserve"> 6' (1)</v>
      </c>
      <c r="U18" s="1226"/>
      <c r="V18" s="1260" t="str">
        <f>'(GW) (A) (Cut)'!EZ15</f>
        <v/>
      </c>
      <c r="W18" s="1226"/>
      <c r="X18" s="637">
        <f>'(GW) (A) (Cut)'!FB15</f>
        <v>1</v>
      </c>
      <c r="Y18" s="648" t="str">
        <f>'(GW) (A) (Cut)'!FC15</f>
        <v>12' rolls</v>
      </c>
      <c r="Z18" s="382"/>
      <c r="AA18" s="382"/>
      <c r="AB18" s="1260" t="str">
        <f>'(GW) (A) (Cut)'!FF15</f>
        <v xml:space="preserve"> 6' (1)</v>
      </c>
      <c r="AC18" s="1226"/>
      <c r="AD18" s="1260" t="str">
        <f>'(GW) (A) (Cut)'!FH15</f>
        <v/>
      </c>
      <c r="AE18" s="1226"/>
      <c r="AF18" s="637">
        <f>'(GW) (A) (Cut)'!FJ15</f>
        <v>1</v>
      </c>
      <c r="AG18" s="648" t="str">
        <f>'(GW) (A) (Cut)'!FK15</f>
        <v>12' rolls</v>
      </c>
      <c r="AI18" s="47"/>
    </row>
    <row r="19" spans="1:35" ht="15.75" thickBot="1">
      <c r="A19" s="705"/>
      <c r="B19" s="46"/>
      <c r="C19" s="46"/>
      <c r="D19" s="46"/>
      <c r="E19" s="46"/>
      <c r="F19" s="46"/>
      <c r="G19" s="664"/>
      <c r="H19" s="663"/>
      <c r="I19" s="46"/>
      <c r="J19" s="46"/>
      <c r="K19" s="46"/>
      <c r="L19" s="46"/>
      <c r="M19" s="46"/>
      <c r="N19" s="46"/>
      <c r="O19" s="46"/>
      <c r="P19" s="46"/>
      <c r="Q19" s="46"/>
      <c r="R19" s="532"/>
      <c r="T19" s="1260" t="str">
        <f>'(GW) (A) (Cut)'!EX16</f>
        <v/>
      </c>
      <c r="U19" s="1226"/>
      <c r="V19" s="1260" t="str">
        <f>'(GW) (A) (Cut)'!EZ16</f>
        <v/>
      </c>
      <c r="W19" s="1226"/>
      <c r="X19" s="642">
        <f>'(GW) (A) (Cut)'!FB16</f>
        <v>0</v>
      </c>
      <c r="Y19" s="649" t="str">
        <f>'(GW) (A) (Cut)'!FC16</f>
        <v>0' rolls</v>
      </c>
      <c r="Z19" s="382"/>
      <c r="AA19" s="382"/>
      <c r="AB19" s="1260" t="str">
        <f>'(GW) (A) (Cut)'!FF16</f>
        <v/>
      </c>
      <c r="AC19" s="1226"/>
      <c r="AD19" s="1260" t="str">
        <f>'(GW) (A) (Cut)'!FH16</f>
        <v/>
      </c>
      <c r="AE19" s="1226"/>
      <c r="AF19" s="642">
        <f>'(GW) (A) (Cut)'!FJ16</f>
        <v>0</v>
      </c>
      <c r="AG19" s="649" t="str">
        <f>'(GW) (A) (Cut)'!FK16</f>
        <v>0' rolls</v>
      </c>
      <c r="AI19" s="47"/>
    </row>
    <row r="20" spans="1:35" ht="15.75" thickBot="1">
      <c r="A20" s="382"/>
      <c r="R20" s="532"/>
      <c r="T20" s="1260" t="str">
        <f>'(GW) (A) (Cut)'!EX17</f>
        <v/>
      </c>
      <c r="U20" s="1226"/>
      <c r="V20" s="1260" t="str">
        <f>'(GW) (A) (Cut)'!EZ17</f>
        <v/>
      </c>
      <c r="W20" s="1226"/>
      <c r="Z20" s="382"/>
      <c r="AA20" s="382"/>
      <c r="AB20" s="1260" t="str">
        <f>'(GW) (A) (Cut)'!FF17</f>
        <v/>
      </c>
      <c r="AC20" s="1226"/>
      <c r="AD20" s="1260" t="str">
        <f>'(GW) (A) (Cut)'!FH17</f>
        <v/>
      </c>
      <c r="AE20" s="1226"/>
      <c r="AI20" s="47"/>
    </row>
    <row r="21" spans="1:35" ht="15.75" thickBot="1">
      <c r="A21" s="382"/>
      <c r="R21" s="532"/>
      <c r="T21" s="1257" t="str">
        <f>'(GW) (A) (Cut)'!EX18</f>
        <v/>
      </c>
      <c r="U21" s="1229"/>
      <c r="V21" s="1257" t="str">
        <f>'(GW) (A) (Cut)'!EZ18</f>
        <v/>
      </c>
      <c r="W21" s="1229"/>
      <c r="X21" s="552">
        <f>'(GW) (A) (Cut)'!FB18</f>
        <v>1</v>
      </c>
      <c r="Y21" s="552">
        <f>'(GW) (A) (Cut)'!FC18</f>
        <v>30</v>
      </c>
      <c r="Z21" s="382"/>
      <c r="AA21" s="382"/>
      <c r="AB21" s="1257" t="str">
        <f>'(GW) (A) (Cut)'!FF18</f>
        <v/>
      </c>
      <c r="AC21" s="1229"/>
      <c r="AD21" s="1257" t="str">
        <f>'(GW) (A) (Cut)'!FH18</f>
        <v/>
      </c>
      <c r="AE21" s="1229"/>
      <c r="AF21" s="552">
        <f>'(GW) (A) (Cut)'!FJ18</f>
        <v>1</v>
      </c>
      <c r="AG21" s="552">
        <f>'(GW) (A) (Cut)'!FK18</f>
        <v>30</v>
      </c>
      <c r="AI21" s="47"/>
    </row>
    <row r="22" spans="1:35">
      <c r="A22" s="382"/>
      <c r="R22" s="532"/>
      <c r="Z22" s="382"/>
      <c r="AA22" s="382"/>
      <c r="AI22" s="47"/>
    </row>
    <row r="23" spans="1:35">
      <c r="A23" s="382"/>
      <c r="R23" s="532"/>
      <c r="Z23" s="382"/>
      <c r="AA23" s="382"/>
      <c r="AI23" s="47"/>
    </row>
    <row r="24" spans="1:35">
      <c r="A24" s="382"/>
      <c r="R24" s="532"/>
      <c r="Z24" s="382"/>
      <c r="AA24" s="382"/>
      <c r="AI24" s="47"/>
    </row>
    <row r="25" spans="1:35" ht="15.75" thickBot="1">
      <c r="A25" s="382"/>
      <c r="P25" s="262"/>
      <c r="Q25" s="262"/>
      <c r="R25" s="663"/>
      <c r="S25" s="46"/>
      <c r="T25" s="46"/>
      <c r="U25" s="46"/>
      <c r="V25" s="46"/>
      <c r="W25" s="46"/>
      <c r="X25" s="46"/>
      <c r="Y25" s="46"/>
      <c r="Z25" s="668"/>
      <c r="AA25" s="46"/>
      <c r="AB25" s="46"/>
      <c r="AC25" s="46"/>
      <c r="AD25" s="46"/>
      <c r="AE25" s="46"/>
      <c r="AF25" s="46"/>
      <c r="AG25" s="46"/>
      <c r="AH25" s="46"/>
      <c r="AI25" s="664"/>
    </row>
    <row r="26" spans="1:35">
      <c r="A26" s="382"/>
      <c r="P26" s="262"/>
      <c r="Q26" s="262"/>
      <c r="W26" s="382"/>
      <c r="X26" s="382"/>
      <c r="Y26" s="382"/>
      <c r="Z26" s="571"/>
      <c r="AA26" s="382"/>
    </row>
    <row r="27" spans="1:35">
      <c r="A27" s="382"/>
      <c r="P27" s="262"/>
      <c r="Q27" s="262"/>
    </row>
    <row r="28" spans="1:35">
      <c r="A28" s="382"/>
      <c r="P28" s="262"/>
      <c r="Q28" s="262"/>
    </row>
    <row r="29" spans="1:35">
      <c r="A29" s="382"/>
      <c r="P29" s="262"/>
      <c r="Q29" s="262"/>
    </row>
  </sheetData>
  <mergeCells count="46">
    <mergeCell ref="B1:C1"/>
    <mergeCell ref="D1:E1"/>
    <mergeCell ref="B2:C2"/>
    <mergeCell ref="D2:E2"/>
    <mergeCell ref="J4:O4"/>
    <mergeCell ref="X15:Y15"/>
    <mergeCell ref="T4:AG4"/>
    <mergeCell ref="T6:Y6"/>
    <mergeCell ref="T19:U19"/>
    <mergeCell ref="B3:C3"/>
    <mergeCell ref="D3:E3"/>
    <mergeCell ref="J6:K6"/>
    <mergeCell ref="N6:O6"/>
    <mergeCell ref="T18:U18"/>
    <mergeCell ref="V18:W18"/>
    <mergeCell ref="T14:W14"/>
    <mergeCell ref="T15:U15"/>
    <mergeCell ref="V15:W15"/>
    <mergeCell ref="T16:U16"/>
    <mergeCell ref="V16:W16"/>
    <mergeCell ref="X16:Y16"/>
    <mergeCell ref="T21:U21"/>
    <mergeCell ref="V21:W21"/>
    <mergeCell ref="AB21:AC21"/>
    <mergeCell ref="AD21:AE21"/>
    <mergeCell ref="AB16:AC16"/>
    <mergeCell ref="AD16:AE16"/>
    <mergeCell ref="T17:U17"/>
    <mergeCell ref="V17:W17"/>
    <mergeCell ref="V19:W19"/>
    <mergeCell ref="T20:U20"/>
    <mergeCell ref="V20:W20"/>
    <mergeCell ref="AB6:AG6"/>
    <mergeCell ref="AB19:AC19"/>
    <mergeCell ref="AD19:AE19"/>
    <mergeCell ref="AB20:AC20"/>
    <mergeCell ref="AD20:AE20"/>
    <mergeCell ref="AB14:AE14"/>
    <mergeCell ref="AB15:AC15"/>
    <mergeCell ref="AD15:AE15"/>
    <mergeCell ref="AF15:AG15"/>
    <mergeCell ref="AF16:AG16"/>
    <mergeCell ref="AB17:AC17"/>
    <mergeCell ref="AD17:AE17"/>
    <mergeCell ref="AB18:AC18"/>
    <mergeCell ref="AD18:AE18"/>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42F53F-EBBD-4D97-A1B5-5E67BEA6540D}">
  <sheetPr>
    <tabColor theme="4" tint="0.59999389629810485"/>
  </sheetPr>
  <dimension ref="A2:CC95"/>
  <sheetViews>
    <sheetView zoomScaleNormal="100" workbookViewId="0">
      <selection activeCell="C14" sqref="C14"/>
    </sheetView>
  </sheetViews>
  <sheetFormatPr defaultRowHeight="15"/>
  <cols>
    <col min="2" max="2" width="28" bestFit="1" customWidth="1"/>
    <col min="7" max="7" width="10.42578125" customWidth="1"/>
    <col min="8" max="11" width="0" hidden="1" customWidth="1"/>
    <col min="12" max="12" width="25.85546875" hidden="1" customWidth="1"/>
    <col min="13" max="48" width="0" hidden="1" customWidth="1"/>
    <col min="51" max="51" width="0" hidden="1" customWidth="1"/>
    <col min="54" max="57" width="0" hidden="1" customWidth="1"/>
    <col min="62" max="62" width="0" hidden="1" customWidth="1"/>
    <col min="79" max="79" width="18.85546875" style="268" customWidth="1"/>
    <col min="80" max="81" width="9.140625" style="268"/>
  </cols>
  <sheetData>
    <row r="2" spans="2:6">
      <c r="B2" t="s">
        <v>1355</v>
      </c>
      <c r="C2" s="263" t="str">
        <f>'Girth Weld Calc (GW)'!D2</f>
        <v># of Layers</v>
      </c>
    </row>
    <row r="4" spans="2:6">
      <c r="B4" t="s">
        <v>1248</v>
      </c>
      <c r="C4" s="263">
        <f>'Girth Weld Calc (GW)'!AA5</f>
        <v>4</v>
      </c>
      <c r="D4" t="s">
        <v>810</v>
      </c>
    </row>
    <row r="5" spans="2:6">
      <c r="B5" t="s">
        <v>1251</v>
      </c>
      <c r="C5" s="263">
        <f>'Girth Weld Calc (GW)'!W5</f>
        <v>8</v>
      </c>
      <c r="D5" t="s">
        <v>810</v>
      </c>
    </row>
    <row r="6" spans="2:6">
      <c r="C6">
        <v>9</v>
      </c>
      <c r="E6" t="s">
        <v>1356</v>
      </c>
      <c r="F6" s="263" cm="1">
        <f t="array" ref="F6">_xlfn.LET(
_xlpm.maxSections,$C$6*2,
_xlpm.sectionNumbers,_xlfn.SEQUENCE(_xlpm.maxSections),
_xlpm.layerCounts,IF(ISODD(_xlpm.sectionNumbers),$C$8,$C$9),
_xlpm.runningTotal,_xlfn.SCAN(0,_xlpm.layerCounts,_xlfn.LAMBDA(_xlpm.total,_xlpm.x,_xlpm.total+_xlpm.x)),
_xlpm.sectionCount,_xlfn.XMATCH(TRUE,_xlpm.runningTotal&gt;=$C$6,0),
INDEX(_xlpm.runningTotal,_xlpm.sectionCount)
)</f>
        <v>9</v>
      </c>
    </row>
    <row r="7" spans="2:6">
      <c r="B7" t="s">
        <v>1357</v>
      </c>
    </row>
    <row r="8" spans="2:6">
      <c r="B8" t="s">
        <v>1251</v>
      </c>
      <c r="C8" s="263">
        <v>2</v>
      </c>
      <c r="D8" t="s">
        <v>810</v>
      </c>
    </row>
    <row r="9" spans="2:6">
      <c r="B9" t="s">
        <v>1248</v>
      </c>
      <c r="C9" s="263">
        <v>1</v>
      </c>
      <c r="D9" t="s">
        <v>810</v>
      </c>
    </row>
    <row r="10" spans="2:6" ht="15.75" thickBot="1"/>
    <row r="11" spans="2:6" ht="15.75" customHeight="1" thickBot="1">
      <c r="B11" s="632" t="s">
        <v>539</v>
      </c>
    </row>
    <row r="14" spans="2:6">
      <c r="B14" s="358" t="s">
        <v>1358</v>
      </c>
      <c r="C14" s="482">
        <f>'Fabric Calc'!BU5</f>
        <v>0</v>
      </c>
      <c r="D14" t="s">
        <v>75</v>
      </c>
    </row>
    <row r="16" spans="2:6">
      <c r="B16" s="358" t="s">
        <v>1359</v>
      </c>
      <c r="C16" s="676">
        <f>'Fabric Calc'!BU7</f>
        <v>0</v>
      </c>
      <c r="D16" s="358" t="s">
        <v>75</v>
      </c>
    </row>
    <row r="17" spans="1:71" ht="15.75" thickBot="1"/>
    <row r="18" spans="1:71" ht="15.75" thickBot="1">
      <c r="B18" t="s">
        <v>559</v>
      </c>
      <c r="C18" s="657">
        <f>'Fabric Calc'!BU9</f>
        <v>0</v>
      </c>
      <c r="BN18" s="1230" t="s">
        <v>1248</v>
      </c>
      <c r="BO18" s="1231"/>
      <c r="BP18" s="1231"/>
      <c r="BQ18" s="1231"/>
      <c r="BR18" s="1231"/>
      <c r="BS18" s="1232"/>
    </row>
    <row r="19" spans="1:71" ht="15.75" thickBot="1">
      <c r="F19" s="480">
        <f>'Fabric Calc'!BX13</f>
        <v>0</v>
      </c>
      <c r="AW19" s="480">
        <f>'Fabric Calc'!DO13</f>
        <v>0</v>
      </c>
      <c r="AZ19" s="480">
        <f>'Fabric Calc'!DR13</f>
        <v>0</v>
      </c>
      <c r="BF19" s="291">
        <f>'Fabric Calc'!DX13</f>
        <v>0</v>
      </c>
      <c r="BG19" s="291">
        <f>'Fabric Calc'!DY13</f>
        <v>0</v>
      </c>
      <c r="BH19" s="289"/>
      <c r="BI19" s="291">
        <f>'Fabric Calc'!EA13</f>
        <v>0</v>
      </c>
      <c r="BL19" s="480">
        <f>'Fabric Calc'!ED13</f>
        <v>0</v>
      </c>
      <c r="BN19" s="1230" t="s">
        <v>543</v>
      </c>
      <c r="BO19" s="1231"/>
      <c r="BP19" s="1231"/>
      <c r="BQ19" s="1231"/>
      <c r="BR19" s="1231"/>
      <c r="BS19" s="1232"/>
    </row>
    <row r="20" spans="1:71" ht="15.75" thickBot="1">
      <c r="BI20" s="477"/>
    </row>
    <row r="21" spans="1:71" ht="57.75" customHeight="1" thickBot="1">
      <c r="B21" s="681" t="s">
        <v>275</v>
      </c>
      <c r="C21" s="682" t="str">
        <f>"12." &amp; D21 &amp; " "</f>
        <v xml:space="preserve">12.0 </v>
      </c>
      <c r="D21" s="632">
        <f>'Fabric Calc'!FM19</f>
        <v>0</v>
      </c>
      <c r="F21" s="680">
        <f>IF('Girth Weld (Hoop and Axial) WIP'!$D$21='Fabric Calc'!$BV$15,'Fabric Calc'!BX15,'Fabric Calc'!BX17)</f>
        <v>0</v>
      </c>
      <c r="AW21" s="680">
        <f>IF('Girth Weld (Hoop and Axial) WIP'!$D$21='Fabric Calc'!$BV$15,'Fabric Calc'!DO15,'Fabric Calc'!DO17)</f>
        <v>0</v>
      </c>
      <c r="AZ21" s="680">
        <f>IF('Girth Weld (Hoop and Axial) WIP'!$D$21='Fabric Calc'!$BV$15,'Fabric Calc'!DR15,'Fabric Calc'!DR17)</f>
        <v>0</v>
      </c>
      <c r="BF21" s="680">
        <f>IF('Girth Weld (Hoop and Axial) WIP'!$D$21='Fabric Calc'!$BV$15,'Fabric Calc'!DX15,'Fabric Calc'!DX17)</f>
        <v>0</v>
      </c>
      <c r="BG21" s="680">
        <f>IF('Girth Weld (Hoop and Axial) WIP'!$D$21='Fabric Calc'!$BV$15,'Fabric Calc'!DY15,'Fabric Calc'!DY17)</f>
        <v>0</v>
      </c>
      <c r="BI21" s="680">
        <f>IF('Girth Weld (Hoop and Axial) WIP'!$D$21='Fabric Calc'!$BV$15,'Fabric Calc'!EA15,'Fabric Calc'!EA17)</f>
        <v>0</v>
      </c>
      <c r="BL21" s="680">
        <f>IF('Girth Weld (Hoop and Axial) WIP'!$D$21='Fabric Calc'!$BV$15,'Fabric Calc'!ED15,'Fabric Calc'!ED17)</f>
        <v>0</v>
      </c>
      <c r="BN21" s="1230">
        <f>'Fabric Calc (Simple) (WIP)'!AN10</f>
        <v>0</v>
      </c>
      <c r="BO21" s="1231"/>
      <c r="BP21" s="1231"/>
      <c r="BQ21" s="1232"/>
    </row>
    <row r="22" spans="1:71" ht="15.75" thickBot="1">
      <c r="A22" s="479"/>
      <c r="B22" s="479"/>
      <c r="C22" s="479"/>
      <c r="BN22" s="1238">
        <f>'Fabric Calc (Simple) (WIP)'!AN11</f>
        <v>0</v>
      </c>
      <c r="BO22" s="1239"/>
      <c r="BP22" s="1238">
        <f>'Fabric Calc (Simple) (WIP)'!AP11</f>
        <v>0</v>
      </c>
      <c r="BQ22" s="995"/>
      <c r="BR22" s="1230" t="str">
        <f>'Fabric Calc (Simple) (WIP)'!AR11</f>
        <v>OVERFLOW</v>
      </c>
      <c r="BS22" s="1232"/>
    </row>
    <row r="23" spans="1:71" ht="15.75" thickBot="1">
      <c r="BN23" s="1261">
        <f>'Fabric Calc (Simple) (WIP)'!AN12</f>
        <v>0</v>
      </c>
      <c r="BO23" s="1236"/>
      <c r="BP23" s="1261">
        <f>'Fabric Calc (Simple) (WIP)'!AP12</f>
        <v>0</v>
      </c>
      <c r="BQ23" s="1237"/>
      <c r="BR23" s="1236">
        <f>'Fabric Calc (Simple) (WIP)'!AR12</f>
        <v>0</v>
      </c>
      <c r="BS23" s="1237"/>
    </row>
    <row r="24" spans="1:71" ht="15.75" thickBot="1">
      <c r="BN24" s="1260">
        <f>'Fabric Calc (Simple) (WIP)'!AN13</f>
        <v>0</v>
      </c>
      <c r="BO24" s="995"/>
      <c r="BP24" s="1260">
        <f>'Fabric Calc (Simple) (WIP)'!AP13</f>
        <v>0</v>
      </c>
      <c r="BQ24" s="1226"/>
      <c r="BR24" s="671">
        <f>'Fabric Calc (Simple) (WIP)'!AR13</f>
        <v>0</v>
      </c>
      <c r="BS24" s="644">
        <f>'Fabric Calc (Simple) (WIP)'!AS13</f>
        <v>0</v>
      </c>
    </row>
    <row r="25" spans="1:71" ht="15.75" thickBot="1">
      <c r="BN25" s="1260">
        <f>'Fabric Calc (Simple) (WIP)'!AN14</f>
        <v>0</v>
      </c>
      <c r="BO25" s="995"/>
      <c r="BP25" s="1260">
        <f>'Fabric Calc (Simple) (WIP)'!AP14</f>
        <v>0</v>
      </c>
      <c r="BQ25" s="1226"/>
      <c r="BR25" s="671">
        <f>'Fabric Calc (Simple) (WIP)'!AR14</f>
        <v>0</v>
      </c>
      <c r="BS25" s="644">
        <f>'Fabric Calc (Simple) (WIP)'!AS14</f>
        <v>0</v>
      </c>
    </row>
    <row r="26" spans="1:71" ht="15.75" thickBot="1">
      <c r="BN26" s="1260">
        <f>'Fabric Calc (Simple) (WIP)'!AN15</f>
        <v>0</v>
      </c>
      <c r="BO26" s="995"/>
      <c r="BP26" s="1260">
        <f>'Fabric Calc (Simple) (WIP)'!AP15</f>
        <v>0</v>
      </c>
      <c r="BQ26" s="1226"/>
      <c r="BR26" s="670">
        <f>'Fabric Calc (Simple) (WIP)'!AR15</f>
        <v>0</v>
      </c>
      <c r="BS26" s="633">
        <f>'Fabric Calc (Simple) (WIP)'!AS15</f>
        <v>0</v>
      </c>
    </row>
    <row r="27" spans="1:71" ht="15.75" thickBot="1">
      <c r="BN27" s="1260">
        <f>'Fabric Calc (Simple) (WIP)'!AN16</f>
        <v>0</v>
      </c>
      <c r="BO27" s="995"/>
      <c r="BP27" s="1260">
        <f>'Fabric Calc (Simple) (WIP)'!AP16</f>
        <v>0</v>
      </c>
      <c r="BQ27" s="1226"/>
      <c r="BR27" s="1"/>
      <c r="BS27" s="1"/>
    </row>
    <row r="28" spans="1:71" ht="15.75" thickBot="1">
      <c r="BN28" s="1257">
        <f>'Fabric Calc (Simple) (WIP)'!AN17</f>
        <v>0</v>
      </c>
      <c r="BO28" s="1228"/>
      <c r="BP28" s="1257">
        <f>'Fabric Calc (Simple) (WIP)'!AP17</f>
        <v>0</v>
      </c>
      <c r="BQ28" s="1229"/>
      <c r="BR28" s="670">
        <f>'Fabric Calc (Simple) (WIP)'!AR17</f>
        <v>0</v>
      </c>
      <c r="BS28" s="633">
        <f>'Fabric Calc (Simple) (WIP)'!AS17</f>
        <v>0</v>
      </c>
    </row>
    <row r="30" spans="1:71" ht="15.75" thickBot="1"/>
    <row r="31" spans="1:71" ht="15.75" thickBot="1">
      <c r="B31" s="632" t="s">
        <v>540</v>
      </c>
    </row>
    <row r="34" spans="2:71">
      <c r="B34" s="358" t="s">
        <v>1358</v>
      </c>
      <c r="C34" s="482">
        <f>'(GW) (A) (Cut)'!D4</f>
        <v>1</v>
      </c>
      <c r="D34" t="s">
        <v>75</v>
      </c>
    </row>
    <row r="36" spans="2:71">
      <c r="B36" s="358" t="s">
        <v>1359</v>
      </c>
      <c r="C36" s="676">
        <f>'(GW) (A) (Cut)'!D6</f>
        <v>6</v>
      </c>
      <c r="D36" s="358" t="s">
        <v>75</v>
      </c>
    </row>
    <row r="37" spans="2:71" ht="15.75" thickBot="1"/>
    <row r="38" spans="2:71" ht="15.75" thickBot="1">
      <c r="B38" t="s">
        <v>559</v>
      </c>
      <c r="C38" s="657">
        <f>'(GW) (A) (Cut)'!D8</f>
        <v>3</v>
      </c>
      <c r="BN38" s="1230" t="s">
        <v>1251</v>
      </c>
      <c r="BO38" s="1231"/>
      <c r="BP38" s="1231"/>
      <c r="BQ38" s="1231"/>
      <c r="BR38" s="1231"/>
      <c r="BS38" s="1232"/>
    </row>
    <row r="39" spans="2:71" ht="46.5" customHeight="1" thickBot="1">
      <c r="F39" s="480" t="str">
        <f>'(GW) (A) (Cut)'!G12</f>
        <v>Linear foot per (6) ft roll</v>
      </c>
      <c r="H39" s="480" t="e">
        <f>'(GW) (A) (Cut)'!#REF!</f>
        <v>#REF!</v>
      </c>
      <c r="I39" s="480" t="e">
        <f>'(GW) (A) (Cut)'!#REF!</f>
        <v>#REF!</v>
      </c>
      <c r="J39" s="480" t="e">
        <f>'(GW) (A) (Cut)'!#REF!</f>
        <v>#REF!</v>
      </c>
      <c r="K39" s="480">
        <f>'(GW) (A) (Cut)'!I12</f>
        <v>0</v>
      </c>
      <c r="L39" s="480" t="str">
        <f>'(GW) (A) (Cut)'!J12</f>
        <v>full length</v>
      </c>
      <c r="M39" s="480">
        <f>'(GW) (A) (Cut)'!K12</f>
        <v>0</v>
      </c>
      <c r="N39" s="480" t="str">
        <f>'(GW) (A) (Cut)'!L12</f>
        <v>difference in linear ft</v>
      </c>
      <c r="O39" s="480">
        <f>'(GW) (A) (Cut)'!M12</f>
        <v>0</v>
      </c>
      <c r="P39" s="480">
        <f>'(GW) (A) (Cut)'!N12</f>
        <v>0</v>
      </c>
      <c r="Q39" s="480" t="str">
        <f>'(GW) (A) (Cut)'!O12</f>
        <v>number of pieces adjusting for linear ft</v>
      </c>
      <c r="R39" s="480">
        <f>'(GW) (A) (Cut)'!P12</f>
        <v>0</v>
      </c>
      <c r="S39" s="480" t="str">
        <f>'(GW) (A) (Cut)'!Q12</f>
        <v>Total number of pieces</v>
      </c>
      <c r="T39" s="480">
        <f>'(GW) (A) (Cut)'!R12</f>
        <v>0</v>
      </c>
      <c r="U39" s="480">
        <f>'(GW) (A) (Cut)'!S12</f>
        <v>0</v>
      </c>
      <c r="V39" s="480">
        <f>'(GW) (A) (Cut)'!T12</f>
        <v>0</v>
      </c>
      <c r="W39" s="480" t="str">
        <f>'(GW) (A) (Cut)'!U12</f>
        <v>Quantity needed</v>
      </c>
      <c r="X39" s="480" t="e">
        <f>'(GW) (A) (Cut)'!#REF!</f>
        <v>#REF!</v>
      </c>
      <c r="Y39" s="480" t="e">
        <f>'(GW) (A) (Cut)'!#REF!</f>
        <v>#REF!</v>
      </c>
      <c r="Z39" s="480" t="e">
        <f>'(GW) (A) (Cut)'!#REF!</f>
        <v>#REF!</v>
      </c>
      <c r="AA39" s="480" t="e">
        <f>'(GW) (A) (Cut)'!#REF!</f>
        <v>#REF!</v>
      </c>
      <c r="AB39" s="480" t="e">
        <f>'(GW) (A) (Cut)'!#REF!</f>
        <v>#REF!</v>
      </c>
      <c r="AC39" s="480" t="e">
        <f>'(GW) (A) (Cut)'!#REF!</f>
        <v>#REF!</v>
      </c>
      <c r="AD39" s="480" t="e">
        <f>'(GW) (A) (Cut)'!#REF!</f>
        <v>#REF!</v>
      </c>
      <c r="AE39" s="480" t="e">
        <f>'(GW) (A) (Cut)'!#REF!</f>
        <v>#REF!</v>
      </c>
      <c r="AF39" s="480" t="e">
        <f>'(GW) (A) (Cut)'!#REF!</f>
        <v>#REF!</v>
      </c>
      <c r="AG39" s="480" t="e">
        <f>'(GW) (A) (Cut)'!#REF!</f>
        <v>#REF!</v>
      </c>
      <c r="AH39" s="480" t="e">
        <f>'(GW) (A) (Cut)'!#REF!</f>
        <v>#REF!</v>
      </c>
      <c r="AI39" s="480" t="e">
        <f>'(GW) (A) (Cut)'!#REF!</f>
        <v>#REF!</v>
      </c>
      <c r="AJ39" s="480" t="e">
        <f>'(GW) (A) (Cut)'!#REF!</f>
        <v>#REF!</v>
      </c>
      <c r="AK39" s="480" t="e">
        <f>'(GW) (A) (Cut)'!#REF!</f>
        <v>#REF!</v>
      </c>
      <c r="AL39" s="480" t="e">
        <f>'(GW) (A) (Cut)'!#REF!</f>
        <v>#REF!</v>
      </c>
      <c r="AM39" s="480" t="e">
        <f>'(GW) (A) (Cut)'!#REF!</f>
        <v>#REF!</v>
      </c>
      <c r="AN39" s="480" t="e">
        <f>'(GW) (A) (Cut)'!#REF!</f>
        <v>#REF!</v>
      </c>
      <c r="AO39" s="480" t="e">
        <f>'(GW) (A) (Cut)'!#REF!</f>
        <v>#REF!</v>
      </c>
      <c r="AP39" s="480" t="e">
        <f>'(GW) (A) (Cut)'!#REF!</f>
        <v>#REF!</v>
      </c>
      <c r="AQ39" s="480" t="e">
        <f>'(GW) (A) (Cut)'!#REF!</f>
        <v>#REF!</v>
      </c>
      <c r="AR39" s="480" t="e">
        <f>'(GW) (A) (Cut)'!#REF!</f>
        <v>#REF!</v>
      </c>
      <c r="AS39" s="480" t="e">
        <f>'(GW) (A) (Cut)'!#REF!</f>
        <v>#REF!</v>
      </c>
      <c r="AT39" s="480">
        <f>'(GW) (A) (Cut)'!V12</f>
        <v>0</v>
      </c>
      <c r="AU39" s="480" t="str">
        <f>'(GW) (A) (Cut)'!W12</f>
        <v>Name of rolls</v>
      </c>
      <c r="AV39" s="480" t="str">
        <f>'(GW) (A) (Cut)'!X12</f>
        <v># of rolls</v>
      </c>
      <c r="AW39" s="480" t="str">
        <f>'(GW) (A) (Cut)'!Y12</f>
        <v># of pieces per roll</v>
      </c>
      <c r="AY39" s="480" t="str">
        <f>'(GW) (A) (Cut)'!AA12</f>
        <v># of linear feet it can do</v>
      </c>
      <c r="AZ39" s="480" t="str">
        <f>'(GW) (A) (Cut)'!AB12</f>
        <v>Name of pieces</v>
      </c>
      <c r="BB39" s="480" t="e">
        <f>'(GW) (A) (Cut)'!#REF!</f>
        <v>#REF!</v>
      </c>
      <c r="BC39" s="480" t="e">
        <f>'(GW) (A) (Cut)'!#REF!</f>
        <v>#REF!</v>
      </c>
      <c r="BD39" s="480" t="e">
        <f>'(GW) (A) (Cut)'!#REF!</f>
        <v>#REF!</v>
      </c>
      <c r="BE39" s="480">
        <f>'(GW) (A) (Cut)'!AC12</f>
        <v>0</v>
      </c>
      <c r="BF39" s="480" t="str">
        <f>'(GW) (A) (Cut)'!AD12</f>
        <v>Name of other pieces</v>
      </c>
      <c r="BG39" s="480" t="str">
        <f>'(GW) (A) (Cut)'!AE12</f>
        <v>Needed Linear feet</v>
      </c>
      <c r="BI39" s="480" t="str">
        <f>'(GW) (A) (Cut)'!AG12</f>
        <v>Roll Length</v>
      </c>
      <c r="BJ39" s="480">
        <f>'(GW) (A) (Cut)'!AH12</f>
        <v>0</v>
      </c>
      <c r="BL39" s="480" t="str">
        <f>'(GW) (A) (Cut)'!AJ12</f>
        <v>number of pieces</v>
      </c>
      <c r="BN39" s="1230" t="s">
        <v>543</v>
      </c>
      <c r="BO39" s="1231"/>
      <c r="BP39" s="1231"/>
      <c r="BQ39" s="1231"/>
      <c r="BR39" s="1231"/>
      <c r="BS39" s="1232"/>
    </row>
    <row r="40" spans="2:71" ht="15.75" thickBot="1"/>
    <row r="41" spans="2:71" ht="30.75" thickBot="1">
      <c r="B41" s="681" t="s">
        <v>275</v>
      </c>
      <c r="C41" s="682" t="str">
        <f>"12." &amp; D41 &amp; " "</f>
        <v xml:space="preserve">12.30 </v>
      </c>
      <c r="D41" s="632">
        <f>'(GW) (A) (Cut)'!BS18</f>
        <v>30</v>
      </c>
      <c r="F41" s="680">
        <f>IF($D$41='(GW) (A) (Cut)'!$E$14,'(GW) (A) (Cut)'!G14,'(GW) (A) (Cut)'!G16)</f>
        <v>5</v>
      </c>
      <c r="H41" s="680" t="e">
        <f>IF($D$41='(GW) (A) (Cut)'!$E$14,'(GW) (A) (Cut)'!#REF!,'(GW) (A) (Cut)'!#REF!)</f>
        <v>#REF!</v>
      </c>
      <c r="I41" s="680" t="e">
        <f>IF($D$41='(GW) (A) (Cut)'!$E$14,'(GW) (A) (Cut)'!#REF!,'(GW) (A) (Cut)'!#REF!)</f>
        <v>#REF!</v>
      </c>
      <c r="J41" s="680" t="e">
        <f>IF($D$41='(GW) (A) (Cut)'!$E$14,'(GW) (A) (Cut)'!#REF!,'(GW) (A) (Cut)'!#REF!)</f>
        <v>#REF!</v>
      </c>
      <c r="K41" s="680">
        <f>IF($D$41='(GW) (A) (Cut)'!$E$14,'(GW) (A) (Cut)'!I14,'(GW) (A) (Cut)'!I16)</f>
        <v>0</v>
      </c>
      <c r="L41" s="680" t="str">
        <f>IF($D$41='(GW) (A) (Cut)'!$E$14,'(GW) (A) (Cut)'!J14,'(GW) (A) (Cut)'!J16)</f>
        <v>which is (2) Linear foot total</v>
      </c>
      <c r="M41" s="680">
        <f>IF($D$41='(GW) (A) (Cut)'!$E$14,'(GW) (A) (Cut)'!K14,'(GW) (A) (Cut)'!K16)</f>
        <v>0</v>
      </c>
      <c r="N41" s="680">
        <f>IF($D$41='(GW) (A) (Cut)'!$E$14,'(GW) (A) (Cut)'!L14,'(GW) (A) (Cut)'!L16)</f>
        <v>0</v>
      </c>
      <c r="O41" s="680" t="str">
        <f>IF($D$41='(GW) (A) (Cut)'!$E$14,'(GW) (A) (Cut)'!M14,'(GW) (A) (Cut)'!M16)</f>
        <v>which are (3) ft in length</v>
      </c>
      <c r="P41" s="680">
        <f>IF($D$41='(GW) (A) (Cut)'!$E$14,'(GW) (A) (Cut)'!N14,'(GW) (A) (Cut)'!N16)</f>
        <v>0</v>
      </c>
      <c r="Q41" s="680">
        <f>IF($D$41='(GW) (A) (Cut)'!$E$14,'(GW) (A) (Cut)'!O14,'(GW) (A) (Cut)'!O16)</f>
        <v>0</v>
      </c>
      <c r="R41" s="680">
        <f>IF($D$41='(GW) (A) (Cut)'!$E$14,'(GW) (A) (Cut)'!P14,'(GW) (A) (Cut)'!P16)</f>
        <v>0</v>
      </c>
      <c r="S41" s="680">
        <f>IF($D$41='(GW) (A) (Cut)'!$E$14,'(GW) (A) (Cut)'!Q14,'(GW) (A) (Cut)'!Q16)</f>
        <v>5</v>
      </c>
      <c r="T41" s="680">
        <f>IF($D$41='(GW) (A) (Cut)'!$E$14,'(GW) (A) (Cut)'!R14,'(GW) (A) (Cut)'!R16)</f>
        <v>0</v>
      </c>
      <c r="U41" s="680">
        <f>IF($D$41='(GW) (A) (Cut)'!$E$14,'(GW) (A) (Cut)'!S14,'(GW) (A) (Cut)'!S16)</f>
        <v>1</v>
      </c>
      <c r="V41" s="680">
        <f>IF($D$41='(GW) (A) (Cut)'!$E$14,'(GW) (A) (Cut)'!T14,'(GW) (A) (Cut)'!T16)</f>
        <v>0</v>
      </c>
      <c r="W41" s="680">
        <f>IF($D$41='(GW) (A) (Cut)'!$E$14,'(GW) (A) (Cut)'!U14,'(GW) (A) (Cut)'!U16)</f>
        <v>1</v>
      </c>
      <c r="X41" s="680" t="e">
        <f>IF($D$41='(GW) (A) (Cut)'!$E$14,'(GW) (A) (Cut)'!#REF!,'(GW) (A) (Cut)'!#REF!)</f>
        <v>#REF!</v>
      </c>
      <c r="Y41" s="680" t="e">
        <f>IF($D$41='(GW) (A) (Cut)'!$E$14,'(GW) (A) (Cut)'!#REF!,'(GW) (A) (Cut)'!#REF!)</f>
        <v>#REF!</v>
      </c>
      <c r="Z41" s="680" t="e">
        <f>IF($D$41='(GW) (A) (Cut)'!$E$14,'(GW) (A) (Cut)'!#REF!,'(GW) (A) (Cut)'!#REF!)</f>
        <v>#REF!</v>
      </c>
      <c r="AA41" s="680" t="e">
        <f>IF($D$41='(GW) (A) (Cut)'!$E$14,'(GW) (A) (Cut)'!#REF!,'(GW) (A) (Cut)'!#REF!)</f>
        <v>#REF!</v>
      </c>
      <c r="AB41" s="680" t="e">
        <f>IF($D$41='(GW) (A) (Cut)'!$E$14,'(GW) (A) (Cut)'!#REF!,'(GW) (A) (Cut)'!#REF!)</f>
        <v>#REF!</v>
      </c>
      <c r="AC41" s="680" t="e">
        <f>IF($D$41='(GW) (A) (Cut)'!$E$14,'(GW) (A) (Cut)'!#REF!,'(GW) (A) (Cut)'!#REF!)</f>
        <v>#REF!</v>
      </c>
      <c r="AD41" s="680" t="e">
        <f>IF($D$41='(GW) (A) (Cut)'!$E$14,'(GW) (A) (Cut)'!#REF!,'(GW) (A) (Cut)'!#REF!)</f>
        <v>#REF!</v>
      </c>
      <c r="AE41" s="680" t="e">
        <f>IF($D$41='(GW) (A) (Cut)'!$E$14,'(GW) (A) (Cut)'!#REF!,'(GW) (A) (Cut)'!#REF!)</f>
        <v>#REF!</v>
      </c>
      <c r="AF41" s="680" t="e">
        <f>IF($D$41='(GW) (A) (Cut)'!$E$14,'(GW) (A) (Cut)'!#REF!,'(GW) (A) (Cut)'!#REF!)</f>
        <v>#REF!</v>
      </c>
      <c r="AG41" s="680" t="e">
        <f>IF($D$41='(GW) (A) (Cut)'!$E$14,'(GW) (A) (Cut)'!#REF!,'(GW) (A) (Cut)'!#REF!)</f>
        <v>#REF!</v>
      </c>
      <c r="AH41" s="680" t="e">
        <f>IF($D$41='(GW) (A) (Cut)'!$E$14,'(GW) (A) (Cut)'!#REF!,'(GW) (A) (Cut)'!#REF!)</f>
        <v>#REF!</v>
      </c>
      <c r="AI41" s="680" t="e">
        <f>IF($D$41='(GW) (A) (Cut)'!$E$14,'(GW) (A) (Cut)'!#REF!,'(GW) (A) (Cut)'!#REF!)</f>
        <v>#REF!</v>
      </c>
      <c r="AJ41" s="680" t="e">
        <f>IF($D$41='(GW) (A) (Cut)'!$E$14,'(GW) (A) (Cut)'!#REF!,'(GW) (A) (Cut)'!#REF!)</f>
        <v>#REF!</v>
      </c>
      <c r="AK41" s="680" t="e">
        <f>IF($D$41='(GW) (A) (Cut)'!$E$14,'(GW) (A) (Cut)'!#REF!,'(GW) (A) (Cut)'!#REF!)</f>
        <v>#REF!</v>
      </c>
      <c r="AL41" s="680" t="e">
        <f>IF($D$41='(GW) (A) (Cut)'!$E$14,'(GW) (A) (Cut)'!#REF!,'(GW) (A) (Cut)'!#REF!)</f>
        <v>#REF!</v>
      </c>
      <c r="AM41" s="680" t="e">
        <f>IF($D$41='(GW) (A) (Cut)'!$E$14,'(GW) (A) (Cut)'!#REF!,'(GW) (A) (Cut)'!#REF!)</f>
        <v>#REF!</v>
      </c>
      <c r="AN41" s="680" t="e">
        <f>IF($D$41='(GW) (A) (Cut)'!$E$14,'(GW) (A) (Cut)'!#REF!,'(GW) (A) (Cut)'!#REF!)</f>
        <v>#REF!</v>
      </c>
      <c r="AO41" s="680" t="e">
        <f>IF($D$41='(GW) (A) (Cut)'!$E$14,'(GW) (A) (Cut)'!#REF!,'(GW) (A) (Cut)'!#REF!)</f>
        <v>#REF!</v>
      </c>
      <c r="AP41" s="680" t="e">
        <f>IF($D$41='(GW) (A) (Cut)'!$E$14,'(GW) (A) (Cut)'!#REF!,'(GW) (A) (Cut)'!#REF!)</f>
        <v>#REF!</v>
      </c>
      <c r="AQ41" s="680" t="e">
        <f>IF($D$41='(GW) (A) (Cut)'!$E$14,'(GW) (A) (Cut)'!#REF!,'(GW) (A) (Cut)'!#REF!)</f>
        <v>#REF!</v>
      </c>
      <c r="AR41" s="680" t="e">
        <f>IF($D$41='(GW) (A) (Cut)'!$E$14,'(GW) (A) (Cut)'!#REF!,'(GW) (A) (Cut)'!#REF!)</f>
        <v>#REF!</v>
      </c>
      <c r="AS41" s="680" t="e">
        <f>IF($D$41='(GW) (A) (Cut)'!$E$14,'(GW) (A) (Cut)'!#REF!,'(GW) (A) (Cut)'!#REF!)</f>
        <v>#REF!</v>
      </c>
      <c r="AT41" s="680">
        <f>IF($D$41='(GW) (A) (Cut)'!$E$14,'(GW) (A) (Cut)'!V14,'(GW) (A) (Cut)'!V16)</f>
        <v>1</v>
      </c>
      <c r="AU41" s="680">
        <f>IF($D$41='(GW) (A) (Cut)'!$E$14,'(GW) (A) (Cut)'!W14,'(GW) (A) (Cut)'!W16)</f>
        <v>12.15</v>
      </c>
      <c r="AV41" s="680">
        <f>IF($D$41='(GW) (A) (Cut)'!$E$14,'(GW) (A) (Cut)'!X14,'(GW) (A) (Cut)'!X16)</f>
        <v>1</v>
      </c>
      <c r="AW41" s="680">
        <f>IF($D$41='(GW) (A) (Cut)'!$E$14,'(GW) (A) (Cut)'!Y14,'(GW) (A) (Cut)'!Y16)</f>
        <v>5</v>
      </c>
      <c r="AY41" s="680">
        <f>IF($D$41='(GW) (A) (Cut)'!$E$14,'(GW) (A) (Cut)'!AA14,'(GW) (A) (Cut)'!AA16)</f>
        <v>1.6666666666666667</v>
      </c>
      <c r="AZ41" s="680" t="str">
        <f>IF($D$41='(GW) (A) (Cut)'!$E$14,'(GW) (A) (Cut)'!AB14,'(GW) (A) (Cut)'!AB16)</f>
        <v xml:space="preserve"> 6'</v>
      </c>
      <c r="BB41" s="680" t="e">
        <f>IF($D$41='(GW) (A) (Cut)'!$E$14,'(GW) (A) (Cut)'!#REF!,'(GW) (A) (Cut)'!#REF!)</f>
        <v>#REF!</v>
      </c>
      <c r="BC41" s="680" t="e">
        <f>IF($D$41='(GW) (A) (Cut)'!$E$14,'(GW) (A) (Cut)'!#REF!,'(GW) (A) (Cut)'!#REF!)</f>
        <v>#REF!</v>
      </c>
      <c r="BD41" s="680" t="e">
        <f>IF($D$41='(GW) (A) (Cut)'!$E$14,'(GW) (A) (Cut)'!#REF!,'(GW) (A) (Cut)'!#REF!)</f>
        <v>#REF!</v>
      </c>
      <c r="BE41" s="680">
        <f>IF($D$41='(GW) (A) (Cut)'!$E$14,'(GW) (A) (Cut)'!AC14,'(GW) (A) (Cut)'!AC16)</f>
        <v>24</v>
      </c>
      <c r="BF41" s="680">
        <f>IF($D$41='(GW) (A) (Cut)'!$E$14,'(GW) (A) (Cut)'!AD14,'(GW) (A) (Cut)'!AD16)</f>
        <v>6</v>
      </c>
      <c r="BG41" s="680">
        <f>IF($D$41='(GW) (A) (Cut)'!$E$14,'(GW) (A) (Cut)'!AE14,'(GW) (A) (Cut)'!AE16)</f>
        <v>1</v>
      </c>
      <c r="BI41" s="680">
        <f>IF($D$41='(GW) (A) (Cut)'!$E$14,'(GW) (A) (Cut)'!AG14,'(GW) (A) (Cut)'!AG16)</f>
        <v>30</v>
      </c>
      <c r="BJ41" s="680">
        <f>IF($D$41='(GW) (A) (Cut)'!$E$14,'(GW) (A) (Cut)'!AH14,'(GW) (A) (Cut)'!AH16)</f>
        <v>0</v>
      </c>
      <c r="BL41" s="680">
        <f>IF($D$41='(GW) (A) (Cut)'!$E$14,'(GW) (A) (Cut)'!AJ14,'(GW) (A) (Cut)'!AJ16)</f>
        <v>5</v>
      </c>
      <c r="BN41" s="1230" t="str">
        <f>'Fabric Calc (Simple) (WIP)'!BK10</f>
        <v>12.30 (1)</v>
      </c>
      <c r="BO41" s="1231"/>
      <c r="BP41" s="1231"/>
      <c r="BQ41" s="1232"/>
    </row>
    <row r="42" spans="2:71" ht="15.75" thickBot="1">
      <c r="BN42" s="1238" t="str">
        <f>'Fabric Calc (Simple) (WIP)'!BK11</f>
        <v>12"</v>
      </c>
      <c r="BO42" s="1239"/>
      <c r="BP42" s="1261" t="str">
        <f>'Fabric Calc (Simple) (WIP)'!BM11</f>
        <v>12"</v>
      </c>
      <c r="BQ42" s="1237"/>
      <c r="BR42" s="1261" t="str">
        <f>'Fabric Calc (Simple) (WIP)'!BO11</f>
        <v>OVERFLOW</v>
      </c>
      <c r="BS42" s="1237"/>
    </row>
    <row r="43" spans="2:71" ht="15.75" thickBot="1">
      <c r="BN43" s="1261" t="str">
        <f>'Fabric Calc (Simple) (WIP)'!BK12</f>
        <v xml:space="preserve"> 6' (1)</v>
      </c>
      <c r="BO43" s="1237"/>
      <c r="BP43" s="1261" t="str">
        <f>'Fabric Calc (Simple) (WIP)'!BM12</f>
        <v/>
      </c>
      <c r="BQ43" s="1237"/>
      <c r="BR43" s="1261" t="str">
        <f>'Fabric Calc (Simple) (WIP)'!BO12</f>
        <v>Total 12'</v>
      </c>
      <c r="BS43" s="1237"/>
    </row>
    <row r="44" spans="2:71" ht="15.75" thickBot="1">
      <c r="BN44" s="1260" t="str">
        <f>'Fabric Calc (Simple) (WIP)'!BK13</f>
        <v xml:space="preserve"> 6' (1)</v>
      </c>
      <c r="BO44" s="1226"/>
      <c r="BP44" s="1260" t="str">
        <f>'Fabric Calc (Simple) (WIP)'!BM13</f>
        <v/>
      </c>
      <c r="BQ44" s="1226"/>
      <c r="BR44" s="671">
        <f>'Fabric Calc (Simple) (WIP)'!BO13</f>
        <v>0</v>
      </c>
      <c r="BS44" s="671" t="str">
        <f>'Fabric Calc (Simple) (WIP)'!BP13</f>
        <v>0' rolls</v>
      </c>
    </row>
    <row r="45" spans="2:71" ht="15.75" thickBot="1">
      <c r="BN45" s="1260" t="str">
        <f>'Fabric Calc (Simple) (WIP)'!BK14</f>
        <v xml:space="preserve"> 6' (1)</v>
      </c>
      <c r="BO45" s="1226"/>
      <c r="BP45" s="1260" t="str">
        <f>'Fabric Calc (Simple) (WIP)'!BM14</f>
        <v/>
      </c>
      <c r="BQ45" s="1226"/>
      <c r="BR45" s="671">
        <f>'Fabric Calc (Simple) (WIP)'!BO14</f>
        <v>1</v>
      </c>
      <c r="BS45" s="671" t="str">
        <f>'Fabric Calc (Simple) (WIP)'!BP14</f>
        <v>12' rolls</v>
      </c>
    </row>
    <row r="46" spans="2:71" ht="15.75" thickBot="1">
      <c r="BN46" s="1260" t="str">
        <f>'Fabric Calc (Simple) (WIP)'!BK15</f>
        <v/>
      </c>
      <c r="BO46" s="1226"/>
      <c r="BP46" s="1260" t="str">
        <f>'Fabric Calc (Simple) (WIP)'!BM15</f>
        <v/>
      </c>
      <c r="BQ46" s="1226"/>
      <c r="BR46" s="671">
        <f>'Fabric Calc (Simple) (WIP)'!BO15</f>
        <v>0</v>
      </c>
      <c r="BS46" s="671" t="str">
        <f>'Fabric Calc (Simple) (WIP)'!BP15</f>
        <v>0' rolls</v>
      </c>
    </row>
    <row r="47" spans="2:71" ht="15.75" thickBot="1">
      <c r="BN47" s="1260" t="str">
        <f>'Fabric Calc (Simple) (WIP)'!BK16</f>
        <v/>
      </c>
      <c r="BO47" s="1226"/>
      <c r="BP47" s="1260" t="str">
        <f>'Fabric Calc (Simple) (WIP)'!BM16</f>
        <v/>
      </c>
      <c r="BQ47" s="1226"/>
      <c r="BR47" s="1"/>
      <c r="BS47" s="1"/>
    </row>
    <row r="48" spans="2:71" ht="15.75" thickBot="1">
      <c r="BN48" s="1257" t="str">
        <f>'Fabric Calc (Simple) (WIP)'!BK17</f>
        <v/>
      </c>
      <c r="BO48" s="1229"/>
      <c r="BP48" s="1257" t="str">
        <f>'Fabric Calc (Simple) (WIP)'!BM17</f>
        <v/>
      </c>
      <c r="BQ48" s="1229"/>
      <c r="BR48" s="670">
        <f>'Fabric Calc (Simple) (WIP)'!BO17</f>
        <v>1</v>
      </c>
      <c r="BS48" s="670">
        <f>'Fabric Calc (Simple) (WIP)'!BP17</f>
        <v>30</v>
      </c>
    </row>
    <row r="51" spans="2:4" ht="15.75" thickBot="1"/>
    <row r="52" spans="2:4" ht="15.75" thickBot="1">
      <c r="B52" s="632" t="s">
        <v>1360</v>
      </c>
    </row>
    <row r="55" spans="2:4">
      <c r="B55" s="358" t="s">
        <v>1358</v>
      </c>
      <c r="C55" s="482">
        <f>C14</f>
        <v>0</v>
      </c>
      <c r="D55" t="s">
        <v>75</v>
      </c>
    </row>
    <row r="57" spans="2:4">
      <c r="B57" s="358" t="s">
        <v>1361</v>
      </c>
      <c r="C57" s="676">
        <f>C16</f>
        <v>0</v>
      </c>
      <c r="D57" s="358" t="s">
        <v>75</v>
      </c>
    </row>
    <row r="58" spans="2:4">
      <c r="B58" s="358"/>
      <c r="C58" s="675"/>
      <c r="D58" s="358"/>
    </row>
    <row r="59" spans="2:4">
      <c r="B59" s="358" t="s">
        <v>1362</v>
      </c>
      <c r="C59" s="676">
        <f>C36</f>
        <v>6</v>
      </c>
      <c r="D59" s="358" t="s">
        <v>75</v>
      </c>
    </row>
    <row r="61" spans="2:4">
      <c r="B61" t="s">
        <v>559</v>
      </c>
      <c r="C61" s="657">
        <v>3</v>
      </c>
    </row>
    <row r="63" spans="2:4">
      <c r="B63" t="s">
        <v>559</v>
      </c>
      <c r="C63" s="657">
        <v>3</v>
      </c>
    </row>
    <row r="65" spans="2:81" ht="15.75" thickBot="1"/>
    <row r="66" spans="2:81" ht="15.75" thickBot="1">
      <c r="F66" s="480">
        <f>F19</f>
        <v>0</v>
      </c>
      <c r="H66" s="480">
        <f t="shared" ref="H66:AW66" si="0">H19</f>
        <v>0</v>
      </c>
      <c r="I66" s="480">
        <f t="shared" si="0"/>
        <v>0</v>
      </c>
      <c r="J66" s="480">
        <f t="shared" si="0"/>
        <v>0</v>
      </c>
      <c r="K66" s="480">
        <f t="shared" si="0"/>
        <v>0</v>
      </c>
      <c r="L66" s="480">
        <f t="shared" si="0"/>
        <v>0</v>
      </c>
      <c r="M66" s="480">
        <f t="shared" si="0"/>
        <v>0</v>
      </c>
      <c r="N66" s="480">
        <f t="shared" si="0"/>
        <v>0</v>
      </c>
      <c r="O66" s="480">
        <f t="shared" si="0"/>
        <v>0</v>
      </c>
      <c r="P66" s="480">
        <f t="shared" si="0"/>
        <v>0</v>
      </c>
      <c r="Q66" s="480">
        <f t="shared" si="0"/>
        <v>0</v>
      </c>
      <c r="R66" s="480">
        <f t="shared" si="0"/>
        <v>0</v>
      </c>
      <c r="S66" s="480">
        <f t="shared" si="0"/>
        <v>0</v>
      </c>
      <c r="T66" s="480">
        <f t="shared" si="0"/>
        <v>0</v>
      </c>
      <c r="U66" s="480">
        <f t="shared" si="0"/>
        <v>0</v>
      </c>
      <c r="V66" s="480">
        <f t="shared" si="0"/>
        <v>0</v>
      </c>
      <c r="W66" s="480">
        <f t="shared" si="0"/>
        <v>0</v>
      </c>
      <c r="X66" s="480">
        <f t="shared" si="0"/>
        <v>0</v>
      </c>
      <c r="Y66" s="480">
        <f t="shared" si="0"/>
        <v>0</v>
      </c>
      <c r="Z66" s="480">
        <f t="shared" si="0"/>
        <v>0</v>
      </c>
      <c r="AA66" s="480">
        <f t="shared" si="0"/>
        <v>0</v>
      </c>
      <c r="AB66" s="480">
        <f t="shared" si="0"/>
        <v>0</v>
      </c>
      <c r="AC66" s="480">
        <f t="shared" si="0"/>
        <v>0</v>
      </c>
      <c r="AD66" s="480">
        <f t="shared" si="0"/>
        <v>0</v>
      </c>
      <c r="AE66" s="480">
        <f t="shared" si="0"/>
        <v>0</v>
      </c>
      <c r="AF66" s="480">
        <f t="shared" si="0"/>
        <v>0</v>
      </c>
      <c r="AG66" s="480">
        <f t="shared" si="0"/>
        <v>0</v>
      </c>
      <c r="AH66" s="480">
        <f t="shared" si="0"/>
        <v>0</v>
      </c>
      <c r="AI66" s="480">
        <f t="shared" si="0"/>
        <v>0</v>
      </c>
      <c r="AJ66" s="480">
        <f t="shared" si="0"/>
        <v>0</v>
      </c>
      <c r="AK66" s="480">
        <f t="shared" si="0"/>
        <v>0</v>
      </c>
      <c r="AL66" s="480">
        <f t="shared" si="0"/>
        <v>0</v>
      </c>
      <c r="AM66" s="480">
        <f t="shared" si="0"/>
        <v>0</v>
      </c>
      <c r="AN66" s="480">
        <f t="shared" si="0"/>
        <v>0</v>
      </c>
      <c r="AO66" s="480">
        <f t="shared" si="0"/>
        <v>0</v>
      </c>
      <c r="AP66" s="480">
        <f t="shared" si="0"/>
        <v>0</v>
      </c>
      <c r="AQ66" s="480">
        <f t="shared" si="0"/>
        <v>0</v>
      </c>
      <c r="AR66" s="480">
        <f t="shared" si="0"/>
        <v>0</v>
      </c>
      <c r="AS66" s="480">
        <f t="shared" si="0"/>
        <v>0</v>
      </c>
      <c r="AT66" s="480">
        <f t="shared" si="0"/>
        <v>0</v>
      </c>
      <c r="AU66" s="480">
        <f t="shared" si="0"/>
        <v>0</v>
      </c>
      <c r="AV66" s="480">
        <f t="shared" si="0"/>
        <v>0</v>
      </c>
      <c r="AW66" s="480">
        <f t="shared" si="0"/>
        <v>0</v>
      </c>
      <c r="AY66" s="480">
        <f>AY19</f>
        <v>0</v>
      </c>
      <c r="AZ66" s="480">
        <f>AZ19</f>
        <v>0</v>
      </c>
      <c r="BB66" s="480">
        <f t="shared" ref="BB66:BG66" si="1">BB19</f>
        <v>0</v>
      </c>
      <c r="BC66" s="480">
        <f t="shared" si="1"/>
        <v>0</v>
      </c>
      <c r="BD66" s="480">
        <f t="shared" si="1"/>
        <v>0</v>
      </c>
      <c r="BE66" s="480">
        <f t="shared" si="1"/>
        <v>0</v>
      </c>
      <c r="BF66" s="480">
        <f t="shared" si="1"/>
        <v>0</v>
      </c>
      <c r="BG66" s="480">
        <f t="shared" si="1"/>
        <v>0</v>
      </c>
      <c r="BI66" s="480">
        <f>BI19</f>
        <v>0</v>
      </c>
      <c r="BJ66" s="480">
        <f>BJ19</f>
        <v>0</v>
      </c>
      <c r="BL66" s="480">
        <f>BL19</f>
        <v>0</v>
      </c>
      <c r="BP66" s="1230" t="s">
        <v>1363</v>
      </c>
      <c r="BQ66" s="1231"/>
      <c r="BR66" s="1231"/>
      <c r="BS66" s="1231"/>
      <c r="BT66" s="1231"/>
      <c r="BU66" s="1232"/>
      <c r="BV66" s="268"/>
      <c r="BW66" s="268"/>
      <c r="BX66" s="268"/>
      <c r="BY66" s="268"/>
    </row>
    <row r="67" spans="2:81" ht="15.75" thickBot="1">
      <c r="BP67" s="1230" t="s">
        <v>543</v>
      </c>
      <c r="BQ67" s="1231"/>
      <c r="BR67" s="1231"/>
      <c r="BS67" s="1231"/>
      <c r="BT67" s="1231"/>
      <c r="BU67" s="1232"/>
      <c r="BV67" s="268"/>
      <c r="BW67" s="268"/>
      <c r="BX67" s="268"/>
      <c r="BY67" s="268"/>
    </row>
    <row r="68" spans="2:81" ht="30.75" thickBot="1">
      <c r="B68" s="681" t="s">
        <v>275</v>
      </c>
      <c r="C68" s="682" t="str">
        <f>"12." &amp; D68 &amp; " "</f>
        <v xml:space="preserve">12.0 </v>
      </c>
      <c r="D68" s="632">
        <f>D21</f>
        <v>0</v>
      </c>
      <c r="F68" s="680">
        <f>F21</f>
        <v>0</v>
      </c>
      <c r="H68" s="680">
        <f t="shared" ref="H68:AW68" si="2">H21</f>
        <v>0</v>
      </c>
      <c r="I68" s="680">
        <f t="shared" si="2"/>
        <v>0</v>
      </c>
      <c r="J68" s="680">
        <f t="shared" si="2"/>
        <v>0</v>
      </c>
      <c r="K68" s="680">
        <f t="shared" si="2"/>
        <v>0</v>
      </c>
      <c r="L68" s="680">
        <f t="shared" si="2"/>
        <v>0</v>
      </c>
      <c r="M68" s="680">
        <f t="shared" si="2"/>
        <v>0</v>
      </c>
      <c r="N68" s="680">
        <f t="shared" si="2"/>
        <v>0</v>
      </c>
      <c r="O68" s="680">
        <f t="shared" si="2"/>
        <v>0</v>
      </c>
      <c r="P68" s="680">
        <f t="shared" si="2"/>
        <v>0</v>
      </c>
      <c r="Q68" s="680">
        <f t="shared" si="2"/>
        <v>0</v>
      </c>
      <c r="R68" s="680">
        <f t="shared" si="2"/>
        <v>0</v>
      </c>
      <c r="S68" s="680">
        <f t="shared" si="2"/>
        <v>0</v>
      </c>
      <c r="T68" s="680">
        <f t="shared" si="2"/>
        <v>0</v>
      </c>
      <c r="U68" s="680">
        <f t="shared" si="2"/>
        <v>0</v>
      </c>
      <c r="V68" s="680">
        <f t="shared" si="2"/>
        <v>0</v>
      </c>
      <c r="W68" s="680">
        <f t="shared" si="2"/>
        <v>0</v>
      </c>
      <c r="X68" s="680">
        <f t="shared" si="2"/>
        <v>0</v>
      </c>
      <c r="Y68" s="680">
        <f t="shared" si="2"/>
        <v>0</v>
      </c>
      <c r="Z68" s="680">
        <f t="shared" si="2"/>
        <v>0</v>
      </c>
      <c r="AA68" s="680">
        <f t="shared" si="2"/>
        <v>0</v>
      </c>
      <c r="AB68" s="680">
        <f t="shared" si="2"/>
        <v>0</v>
      </c>
      <c r="AC68" s="680">
        <f t="shared" si="2"/>
        <v>0</v>
      </c>
      <c r="AD68" s="680">
        <f t="shared" si="2"/>
        <v>0</v>
      </c>
      <c r="AE68" s="680">
        <f t="shared" si="2"/>
        <v>0</v>
      </c>
      <c r="AF68" s="680">
        <f t="shared" si="2"/>
        <v>0</v>
      </c>
      <c r="AG68" s="680">
        <f t="shared" si="2"/>
        <v>0</v>
      </c>
      <c r="AH68" s="680">
        <f t="shared" si="2"/>
        <v>0</v>
      </c>
      <c r="AI68" s="680">
        <f t="shared" si="2"/>
        <v>0</v>
      </c>
      <c r="AJ68" s="680">
        <f t="shared" si="2"/>
        <v>0</v>
      </c>
      <c r="AK68" s="680">
        <f t="shared" si="2"/>
        <v>0</v>
      </c>
      <c r="AL68" s="680">
        <f t="shared" si="2"/>
        <v>0</v>
      </c>
      <c r="AM68" s="680">
        <f t="shared" si="2"/>
        <v>0</v>
      </c>
      <c r="AN68" s="680">
        <f t="shared" si="2"/>
        <v>0</v>
      </c>
      <c r="AO68" s="680">
        <f t="shared" si="2"/>
        <v>0</v>
      </c>
      <c r="AP68" s="680">
        <f t="shared" si="2"/>
        <v>0</v>
      </c>
      <c r="AQ68" s="680">
        <f t="shared" si="2"/>
        <v>0</v>
      </c>
      <c r="AR68" s="680">
        <f t="shared" si="2"/>
        <v>0</v>
      </c>
      <c r="AS68" s="680">
        <f t="shared" si="2"/>
        <v>0</v>
      </c>
      <c r="AT68" s="680">
        <f t="shared" si="2"/>
        <v>0</v>
      </c>
      <c r="AU68" s="680">
        <f t="shared" si="2"/>
        <v>0</v>
      </c>
      <c r="AV68" s="680">
        <f t="shared" si="2"/>
        <v>0</v>
      </c>
      <c r="AW68" s="680">
        <f t="shared" si="2"/>
        <v>0</v>
      </c>
      <c r="AY68" s="680">
        <f>AY21</f>
        <v>0</v>
      </c>
      <c r="AZ68" s="680">
        <f>AZ21</f>
        <v>0</v>
      </c>
      <c r="BB68" s="680">
        <f t="shared" ref="BB68:BG68" si="3">BB21</f>
        <v>0</v>
      </c>
      <c r="BC68" s="680">
        <f t="shared" si="3"/>
        <v>0</v>
      </c>
      <c r="BD68" s="680">
        <f t="shared" si="3"/>
        <v>0</v>
      </c>
      <c r="BE68" s="680">
        <f t="shared" si="3"/>
        <v>0</v>
      </c>
      <c r="BF68" s="680">
        <f t="shared" si="3"/>
        <v>0</v>
      </c>
      <c r="BG68" s="680">
        <f t="shared" si="3"/>
        <v>0</v>
      </c>
      <c r="BI68" s="680">
        <f>BI21</f>
        <v>0</v>
      </c>
      <c r="BJ68" s="680">
        <f>BJ21</f>
        <v>0</v>
      </c>
      <c r="BL68" s="680">
        <f>BL21</f>
        <v>0</v>
      </c>
    </row>
    <row r="69" spans="2:81" ht="15.75" thickBot="1">
      <c r="BP69" s="1230" t="s">
        <v>1364</v>
      </c>
      <c r="BQ69" s="1231"/>
      <c r="BR69" s="1231"/>
      <c r="BS69" s="1232"/>
    </row>
    <row r="70" spans="2:81" ht="15.75" thickBot="1">
      <c r="BN70" s="1261" t="s">
        <v>1365</v>
      </c>
      <c r="BO70" s="1262"/>
      <c r="BP70" s="1261" t="s">
        <v>608</v>
      </c>
      <c r="BQ70" s="1262"/>
      <c r="BR70" s="1261" t="s">
        <v>608</v>
      </c>
      <c r="BS70" s="1237"/>
      <c r="BT70" s="1261" t="s">
        <v>1366</v>
      </c>
      <c r="BU70" s="1237"/>
      <c r="BV70" s="268"/>
      <c r="BY70" s="268"/>
      <c r="CA70" s="552" t="s">
        <v>1365</v>
      </c>
      <c r="CB70" s="552" t="s">
        <v>608</v>
      </c>
      <c r="CC70" s="552" t="s">
        <v>608</v>
      </c>
    </row>
    <row r="71" spans="2:81" ht="66" customHeight="1" thickBot="1">
      <c r="F71" s="480" t="str">
        <f>F39</f>
        <v>Linear foot per (6) ft roll</v>
      </c>
      <c r="H71" s="480" t="e">
        <f t="shared" ref="H71:AW71" si="4">H39</f>
        <v>#REF!</v>
      </c>
      <c r="I71" s="480" t="e">
        <f t="shared" si="4"/>
        <v>#REF!</v>
      </c>
      <c r="J71" s="480" t="e">
        <f t="shared" si="4"/>
        <v>#REF!</v>
      </c>
      <c r="K71" s="480">
        <f t="shared" si="4"/>
        <v>0</v>
      </c>
      <c r="L71" s="480" t="str">
        <f t="shared" si="4"/>
        <v>full length</v>
      </c>
      <c r="M71" s="480">
        <f t="shared" si="4"/>
        <v>0</v>
      </c>
      <c r="N71" s="480" t="str">
        <f t="shared" si="4"/>
        <v>difference in linear ft</v>
      </c>
      <c r="O71" s="480">
        <f t="shared" si="4"/>
        <v>0</v>
      </c>
      <c r="P71" s="480">
        <f t="shared" si="4"/>
        <v>0</v>
      </c>
      <c r="Q71" s="480" t="str">
        <f t="shared" si="4"/>
        <v>number of pieces adjusting for linear ft</v>
      </c>
      <c r="R71" s="480">
        <f t="shared" si="4"/>
        <v>0</v>
      </c>
      <c r="S71" s="480" t="str">
        <f t="shared" si="4"/>
        <v>Total number of pieces</v>
      </c>
      <c r="T71" s="480">
        <f t="shared" si="4"/>
        <v>0</v>
      </c>
      <c r="U71" s="480">
        <f t="shared" si="4"/>
        <v>0</v>
      </c>
      <c r="V71" s="480">
        <f t="shared" si="4"/>
        <v>0</v>
      </c>
      <c r="W71" s="480" t="str">
        <f t="shared" si="4"/>
        <v>Quantity needed</v>
      </c>
      <c r="X71" s="480" t="e">
        <f t="shared" si="4"/>
        <v>#REF!</v>
      </c>
      <c r="Y71" s="480" t="e">
        <f t="shared" si="4"/>
        <v>#REF!</v>
      </c>
      <c r="Z71" s="480" t="e">
        <f t="shared" si="4"/>
        <v>#REF!</v>
      </c>
      <c r="AA71" s="480" t="e">
        <f t="shared" si="4"/>
        <v>#REF!</v>
      </c>
      <c r="AB71" s="480" t="e">
        <f t="shared" si="4"/>
        <v>#REF!</v>
      </c>
      <c r="AC71" s="480" t="e">
        <f t="shared" si="4"/>
        <v>#REF!</v>
      </c>
      <c r="AD71" s="480" t="e">
        <f t="shared" si="4"/>
        <v>#REF!</v>
      </c>
      <c r="AE71" s="480" t="e">
        <f t="shared" si="4"/>
        <v>#REF!</v>
      </c>
      <c r="AF71" s="480" t="e">
        <f t="shared" si="4"/>
        <v>#REF!</v>
      </c>
      <c r="AG71" s="480" t="e">
        <f t="shared" si="4"/>
        <v>#REF!</v>
      </c>
      <c r="AH71" s="480" t="e">
        <f t="shared" si="4"/>
        <v>#REF!</v>
      </c>
      <c r="AI71" s="480" t="e">
        <f t="shared" si="4"/>
        <v>#REF!</v>
      </c>
      <c r="AJ71" s="480" t="e">
        <f t="shared" si="4"/>
        <v>#REF!</v>
      </c>
      <c r="AK71" s="480" t="e">
        <f t="shared" si="4"/>
        <v>#REF!</v>
      </c>
      <c r="AL71" s="480" t="e">
        <f t="shared" si="4"/>
        <v>#REF!</v>
      </c>
      <c r="AM71" s="480" t="e">
        <f t="shared" si="4"/>
        <v>#REF!</v>
      </c>
      <c r="AN71" s="480" t="e">
        <f t="shared" si="4"/>
        <v>#REF!</v>
      </c>
      <c r="AO71" s="480" t="e">
        <f t="shared" si="4"/>
        <v>#REF!</v>
      </c>
      <c r="AP71" s="480" t="e">
        <f t="shared" si="4"/>
        <v>#REF!</v>
      </c>
      <c r="AQ71" s="480" t="e">
        <f t="shared" si="4"/>
        <v>#REF!</v>
      </c>
      <c r="AR71" s="480" t="e">
        <f t="shared" si="4"/>
        <v>#REF!</v>
      </c>
      <c r="AS71" s="480" t="e">
        <f t="shared" si="4"/>
        <v>#REF!</v>
      </c>
      <c r="AT71" s="480">
        <f t="shared" si="4"/>
        <v>0</v>
      </c>
      <c r="AU71" s="480" t="str">
        <f t="shared" si="4"/>
        <v>Name of rolls</v>
      </c>
      <c r="AV71" s="480" t="str">
        <f t="shared" si="4"/>
        <v># of rolls</v>
      </c>
      <c r="AW71" s="480" t="str">
        <f t="shared" si="4"/>
        <v># of pieces per roll</v>
      </c>
      <c r="AY71" s="480" t="str">
        <f>AY39</f>
        <v># of linear feet it can do</v>
      </c>
      <c r="AZ71" s="480" t="str">
        <f>AZ39</f>
        <v>Name of pieces</v>
      </c>
      <c r="BB71" s="480" t="e">
        <f t="shared" ref="BB71:BG71" si="5">BB39</f>
        <v>#REF!</v>
      </c>
      <c r="BC71" s="480" t="e">
        <f t="shared" si="5"/>
        <v>#REF!</v>
      </c>
      <c r="BD71" s="480" t="e">
        <f t="shared" si="5"/>
        <v>#REF!</v>
      </c>
      <c r="BE71" s="480">
        <f t="shared" si="5"/>
        <v>0</v>
      </c>
      <c r="BF71" s="480" t="str">
        <f t="shared" si="5"/>
        <v>Name of other pieces</v>
      </c>
      <c r="BG71" s="480" t="str">
        <f t="shared" si="5"/>
        <v>Needed Linear feet</v>
      </c>
      <c r="BI71" s="480" t="str">
        <f>BI39</f>
        <v>Roll Length</v>
      </c>
      <c r="BJ71" s="480">
        <f>BJ39</f>
        <v>0</v>
      </c>
      <c r="BL71" s="480" t="str">
        <f>BL39</f>
        <v>number of pieces</v>
      </c>
      <c r="BN71" s="1261" t="str">
        <f>IF(CA71="","",CA71)</f>
        <v>Axial - 2 Layers</v>
      </c>
      <c r="BO71" s="1237"/>
      <c r="BP71" s="1236" t="str">
        <f>IF(CB71="","",CB71)</f>
        <v xml:space="preserve"> 6' (1)</v>
      </c>
      <c r="BQ71" s="1236"/>
      <c r="BR71" s="1261" t="str">
        <f>IF(CC71="","",CC71)</f>
        <v/>
      </c>
      <c r="BS71" s="1237"/>
      <c r="BT71" s="1231">
        <f>BR23</f>
        <v>0</v>
      </c>
      <c r="BU71" s="1232"/>
      <c r="BV71" s="268"/>
      <c r="BY71" s="268"/>
      <c r="CA71" s="683" t="str" cm="1">
        <f t="array" ref="CA71:CC81">_xlfn.LET(
_xlpm.hoopRaw,_xlfn._xlws.FILTER(
    _xlfn.HSTACK($BN$23:$BN$28,$BP$23:$BP$28),
    ($BN$23:$BN$28&lt;&gt;"")+($BP$23:$BP$28&lt;&gt;"")
),
_xlpm.axialRaw,_xlfn._xlws.FILTER(
    _xlfn.HSTACK($BN$43:$BN$48,$BP$43:$BP$48),
    ($BN$43:$BN$48&lt;&gt;"")+($BP$43:$BP$48&lt;&gt;"")
),
_xlpm.getNames,_xlfn.LAMBDA(_xlpm.tbl,
    _xlfn.BYROW(
        _xlpm.tbl,
        _xlfn.LAMBDA(_xlpm.r,
            _xlfn.LET(
                _xlpm.firstValue,IFERROR(INDEX(_xlfn._xlws.FILTER(_xlpm.r,_xlpm.r&lt;&gt;""),1,1),""),
                _xlpm.cleaned,TRIM(CLEAN(SUBSTITUTE(_xlpm.firstValue,CHAR(160)," "))),
                IFERROR(_xlfn.TEXTBEFORE(_xlpm.cleaned,"'"),_xlpm.cleaned)
            )
        )
    )
),
_xlpm.hoopNames,_xlpm.getNames(_xlpm.hoopRaw),
_xlpm.axialNames,_xlpm.getNames(_xlpm.axialRaw),
_xlpm.hoopAllSame,ROWS(_xlfn.UNIQUE(_xlpm.hoopNames))=1,
_xlpm.axialAllSame,ROWS(_xlfn.UNIQUE(_xlpm.axialNames))=1,
_xlpm.hoopNormal,
_xlfn.CHOOSEROWS(
    _xlpm.hoopRaw,
    _xlfn.XMATCH(_xlfn.UNIQUE(_xlpm.hoopNames),_xlpm.hoopNames)
),
_xlpm.axialNormal,
_xlfn.CHOOSEROWS(
    _xlpm.axialRaw,
    _xlfn.XMATCH(_xlfn.UNIQUE(_xlpm.axialNames),_xlpm.axialNames)
),
_xlpm.maxTableRows,MAX(ROWS(_xlpm.axialNormal),ROWS(_xlpm.hoopNormal),1),
_xlpm.maxSections,$C$6*2,
_xlpm.sectionNumbers,_xlfn.SEQUENCE(_xlpm.maxSections),
_xlpm.allTypes,IF(ISODD(_xlpm.sectionNumbers),"A","H"),
_xlpm.allLayerCounts,IF(_xlpm.allTypes="A",$C$8,$C$9),
_xlpm.runningLayers,
_xlfn.SCAN(
    0,
    _xlpm.allLayerCounts,
    _xlfn.LAMBDA(_xlpm.total,_xlpm.x,_xlpm.total+_xlpm.x)
),
_xlpm.sectionCount,_xlfn.XMATCH(TRUE,_xlpm.runningLayers&gt;=$C$6,0),
_xlpm.tableOrder,_xlfn.TAKE(_xlpm.allTypes,_xlpm.sectionCount),
_xlpm.sectionLayers,_xlfn.TAKE(_xlpm.allLayerCounts,_xlpm.sectionCount),
_xlpm.blankRow,_xlfn.HSTACK("","",""),
_xlpm.result,
_xlfn.REDUCE(
    _xlpm.blankRow,
    _xlfn.SEQUENCE(_xlpm.sectionCount),
    _xlfn.LAMBDA(_xlpm.output,_xlpm.i,
        _xlfn.LET(
            _xlpm.tableType,INDEX(_xlpm.tableOrder,_xlpm.i),
            _xlpm.occurrence,
            SUM(--(_xlfn.TAKE(_xlpm.tableOrder,_xlpm.i)=_xlpm.tableType)),
            _xlpm.axialOneRow,
            _xlfn.TAKE(
                _xlfn.DROP(
                    _xlpm.axialRaw,
                    MOD(_xlpm.occurrence-1,ROWS(_xlpm.axialRaw))
                ),
                1
            ),
            _xlpm.hoopOneRow,
            _xlfn.TAKE(
                _xlfn.DROP(
                    _xlpm.hoopRaw,
                    MOD(_xlpm.occurrence-1,ROWS(_xlpm.hoopRaw))
                ),
                1
            ),
            _xlpm.axialChoice,
            IF(
                _xlpm.axialAllSame,
                _xlfn.EXPAND(_xlpm.axialOneRow,_xlpm.maxTableRows,2,""),
                _xlfn.EXPAND(_xlpm.axialNormal,_xlpm.maxTableRows,2,"")
            ),
            _xlpm.hoopChoice,
            IF(
                _xlpm.hoopAllSame,
                _xlfn.EXPAND(_xlpm.hoopOneRow,_xlpm.maxTableRows,2,""),
                _xlfn.EXPAND(_xlpm.hoopNormal,_xlpm.maxTableRows,2,"")
            ),
            _xlpm.packedTable,
            IF(
                _xlpm.tableType="A",
                _xlpm.axialChoice,
                _xlpm.hoopChoice
            ),
            _xlpm.selectedTable,
            _xlfn._xlws.FILTER(
                _xlpm.packedTable,
                (_xlfn.CHOOSECOLS(_xlpm.packedTable,1)&lt;&gt;"")+
                (_xlfn.CHOOSECOLS(_xlpm.packedTable,2)&lt;&gt;"")
            ),
            _xlpm.layerCount,INDEX(_xlpm.sectionLayers,_xlpm.i),
            _xlpm.fullLabel,
            IF(
                _xlpm.tableType="A",
                "Axial - "&amp;_xlpm.layerCount&amp;" Layer"&amp;IF(_xlpm.layerCount=1,"","s"),
                "Hoop - "&amp;_xlpm.layerCount&amp;" Layer"&amp;IF(_xlpm.layerCount=1,"","s")
            ),
            _xlpm.labelColumn,
            IF(
                _xlfn.SEQUENCE(ROWS(_xlpm.selectedTable))=1,
                _xlpm.fullLabel,
                ""
            ),
            _xlpm.completedTable,
            _xlfn.HSTACK(_xlpm.labelColumn,_xlpm.selectedTable),
            _xlfn.VSTACK(
                _xlpm.output,
                _xlpm.completedTable,
                _xlpm.blankRow
            )
        )
    )
),
_xlfn.DROP(_xlfn.DROP(_xlpm.result,1),-1)
)</f>
        <v>Axial - 2 Layers</v>
      </c>
      <c r="CB71" s="656" t="str">
        <v xml:space="preserve"> 6' (1)</v>
      </c>
      <c r="CC71" s="683" t="str">
        <v/>
      </c>
    </row>
    <row r="72" spans="2:81" ht="15.75" thickBot="1">
      <c r="BN72" s="1260" t="str">
        <f t="shared" ref="BN72:BN95" si="6">IF(CA72="","",CA72)</f>
        <v/>
      </c>
      <c r="BO72" s="1226"/>
      <c r="BP72" s="995" t="str">
        <f t="shared" ref="BP72:BP95" si="7">IF(CB72="","",CB72)</f>
        <v/>
      </c>
      <c r="BQ72" s="995"/>
      <c r="BR72" s="1260" t="str">
        <f t="shared" ref="BR72:BR95" si="8">IF(CC72="","",CC72)</f>
        <v/>
      </c>
      <c r="BS72" s="1226"/>
      <c r="BT72" s="671">
        <f>BR24</f>
        <v>0</v>
      </c>
      <c r="BU72" s="671">
        <f>BS24</f>
        <v>0</v>
      </c>
      <c r="BV72" s="1"/>
      <c r="BY72" s="1"/>
      <c r="CA72" s="684" t="str">
        <v/>
      </c>
      <c r="CB72" s="268" t="str">
        <v/>
      </c>
      <c r="CC72" s="684" t="str">
        <v/>
      </c>
    </row>
    <row r="73" spans="2:81" ht="30.75" thickBot="1">
      <c r="B73" s="681" t="s">
        <v>275</v>
      </c>
      <c r="C73" s="682" t="str">
        <f>"12." &amp; D73 &amp; " "</f>
        <v xml:space="preserve">12.30 </v>
      </c>
      <c r="D73" s="632">
        <f>D41</f>
        <v>30</v>
      </c>
      <c r="F73" s="680">
        <f>F41</f>
        <v>5</v>
      </c>
      <c r="H73" s="680" t="e">
        <f t="shared" ref="H73:AW73" si="9">H41</f>
        <v>#REF!</v>
      </c>
      <c r="I73" s="680" t="e">
        <f t="shared" si="9"/>
        <v>#REF!</v>
      </c>
      <c r="J73" s="680" t="e">
        <f t="shared" si="9"/>
        <v>#REF!</v>
      </c>
      <c r="K73" s="680">
        <f t="shared" si="9"/>
        <v>0</v>
      </c>
      <c r="L73" s="680" t="str">
        <f t="shared" si="9"/>
        <v>which is (2) Linear foot total</v>
      </c>
      <c r="M73" s="680">
        <f t="shared" si="9"/>
        <v>0</v>
      </c>
      <c r="N73" s="680">
        <f t="shared" si="9"/>
        <v>0</v>
      </c>
      <c r="O73" s="680" t="str">
        <f t="shared" si="9"/>
        <v>which are (3) ft in length</v>
      </c>
      <c r="P73" s="680">
        <f t="shared" si="9"/>
        <v>0</v>
      </c>
      <c r="Q73" s="680">
        <f t="shared" si="9"/>
        <v>0</v>
      </c>
      <c r="R73" s="680">
        <f t="shared" si="9"/>
        <v>0</v>
      </c>
      <c r="S73" s="680">
        <f t="shared" si="9"/>
        <v>5</v>
      </c>
      <c r="T73" s="680">
        <f t="shared" si="9"/>
        <v>0</v>
      </c>
      <c r="U73" s="680">
        <f t="shared" si="9"/>
        <v>1</v>
      </c>
      <c r="V73" s="680">
        <f t="shared" si="9"/>
        <v>0</v>
      </c>
      <c r="W73" s="680">
        <f t="shared" si="9"/>
        <v>1</v>
      </c>
      <c r="X73" s="680" t="e">
        <f t="shared" si="9"/>
        <v>#REF!</v>
      </c>
      <c r="Y73" s="680" t="e">
        <f t="shared" si="9"/>
        <v>#REF!</v>
      </c>
      <c r="Z73" s="680" t="e">
        <f t="shared" si="9"/>
        <v>#REF!</v>
      </c>
      <c r="AA73" s="680" t="e">
        <f t="shared" si="9"/>
        <v>#REF!</v>
      </c>
      <c r="AB73" s="680" t="e">
        <f t="shared" si="9"/>
        <v>#REF!</v>
      </c>
      <c r="AC73" s="680" t="e">
        <f t="shared" si="9"/>
        <v>#REF!</v>
      </c>
      <c r="AD73" s="680" t="e">
        <f t="shared" si="9"/>
        <v>#REF!</v>
      </c>
      <c r="AE73" s="680" t="e">
        <f t="shared" si="9"/>
        <v>#REF!</v>
      </c>
      <c r="AF73" s="680" t="e">
        <f t="shared" si="9"/>
        <v>#REF!</v>
      </c>
      <c r="AG73" s="680" t="e">
        <f t="shared" si="9"/>
        <v>#REF!</v>
      </c>
      <c r="AH73" s="680" t="e">
        <f t="shared" si="9"/>
        <v>#REF!</v>
      </c>
      <c r="AI73" s="680" t="e">
        <f t="shared" si="9"/>
        <v>#REF!</v>
      </c>
      <c r="AJ73" s="680" t="e">
        <f t="shared" si="9"/>
        <v>#REF!</v>
      </c>
      <c r="AK73" s="680" t="e">
        <f t="shared" si="9"/>
        <v>#REF!</v>
      </c>
      <c r="AL73" s="680" t="e">
        <f t="shared" si="9"/>
        <v>#REF!</v>
      </c>
      <c r="AM73" s="680" t="e">
        <f t="shared" si="9"/>
        <v>#REF!</v>
      </c>
      <c r="AN73" s="680" t="e">
        <f t="shared" si="9"/>
        <v>#REF!</v>
      </c>
      <c r="AO73" s="680" t="e">
        <f t="shared" si="9"/>
        <v>#REF!</v>
      </c>
      <c r="AP73" s="680" t="e">
        <f t="shared" si="9"/>
        <v>#REF!</v>
      </c>
      <c r="AQ73" s="680" t="e">
        <f t="shared" si="9"/>
        <v>#REF!</v>
      </c>
      <c r="AR73" s="680" t="e">
        <f t="shared" si="9"/>
        <v>#REF!</v>
      </c>
      <c r="AS73" s="680" t="e">
        <f t="shared" si="9"/>
        <v>#REF!</v>
      </c>
      <c r="AT73" s="680">
        <f t="shared" si="9"/>
        <v>1</v>
      </c>
      <c r="AU73" s="680">
        <f t="shared" si="9"/>
        <v>12.15</v>
      </c>
      <c r="AV73" s="680">
        <f t="shared" si="9"/>
        <v>1</v>
      </c>
      <c r="AW73" s="680">
        <f t="shared" si="9"/>
        <v>5</v>
      </c>
      <c r="AY73" s="680">
        <f>AY41</f>
        <v>1.6666666666666667</v>
      </c>
      <c r="AZ73" s="680" t="str">
        <f>AZ41</f>
        <v xml:space="preserve"> 6'</v>
      </c>
      <c r="BB73" s="680" t="e">
        <f t="shared" ref="BB73:BG73" si="10">BB41</f>
        <v>#REF!</v>
      </c>
      <c r="BC73" s="680" t="e">
        <f t="shared" si="10"/>
        <v>#REF!</v>
      </c>
      <c r="BD73" s="680" t="e">
        <f t="shared" si="10"/>
        <v>#REF!</v>
      </c>
      <c r="BE73" s="680">
        <f t="shared" si="10"/>
        <v>24</v>
      </c>
      <c r="BF73" s="680">
        <f t="shared" si="10"/>
        <v>6</v>
      </c>
      <c r="BG73" s="680">
        <f t="shared" si="10"/>
        <v>1</v>
      </c>
      <c r="BI73" s="680">
        <f>BI41</f>
        <v>30</v>
      </c>
      <c r="BJ73" s="680">
        <f>BJ41</f>
        <v>0</v>
      </c>
      <c r="BL73" s="680">
        <f>BL41</f>
        <v>5</v>
      </c>
      <c r="BN73" s="1260" t="str">
        <f t="shared" si="6"/>
        <v>Hoop - 1 Layer</v>
      </c>
      <c r="BO73" s="1226"/>
      <c r="BP73" s="995">
        <f t="shared" si="7"/>
        <v>0</v>
      </c>
      <c r="BQ73" s="995"/>
      <c r="BR73" s="1260">
        <f t="shared" si="8"/>
        <v>0</v>
      </c>
      <c r="BS73" s="1226"/>
      <c r="BT73" s="671">
        <f>BR25</f>
        <v>0</v>
      </c>
      <c r="BU73" s="671">
        <f>BS25</f>
        <v>0</v>
      </c>
      <c r="BV73" s="1"/>
      <c r="BY73" s="1"/>
      <c r="CA73" s="684" t="str">
        <v>Hoop - 1 Layer</v>
      </c>
      <c r="CB73" s="268">
        <v>0</v>
      </c>
      <c r="CC73" s="684">
        <v>0</v>
      </c>
    </row>
    <row r="74" spans="2:81" ht="15.75" thickBot="1">
      <c r="BN74" s="1260" t="str">
        <f t="shared" si="6"/>
        <v/>
      </c>
      <c r="BO74" s="1226"/>
      <c r="BP74" s="995" t="str">
        <f t="shared" si="7"/>
        <v/>
      </c>
      <c r="BQ74" s="995"/>
      <c r="BR74" s="1260" t="str">
        <f t="shared" si="8"/>
        <v/>
      </c>
      <c r="BS74" s="1226"/>
      <c r="BT74" s="670">
        <f>BR26</f>
        <v>0</v>
      </c>
      <c r="BU74" s="670">
        <f>BS26</f>
        <v>0</v>
      </c>
      <c r="BV74" s="1"/>
      <c r="BY74" s="1"/>
      <c r="CA74" s="684" t="str">
        <v/>
      </c>
      <c r="CB74" s="268" t="str">
        <v/>
      </c>
      <c r="CC74" s="684" t="str">
        <v/>
      </c>
    </row>
    <row r="75" spans="2:81" ht="15.75" thickBot="1">
      <c r="BN75" s="1260" t="str">
        <f t="shared" si="6"/>
        <v>Axial - 2 Layers</v>
      </c>
      <c r="BO75" s="1226"/>
      <c r="BP75" s="995" t="str">
        <f t="shared" si="7"/>
        <v xml:space="preserve"> 6' (1)</v>
      </c>
      <c r="BQ75" s="995"/>
      <c r="BR75" s="1260" t="str">
        <f t="shared" si="8"/>
        <v/>
      </c>
      <c r="BS75" s="1226"/>
      <c r="BT75" s="1"/>
      <c r="BU75" s="1"/>
      <c r="BV75" s="1"/>
      <c r="BY75" s="1"/>
      <c r="CA75" s="684" t="str">
        <v>Axial - 2 Layers</v>
      </c>
      <c r="CB75" s="268" t="str">
        <v xml:space="preserve"> 6' (1)</v>
      </c>
      <c r="CC75" s="684" t="str">
        <v/>
      </c>
    </row>
    <row r="76" spans="2:81" ht="15.75" thickBot="1">
      <c r="BN76" s="1260" t="str">
        <f t="shared" si="6"/>
        <v/>
      </c>
      <c r="BO76" s="1226"/>
      <c r="BP76" s="995" t="str">
        <f t="shared" si="7"/>
        <v/>
      </c>
      <c r="BQ76" s="995"/>
      <c r="BR76" s="1260" t="str">
        <f t="shared" si="8"/>
        <v/>
      </c>
      <c r="BS76" s="1226"/>
      <c r="BT76" s="633">
        <f>BR28</f>
        <v>0</v>
      </c>
      <c r="BU76" s="670">
        <f>BS28</f>
        <v>0</v>
      </c>
      <c r="BV76" s="1"/>
      <c r="BY76" s="1"/>
      <c r="CA76" s="684" t="str">
        <v/>
      </c>
      <c r="CB76" s="268" t="str">
        <v/>
      </c>
      <c r="CC76" s="684" t="str">
        <v/>
      </c>
    </row>
    <row r="77" spans="2:81">
      <c r="BN77" s="1260" t="str">
        <f t="shared" si="6"/>
        <v>Hoop - 1 Layer</v>
      </c>
      <c r="BO77" s="1226"/>
      <c r="BP77" s="995">
        <f t="shared" si="7"/>
        <v>0</v>
      </c>
      <c r="BQ77" s="995"/>
      <c r="BR77" s="1260">
        <f t="shared" si="8"/>
        <v>0</v>
      </c>
      <c r="BS77" s="1226"/>
      <c r="CA77" s="684" t="str">
        <v>Hoop - 1 Layer</v>
      </c>
      <c r="CB77" s="268">
        <v>0</v>
      </c>
      <c r="CC77" s="684">
        <v>0</v>
      </c>
    </row>
    <row r="78" spans="2:81" ht="15.75" thickBot="1">
      <c r="BN78" s="1260" t="str">
        <f t="shared" si="6"/>
        <v/>
      </c>
      <c r="BO78" s="1226"/>
      <c r="BP78" s="995" t="str">
        <f t="shared" si="7"/>
        <v/>
      </c>
      <c r="BQ78" s="995"/>
      <c r="BR78" s="1260" t="str">
        <f t="shared" si="8"/>
        <v/>
      </c>
      <c r="BS78" s="1226"/>
      <c r="CA78" s="684" t="str">
        <v/>
      </c>
      <c r="CB78" s="268" t="str">
        <v/>
      </c>
      <c r="CC78" s="684" t="str">
        <v/>
      </c>
    </row>
    <row r="79" spans="2:81" ht="15.75" thickBot="1">
      <c r="BN79" s="1260" t="str">
        <f t="shared" si="6"/>
        <v>Axial - 2 Layers</v>
      </c>
      <c r="BO79" s="1226"/>
      <c r="BP79" s="995" t="str">
        <f t="shared" si="7"/>
        <v xml:space="preserve"> 6' (1)</v>
      </c>
      <c r="BQ79" s="995"/>
      <c r="BR79" s="1260" t="str">
        <f t="shared" si="8"/>
        <v/>
      </c>
      <c r="BS79" s="1226"/>
      <c r="BT79" s="1261" t="s">
        <v>1367</v>
      </c>
      <c r="BU79" s="1237"/>
      <c r="CA79" s="684" t="str">
        <v>Axial - 2 Layers</v>
      </c>
      <c r="CB79" s="268" t="str">
        <v xml:space="preserve"> 6' (1)</v>
      </c>
      <c r="CC79" s="684" t="str">
        <v/>
      </c>
    </row>
    <row r="80" spans="2:81" ht="15.75" thickBot="1">
      <c r="BN80" s="1260" t="str">
        <f t="shared" si="6"/>
        <v/>
      </c>
      <c r="BO80" s="1226"/>
      <c r="BP80" s="995" t="str">
        <f t="shared" si="7"/>
        <v/>
      </c>
      <c r="BQ80" s="995"/>
      <c r="BR80" s="1260" t="str">
        <f t="shared" si="8"/>
        <v/>
      </c>
      <c r="BS80" s="1226"/>
      <c r="BT80" s="1230" t="str">
        <f>BR43</f>
        <v>Total 12'</v>
      </c>
      <c r="BU80" s="1232"/>
      <c r="CA80" s="684" t="str">
        <v/>
      </c>
      <c r="CB80" s="268" t="str">
        <v/>
      </c>
      <c r="CC80" s="684" t="str">
        <v/>
      </c>
    </row>
    <row r="81" spans="66:81" ht="15.75" thickBot="1">
      <c r="BN81" s="1260" t="str">
        <f t="shared" si="6"/>
        <v>Hoop - 1 Layer</v>
      </c>
      <c r="BO81" s="1226"/>
      <c r="BP81" s="995">
        <f t="shared" si="7"/>
        <v>0</v>
      </c>
      <c r="BQ81" s="995"/>
      <c r="BR81" s="1260">
        <f t="shared" si="8"/>
        <v>0</v>
      </c>
      <c r="BS81" s="1226"/>
      <c r="BT81" s="643">
        <f>BR44</f>
        <v>0</v>
      </c>
      <c r="BU81" s="643" t="str">
        <f>BS44</f>
        <v>0' rolls</v>
      </c>
      <c r="CA81" s="684" t="str">
        <v>Hoop - 1 Layer</v>
      </c>
      <c r="CB81" s="268">
        <v>0</v>
      </c>
      <c r="CC81" s="684">
        <v>0</v>
      </c>
    </row>
    <row r="82" spans="66:81" ht="15.75" thickBot="1">
      <c r="BN82" s="1260" t="str">
        <f t="shared" si="6"/>
        <v/>
      </c>
      <c r="BO82" s="1226"/>
      <c r="BP82" s="995" t="str">
        <f t="shared" si="7"/>
        <v/>
      </c>
      <c r="BQ82" s="995"/>
      <c r="BR82" s="1260" t="str">
        <f t="shared" si="8"/>
        <v/>
      </c>
      <c r="BS82" s="1226"/>
      <c r="BT82" s="643">
        <f>BR45</f>
        <v>1</v>
      </c>
      <c r="BU82" s="643" t="str">
        <f>BS45</f>
        <v>12' rolls</v>
      </c>
      <c r="CA82" s="684"/>
      <c r="CC82" s="684"/>
    </row>
    <row r="83" spans="66:81" ht="15.75" thickBot="1">
      <c r="BN83" s="1260" t="str">
        <f t="shared" si="6"/>
        <v/>
      </c>
      <c r="BO83" s="1226"/>
      <c r="BP83" s="995" t="str">
        <f t="shared" si="7"/>
        <v/>
      </c>
      <c r="BQ83" s="995"/>
      <c r="BR83" s="1260" t="str">
        <f t="shared" si="8"/>
        <v/>
      </c>
      <c r="BS83" s="1226"/>
      <c r="BT83" s="643">
        <f>BR46</f>
        <v>0</v>
      </c>
      <c r="BU83" s="643" t="str">
        <f>BS46</f>
        <v>0' rolls</v>
      </c>
      <c r="CA83" s="684"/>
      <c r="CC83" s="684"/>
    </row>
    <row r="84" spans="66:81" ht="15.75" thickBot="1">
      <c r="BN84" s="1260" t="str">
        <f t="shared" si="6"/>
        <v/>
      </c>
      <c r="BO84" s="1226"/>
      <c r="BP84" s="995" t="str">
        <f t="shared" si="7"/>
        <v/>
      </c>
      <c r="BQ84" s="995"/>
      <c r="BR84" s="1260" t="str">
        <f t="shared" si="8"/>
        <v/>
      </c>
      <c r="BS84" s="1226"/>
      <c r="BT84" s="1"/>
      <c r="BU84" s="1"/>
      <c r="CA84" s="684"/>
      <c r="CC84" s="684"/>
    </row>
    <row r="85" spans="66:81" ht="15.75" thickBot="1">
      <c r="BN85" s="1260" t="str">
        <f t="shared" si="6"/>
        <v/>
      </c>
      <c r="BO85" s="1226"/>
      <c r="BP85" s="995" t="str">
        <f t="shared" si="7"/>
        <v/>
      </c>
      <c r="BQ85" s="995"/>
      <c r="BR85" s="1260" t="str">
        <f t="shared" si="8"/>
        <v/>
      </c>
      <c r="BS85" s="1226"/>
      <c r="BT85" s="649">
        <f>BR48</f>
        <v>1</v>
      </c>
      <c r="BU85" s="633">
        <f>BS48</f>
        <v>30</v>
      </c>
      <c r="CA85" s="684"/>
      <c r="CC85" s="684"/>
    </row>
    <row r="86" spans="66:81">
      <c r="BN86" s="1260" t="str">
        <f t="shared" si="6"/>
        <v/>
      </c>
      <c r="BO86" s="1226"/>
      <c r="BP86" s="995" t="str">
        <f t="shared" si="7"/>
        <v/>
      </c>
      <c r="BQ86" s="995"/>
      <c r="BR86" s="1260" t="str">
        <f t="shared" si="8"/>
        <v/>
      </c>
      <c r="BS86" s="1226"/>
      <c r="CA86" s="684"/>
      <c r="CC86" s="684"/>
    </row>
    <row r="87" spans="66:81">
      <c r="BN87" s="1260" t="str">
        <f t="shared" si="6"/>
        <v/>
      </c>
      <c r="BO87" s="1226"/>
      <c r="BP87" s="995" t="str">
        <f t="shared" si="7"/>
        <v/>
      </c>
      <c r="BQ87" s="995"/>
      <c r="BR87" s="1260" t="str">
        <f t="shared" si="8"/>
        <v/>
      </c>
      <c r="BS87" s="1226"/>
      <c r="CA87" s="684"/>
      <c r="CC87" s="684"/>
    </row>
    <row r="88" spans="66:81">
      <c r="BN88" s="1260" t="str">
        <f t="shared" si="6"/>
        <v/>
      </c>
      <c r="BO88" s="1226"/>
      <c r="BP88" s="995" t="str">
        <f t="shared" si="7"/>
        <v/>
      </c>
      <c r="BQ88" s="995"/>
      <c r="BR88" s="1260" t="str">
        <f t="shared" si="8"/>
        <v/>
      </c>
      <c r="BS88" s="1226"/>
      <c r="CA88" s="684"/>
      <c r="CC88" s="684"/>
    </row>
    <row r="89" spans="66:81">
      <c r="BN89" s="1260" t="str">
        <f t="shared" si="6"/>
        <v/>
      </c>
      <c r="BO89" s="1226"/>
      <c r="BP89" s="995" t="str">
        <f t="shared" si="7"/>
        <v/>
      </c>
      <c r="BQ89" s="995"/>
      <c r="BR89" s="1260" t="str">
        <f t="shared" si="8"/>
        <v/>
      </c>
      <c r="BS89" s="1226"/>
      <c r="CA89" s="684"/>
      <c r="CC89" s="684"/>
    </row>
    <row r="90" spans="66:81">
      <c r="BN90" s="1260" t="str">
        <f t="shared" si="6"/>
        <v/>
      </c>
      <c r="BO90" s="1226"/>
      <c r="BP90" s="995" t="str">
        <f t="shared" si="7"/>
        <v/>
      </c>
      <c r="BQ90" s="995"/>
      <c r="BR90" s="1260" t="str">
        <f t="shared" si="8"/>
        <v/>
      </c>
      <c r="BS90" s="1226"/>
      <c r="CA90" s="684"/>
      <c r="CC90" s="684"/>
    </row>
    <row r="91" spans="66:81">
      <c r="BN91" s="1260" t="str">
        <f t="shared" si="6"/>
        <v/>
      </c>
      <c r="BO91" s="1226"/>
      <c r="BP91" s="995" t="str">
        <f t="shared" si="7"/>
        <v/>
      </c>
      <c r="BQ91" s="995"/>
      <c r="BR91" s="1260" t="str">
        <f t="shared" si="8"/>
        <v/>
      </c>
      <c r="BS91" s="1226"/>
      <c r="CA91" s="684"/>
      <c r="CC91" s="684"/>
    </row>
    <row r="92" spans="66:81">
      <c r="BN92" s="1260" t="str">
        <f t="shared" si="6"/>
        <v/>
      </c>
      <c r="BO92" s="1226"/>
      <c r="BP92" s="995" t="str">
        <f t="shared" si="7"/>
        <v/>
      </c>
      <c r="BQ92" s="995"/>
      <c r="BR92" s="1260" t="str">
        <f t="shared" si="8"/>
        <v/>
      </c>
      <c r="BS92" s="1226"/>
      <c r="CA92" s="684"/>
      <c r="CC92" s="684"/>
    </row>
    <row r="93" spans="66:81">
      <c r="BN93" s="1260" t="str">
        <f t="shared" si="6"/>
        <v/>
      </c>
      <c r="BO93" s="1226"/>
      <c r="BP93" s="995" t="str">
        <f t="shared" si="7"/>
        <v/>
      </c>
      <c r="BQ93" s="995"/>
      <c r="BR93" s="1260" t="str">
        <f t="shared" si="8"/>
        <v/>
      </c>
      <c r="BS93" s="1226"/>
      <c r="CA93" s="684"/>
      <c r="CC93" s="684"/>
    </row>
    <row r="94" spans="66:81">
      <c r="BN94" s="1260" t="str">
        <f t="shared" si="6"/>
        <v/>
      </c>
      <c r="BO94" s="1226"/>
      <c r="BP94" s="995" t="str">
        <f t="shared" si="7"/>
        <v/>
      </c>
      <c r="BQ94" s="995"/>
      <c r="BR94" s="1260" t="str">
        <f t="shared" si="8"/>
        <v/>
      </c>
      <c r="BS94" s="1226"/>
      <c r="CA94" s="684"/>
      <c r="CC94" s="684"/>
    </row>
    <row r="95" spans="66:81" ht="15.75" thickBot="1">
      <c r="BN95" s="1257" t="str">
        <f t="shared" si="6"/>
        <v/>
      </c>
      <c r="BO95" s="1229"/>
      <c r="BP95" s="1228" t="str">
        <f t="shared" si="7"/>
        <v/>
      </c>
      <c r="BQ95" s="1228"/>
      <c r="BR95" s="1257" t="str">
        <f t="shared" si="8"/>
        <v/>
      </c>
      <c r="BS95" s="1229"/>
      <c r="CA95" s="684"/>
      <c r="CC95" s="684"/>
    </row>
  </sheetData>
  <mergeCells count="123">
    <mergeCell ref="BN95:BO95"/>
    <mergeCell ref="BN70:BO70"/>
    <mergeCell ref="BN89:BO89"/>
    <mergeCell ref="BN90:BO90"/>
    <mergeCell ref="BN91:BO91"/>
    <mergeCell ref="BN92:BO92"/>
    <mergeCell ref="BN93:BO93"/>
    <mergeCell ref="BN94:BO94"/>
    <mergeCell ref="BN83:BO83"/>
    <mergeCell ref="BN84:BO84"/>
    <mergeCell ref="BN85:BO85"/>
    <mergeCell ref="BN86:BO86"/>
    <mergeCell ref="BN87:BO87"/>
    <mergeCell ref="BN88:BO88"/>
    <mergeCell ref="BN77:BO77"/>
    <mergeCell ref="BN78:BO78"/>
    <mergeCell ref="BN79:BO79"/>
    <mergeCell ref="BN80:BO80"/>
    <mergeCell ref="BN81:BO81"/>
    <mergeCell ref="BN82:BO82"/>
    <mergeCell ref="BN71:BO71"/>
    <mergeCell ref="BN72:BO72"/>
    <mergeCell ref="BN73:BO73"/>
    <mergeCell ref="BN74:BO74"/>
    <mergeCell ref="BN75:BO75"/>
    <mergeCell ref="BN76:BO76"/>
    <mergeCell ref="BT79:BU79"/>
    <mergeCell ref="BT80:BU80"/>
    <mergeCell ref="BP94:BQ94"/>
    <mergeCell ref="BR94:BS94"/>
    <mergeCell ref="BP95:BQ95"/>
    <mergeCell ref="BR95:BS95"/>
    <mergeCell ref="BP91:BQ91"/>
    <mergeCell ref="BR91:BS91"/>
    <mergeCell ref="BP92:BQ92"/>
    <mergeCell ref="BR92:BS92"/>
    <mergeCell ref="BP93:BQ93"/>
    <mergeCell ref="BR93:BS93"/>
    <mergeCell ref="BP88:BQ88"/>
    <mergeCell ref="BR88:BS88"/>
    <mergeCell ref="BP89:BQ89"/>
    <mergeCell ref="BR89:BS89"/>
    <mergeCell ref="BP90:BQ90"/>
    <mergeCell ref="BR90:BS90"/>
    <mergeCell ref="BR82:BS82"/>
    <mergeCell ref="BR83:BS83"/>
    <mergeCell ref="BR84:BS84"/>
    <mergeCell ref="BR85:BS85"/>
    <mergeCell ref="BR86:BS86"/>
    <mergeCell ref="BR87:BS87"/>
    <mergeCell ref="BP83:BQ83"/>
    <mergeCell ref="BP84:BQ84"/>
    <mergeCell ref="BP85:BQ85"/>
    <mergeCell ref="BP86:BQ86"/>
    <mergeCell ref="BP87:BQ87"/>
    <mergeCell ref="BR77:BS77"/>
    <mergeCell ref="BR78:BS78"/>
    <mergeCell ref="BR79:BS79"/>
    <mergeCell ref="BR80:BS80"/>
    <mergeCell ref="BR81:BS81"/>
    <mergeCell ref="BP77:BQ77"/>
    <mergeCell ref="BP78:BQ78"/>
    <mergeCell ref="BP79:BQ79"/>
    <mergeCell ref="BP80:BQ80"/>
    <mergeCell ref="BP81:BQ81"/>
    <mergeCell ref="BP82:BQ82"/>
    <mergeCell ref="BP75:BQ75"/>
    <mergeCell ref="BR75:BS75"/>
    <mergeCell ref="BP76:BQ76"/>
    <mergeCell ref="BR76:BS76"/>
    <mergeCell ref="BP71:BQ71"/>
    <mergeCell ref="BR71:BS71"/>
    <mergeCell ref="BT71:BU71"/>
    <mergeCell ref="BP72:BQ72"/>
    <mergeCell ref="BR72:BS72"/>
    <mergeCell ref="BP73:BQ73"/>
    <mergeCell ref="BR73:BS73"/>
    <mergeCell ref="BP43:BQ43"/>
    <mergeCell ref="BR43:BS43"/>
    <mergeCell ref="BN44:BO44"/>
    <mergeCell ref="BP44:BQ44"/>
    <mergeCell ref="BN45:BO45"/>
    <mergeCell ref="BP45:BQ45"/>
    <mergeCell ref="BN43:BO43"/>
    <mergeCell ref="BP74:BQ74"/>
    <mergeCell ref="BR74:BS74"/>
    <mergeCell ref="BP66:BU66"/>
    <mergeCell ref="BP67:BU67"/>
    <mergeCell ref="BP69:BS69"/>
    <mergeCell ref="BP70:BQ70"/>
    <mergeCell ref="BR70:BS70"/>
    <mergeCell ref="BT70:BU70"/>
    <mergeCell ref="BN46:BO46"/>
    <mergeCell ref="BP46:BQ46"/>
    <mergeCell ref="BN47:BO47"/>
    <mergeCell ref="BP47:BQ47"/>
    <mergeCell ref="BN48:BO48"/>
    <mergeCell ref="BP48:BQ48"/>
    <mergeCell ref="BN27:BO27"/>
    <mergeCell ref="BP27:BQ27"/>
    <mergeCell ref="BN28:BO28"/>
    <mergeCell ref="BP28:BQ28"/>
    <mergeCell ref="BN39:BS39"/>
    <mergeCell ref="BN41:BQ41"/>
    <mergeCell ref="BN42:BO42"/>
    <mergeCell ref="BP42:BQ42"/>
    <mergeCell ref="BR42:BS42"/>
    <mergeCell ref="BN38:BS38"/>
    <mergeCell ref="BN18:BS18"/>
    <mergeCell ref="BR23:BS23"/>
    <mergeCell ref="BN24:BO24"/>
    <mergeCell ref="BP24:BQ24"/>
    <mergeCell ref="BN25:BO25"/>
    <mergeCell ref="BP25:BQ25"/>
    <mergeCell ref="BN26:BO26"/>
    <mergeCell ref="BP26:BQ26"/>
    <mergeCell ref="BN19:BS19"/>
    <mergeCell ref="BN21:BQ21"/>
    <mergeCell ref="BN22:BO22"/>
    <mergeCell ref="BP22:BQ22"/>
    <mergeCell ref="BR22:BS22"/>
    <mergeCell ref="BN23:BO23"/>
    <mergeCell ref="BP23:BQ23"/>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66A1FCDD36BBE42849270336BF4B59C" ma:contentTypeVersion="16" ma:contentTypeDescription="Create a new document." ma:contentTypeScope="" ma:versionID="14346955364f134f06ce611eeca22552">
  <xsd:schema xmlns:xsd="http://www.w3.org/2001/XMLSchema" xmlns:xs="http://www.w3.org/2001/XMLSchema" xmlns:p="http://schemas.microsoft.com/office/2006/metadata/properties" xmlns:ns2="a641b27c-78f3-4e06-a06f-b3acc66324bf" xmlns:ns3="ceee92f8-5a50-4781-9b6b-257d6883952f" targetNamespace="http://schemas.microsoft.com/office/2006/metadata/properties" ma:root="true" ma:fieldsID="e1ece7b27f6fc64edf347732d54a3026" ns2:_="" ns3:_="">
    <xsd:import namespace="a641b27c-78f3-4e06-a06f-b3acc66324bf"/>
    <xsd:import namespace="ceee92f8-5a50-4781-9b6b-257d6883952f"/>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statu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641b27c-78f3-4e06-a06f-b3acc66324b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46c2ad79-c965-4742-a146-5c9218ff27f6"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statues" ma:index="23" nillable="true" ma:displayName="statues" ma:format="Dropdown" ma:internalName="statu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eee92f8-5a50-4781-9b6b-257d6883952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97def9e6-66b3-4e16-a984-0305197f691b}" ma:internalName="TaxCatchAll" ma:showField="CatchAllData" ma:web="ceee92f8-5a50-4781-9b6b-257d6883952f">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ceee92f8-5a50-4781-9b6b-257d6883952f" xsi:nil="true"/>
    <lcf76f155ced4ddcb4097134ff3c332f xmlns="a641b27c-78f3-4e06-a06f-b3acc66324bf">
      <Terms xmlns="http://schemas.microsoft.com/office/infopath/2007/PartnerControls"/>
    </lcf76f155ced4ddcb4097134ff3c332f>
    <statues xmlns="a641b27c-78f3-4e06-a06f-b3acc66324b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59DEC49-6520-4E55-AB7E-A8C31BA58465}"/>
</file>

<file path=customXml/itemProps2.xml><?xml version="1.0" encoding="utf-8"?>
<ds:datastoreItem xmlns:ds="http://schemas.openxmlformats.org/officeDocument/2006/customXml" ds:itemID="{E6B040BE-13A9-4592-9592-DEB2F170A9C0}"/>
</file>

<file path=customXml/itemProps3.xml><?xml version="1.0" encoding="utf-8"?>
<ds:datastoreItem xmlns:ds="http://schemas.openxmlformats.org/officeDocument/2006/customXml" ds:itemID="{84FF64B5-9A9D-4997-B7E3-4D5AD7BF2720}"/>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Intern</dc:creator>
  <cp:keywords/>
  <dc:description/>
  <cp:lastModifiedBy>Maxim Dessiatov</cp:lastModifiedBy>
  <cp:revision/>
  <dcterms:created xsi:type="dcterms:W3CDTF">2015-06-05T18:17:20Z</dcterms:created>
  <dcterms:modified xsi:type="dcterms:W3CDTF">2026-10-22T17:01:38Z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0x010100666A1FCDD36BBE42849270336BF4B59C</vt:lpwstr>
  </property>
  <property fmtid="{D5CDD505-2E9C-101B-9397-08002B2CF9AE}" pid="3" name="MediaServiceImageTags">
    <vt:lpwstr/>
  </property>
</Properties>
</file>